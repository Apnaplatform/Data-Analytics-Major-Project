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0" yWindow="0" windowWidth="16380" windowHeight="8190" tabRatio="846"/>
  </bookViews>
  <sheets>
    <sheet name="Dashboard" sheetId="9" r:id="rId1"/>
    <sheet name="Sheet2" sheetId="11" r:id="rId2"/>
    <sheet name="M1_Performance" sheetId="2" r:id="rId3"/>
    <sheet name="M2_Attrition" sheetId="3" r:id="rId4"/>
    <sheet name="M3_Recruitment" sheetId="4" r:id="rId5"/>
    <sheet name="M4_Compensation" sheetId="5" r:id="rId6"/>
    <sheet name="M5_Workforce_Planning" sheetId="6" r:id="rId7"/>
    <sheet name="Dashboard_Data" sheetId="8" state="hidden" r:id="rId8"/>
    <sheet name="KPI CARD TABLE" sheetId="10" r:id="rId9"/>
  </sheets>
  <definedNames>
    <definedName name="_xlnm._FilterDatabase" localSheetId="2" hidden="1">M1_Performance!$A$1:$M$501</definedName>
    <definedName name="_xlnm._FilterDatabase" localSheetId="3" hidden="1">M2_Attrition!$A$1:$N$501</definedName>
    <definedName name="_xlnm._FilterDatabase" localSheetId="4" hidden="1">M3_Recruitment!$A$1:$N$501</definedName>
    <definedName name="_xlnm._FilterDatabase" localSheetId="5" hidden="1">M4_Compensation!$A$1:$L$501</definedName>
    <definedName name="_xlnm._FilterDatabase" localSheetId="6" hidden="1">M5_Workforce_Planning!$A$1:$N$501</definedName>
    <definedName name="Slicer_Critical_Skill">#N/A</definedName>
    <definedName name="Slicer_Department">#N/A</definedName>
    <definedName name="Slicer_Exit_Reason">#N/A</definedName>
    <definedName name="Slicer_Job_Satisfaction">#N/A</definedName>
    <definedName name="Slicer_Salary_Grade">#N/A</definedName>
  </definedNames>
  <calcPr calcId="144525"/>
  <pivotCaches>
    <pivotCache cacheId="0" r:id="rId10"/>
    <pivotCache cacheId="1" r:id="rId11"/>
    <pivotCache cacheId="2" r:id="rId12"/>
    <pivotCache cacheId="3" r:id="rId13"/>
  </pivotCaches>
  <fileRecoveryPr repairLoad="1"/>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E7" i="10" l="1"/>
  <c r="E13" i="10" l="1"/>
  <c r="E12" i="10"/>
  <c r="E11" i="10"/>
  <c r="E10" i="10"/>
  <c r="E9" i="10"/>
  <c r="E8" i="10"/>
  <c r="K58" i="8"/>
  <c r="J58" i="8"/>
  <c r="I58" i="8"/>
  <c r="K57" i="8"/>
  <c r="J57" i="8"/>
  <c r="I57" i="8"/>
  <c r="K56" i="8"/>
  <c r="J56" i="8"/>
  <c r="I56" i="8"/>
  <c r="K55" i="8"/>
  <c r="J55" i="8"/>
  <c r="I55" i="8"/>
  <c r="K54" i="8"/>
  <c r="J54" i="8"/>
  <c r="I54" i="8"/>
  <c r="K53" i="8"/>
  <c r="J53" i="8"/>
  <c r="I53" i="8"/>
  <c r="F53" i="8"/>
  <c r="C53" i="8"/>
  <c r="B53" i="8"/>
  <c r="K52" i="8"/>
  <c r="J52" i="8"/>
  <c r="I52" i="8"/>
  <c r="F52" i="8"/>
  <c r="C52" i="8"/>
  <c r="B52" i="8"/>
  <c r="K51" i="8"/>
  <c r="J51" i="8"/>
  <c r="I51" i="8"/>
  <c r="F51" i="8"/>
  <c r="C51" i="8"/>
  <c r="B51" i="8"/>
  <c r="K50" i="8"/>
  <c r="J50" i="8"/>
  <c r="I50" i="8"/>
  <c r="F50" i="8"/>
  <c r="C50" i="8"/>
  <c r="B50" i="8"/>
  <c r="K49" i="8"/>
  <c r="J49" i="8"/>
  <c r="I49" i="8"/>
  <c r="F49" i="8"/>
  <c r="C49" i="8"/>
  <c r="B49" i="8"/>
  <c r="E47" i="8"/>
  <c r="E46" i="8"/>
  <c r="L45" i="8"/>
  <c r="K45" i="8"/>
  <c r="J45" i="8"/>
  <c r="H45" i="8"/>
  <c r="E45" i="8"/>
  <c r="B45" i="8"/>
  <c r="L44" i="8"/>
  <c r="K44" i="8"/>
  <c r="J44" i="8"/>
  <c r="H44" i="8"/>
  <c r="E44" i="8"/>
  <c r="B44" i="8"/>
  <c r="L43" i="8"/>
  <c r="K43" i="8"/>
  <c r="J43" i="8"/>
  <c r="H43" i="8"/>
  <c r="E43" i="8"/>
  <c r="B43" i="8"/>
  <c r="L42" i="8"/>
  <c r="K42" i="8"/>
  <c r="J42" i="8"/>
  <c r="H42" i="8"/>
  <c r="E42" i="8"/>
  <c r="B42" i="8"/>
  <c r="L41" i="8"/>
  <c r="K41" i="8"/>
  <c r="J41" i="8"/>
  <c r="H41" i="8"/>
  <c r="E41" i="8"/>
  <c r="B41" i="8"/>
  <c r="G36" i="8"/>
  <c r="H36" i="8" s="1"/>
  <c r="G35" i="8"/>
  <c r="H35" i="8" s="1"/>
  <c r="K34" i="8"/>
  <c r="G34" i="8"/>
  <c r="H34" i="8" s="1"/>
  <c r="K33" i="8"/>
  <c r="G33" i="8"/>
  <c r="H33" i="8" s="1"/>
  <c r="K32" i="8"/>
  <c r="G32" i="8"/>
  <c r="H32" i="8" s="1"/>
  <c r="K31" i="8"/>
  <c r="G31" i="8"/>
  <c r="H31" i="8" s="1"/>
  <c r="B31" i="8"/>
  <c r="K30" i="8"/>
  <c r="G30" i="8"/>
  <c r="H30" i="8" s="1"/>
  <c r="E30" i="8"/>
  <c r="B30" i="8"/>
  <c r="K29" i="8"/>
  <c r="G29" i="8"/>
  <c r="H29" i="8" s="1"/>
  <c r="E29" i="8"/>
  <c r="B29" i="8"/>
  <c r="K28" i="8"/>
  <c r="G28" i="8"/>
  <c r="H28" i="8" s="1"/>
  <c r="E28" i="8"/>
  <c r="B28" i="8"/>
  <c r="K27" i="8"/>
  <c r="G27" i="8"/>
  <c r="H27" i="8" s="1"/>
  <c r="E27" i="8"/>
  <c r="B27" i="8"/>
  <c r="K26" i="8"/>
  <c r="G26" i="8"/>
  <c r="H26" i="8" s="1"/>
  <c r="E26" i="8"/>
  <c r="B26" i="8"/>
  <c r="K25" i="8"/>
  <c r="G25" i="8"/>
  <c r="H25" i="8" s="1"/>
  <c r="E25" i="8"/>
  <c r="B25" i="8"/>
  <c r="B23" i="8"/>
  <c r="B22" i="8"/>
  <c r="B21" i="8"/>
  <c r="B20" i="8"/>
  <c r="B19" i="8"/>
  <c r="J18" i="8"/>
  <c r="I18" i="8"/>
  <c r="H18" i="8"/>
  <c r="G18" i="8"/>
  <c r="B18" i="8"/>
  <c r="J17" i="8"/>
  <c r="I17" i="8"/>
  <c r="H17" i="8"/>
  <c r="G17" i="8"/>
  <c r="B17" i="8"/>
  <c r="J16" i="8"/>
  <c r="I16" i="8"/>
  <c r="H16" i="8"/>
  <c r="G16" i="8"/>
  <c r="B16" i="8"/>
  <c r="J15" i="8"/>
  <c r="I15" i="8"/>
  <c r="H15" i="8"/>
  <c r="G15" i="8"/>
  <c r="E15" i="8"/>
  <c r="B15" i="8"/>
  <c r="J14" i="8"/>
  <c r="I14" i="8"/>
  <c r="H14" i="8"/>
  <c r="G14" i="8"/>
  <c r="E14" i="8"/>
  <c r="B14" i="8"/>
  <c r="B12" i="8"/>
  <c r="B11" i="8"/>
  <c r="B10" i="8"/>
  <c r="B9" i="8"/>
  <c r="I8" i="8"/>
  <c r="H8" i="8"/>
  <c r="G8" i="8"/>
  <c r="E8" i="8"/>
  <c r="B8" i="8"/>
  <c r="I7" i="8"/>
  <c r="H7" i="8"/>
  <c r="G7" i="8"/>
  <c r="E7" i="8"/>
  <c r="B7" i="8"/>
  <c r="I6" i="8"/>
  <c r="H6" i="8"/>
  <c r="G6" i="8"/>
  <c r="E6" i="8"/>
  <c r="B6" i="8"/>
  <c r="I5" i="8"/>
  <c r="H5" i="8"/>
  <c r="G5" i="8"/>
  <c r="E5" i="8"/>
  <c r="B5" i="8"/>
  <c r="I4" i="8"/>
  <c r="H4" i="8"/>
  <c r="G4" i="8"/>
  <c r="E4" i="8"/>
  <c r="B4" i="8"/>
</calcChain>
</file>

<file path=xl/sharedStrings.xml><?xml version="1.0" encoding="utf-8"?>
<sst xmlns="http://schemas.openxmlformats.org/spreadsheetml/2006/main" count="15599" uniqueCount="2029">
  <si>
    <t>Department</t>
  </si>
  <si>
    <t>Score</t>
  </si>
  <si>
    <t>Risk</t>
  </si>
  <si>
    <t>Avg Days</t>
  </si>
  <si>
    <t>Current</t>
  </si>
  <si>
    <t>Required</t>
  </si>
  <si>
    <t>Gap</t>
  </si>
  <si>
    <t>Employee ID</t>
  </si>
  <si>
    <t>Employee Name</t>
  </si>
  <si>
    <t>Job Role</t>
  </si>
  <si>
    <t>Gender</t>
  </si>
  <si>
    <t>Age</t>
  </si>
  <si>
    <t>Performance Score</t>
  </si>
  <si>
    <t>Productivity %</t>
  </si>
  <si>
    <t>KPI Achievement %</t>
  </si>
  <si>
    <t>Goal Completion %</t>
  </si>
  <si>
    <t>Training Hours</t>
  </si>
  <si>
    <t>Review Rating</t>
  </si>
  <si>
    <t>Review Year</t>
  </si>
  <si>
    <t>EMP00001</t>
  </si>
  <si>
    <t>Ram Gupta</t>
  </si>
  <si>
    <t>HR</t>
  </si>
  <si>
    <t>HR Executive</t>
  </si>
  <si>
    <t>Female</t>
  </si>
  <si>
    <t>Very Good</t>
  </si>
  <si>
    <t>EMP00002</t>
  </si>
  <si>
    <t>Rohan Rao</t>
  </si>
  <si>
    <t>R&amp;D</t>
  </si>
  <si>
    <t>Research Analyst</t>
  </si>
  <si>
    <t>Average</t>
  </si>
  <si>
    <t>EMP00003</t>
  </si>
  <si>
    <t>Yash Upadhyay</t>
  </si>
  <si>
    <t>Male</t>
  </si>
  <si>
    <t>Needs Improvement</t>
  </si>
  <si>
    <t>EMP00004</t>
  </si>
  <si>
    <t>Aryan Joshi</t>
  </si>
  <si>
    <t>Sales</t>
  </si>
  <si>
    <t>Sales Executive</t>
  </si>
  <si>
    <t>EMP00005</t>
  </si>
  <si>
    <t>Karan Kapoor</t>
  </si>
  <si>
    <t>Operations</t>
  </si>
  <si>
    <t>Operations Executive</t>
  </si>
  <si>
    <t>Good</t>
  </si>
  <si>
    <t>EMP00006</t>
  </si>
  <si>
    <t>Vikram Malhotra</t>
  </si>
  <si>
    <t>Logistics</t>
  </si>
  <si>
    <t>Warehouse Manager</t>
  </si>
  <si>
    <t>EMP00007</t>
  </si>
  <si>
    <t>Rinku Verma</t>
  </si>
  <si>
    <t>Payroll Executive</t>
  </si>
  <si>
    <t>EMP00008</t>
  </si>
  <si>
    <t>Karan Gupta</t>
  </si>
  <si>
    <t>IT</t>
  </si>
  <si>
    <t>System Administrator</t>
  </si>
  <si>
    <t>EMP00009</t>
  </si>
  <si>
    <t>Nisha Joshi</t>
  </si>
  <si>
    <t>Customer Support</t>
  </si>
  <si>
    <t>Customer Success Analyst</t>
  </si>
  <si>
    <t>EMP00010</t>
  </si>
  <si>
    <t>Yash Malhotra</t>
  </si>
  <si>
    <t>EMP00011</t>
  </si>
  <si>
    <t>Arun Singh</t>
  </si>
  <si>
    <t>Sales Analyst</t>
  </si>
  <si>
    <t>EMP00012</t>
  </si>
  <si>
    <t>Neha Tiwari</t>
  </si>
  <si>
    <t>Operations Analyst</t>
  </si>
  <si>
    <t>Excellent</t>
  </si>
  <si>
    <t>EMP00013</t>
  </si>
  <si>
    <t>Aryan Rao</t>
  </si>
  <si>
    <t>Marketing</t>
  </si>
  <si>
    <t>Brand Manager</t>
  </si>
  <si>
    <t>EMP00014</t>
  </si>
  <si>
    <t>Ishita Kumar</t>
  </si>
  <si>
    <t>Product Researcher</t>
  </si>
  <si>
    <t>EMP00015</t>
  </si>
  <si>
    <t>Anshul Patel</t>
  </si>
  <si>
    <t>Innovation Analyst</t>
  </si>
  <si>
    <t>EMP00016</t>
  </si>
  <si>
    <t>Rahul Khan</t>
  </si>
  <si>
    <t>Support Executive</t>
  </si>
  <si>
    <t>EMP00017</t>
  </si>
  <si>
    <t>Vihaan Gupta</t>
  </si>
  <si>
    <t>EMP00018</t>
  </si>
  <si>
    <t>Neha Khan</t>
  </si>
  <si>
    <t>Account Manager</t>
  </si>
  <si>
    <t>EMP00019</t>
  </si>
  <si>
    <t>Rohan Kumar</t>
  </si>
  <si>
    <t>Research Engineer</t>
  </si>
  <si>
    <t>EMP00020</t>
  </si>
  <si>
    <t>Ananya Kapoor</t>
  </si>
  <si>
    <t>Operations Manager</t>
  </si>
  <si>
    <t>EMP00021</t>
  </si>
  <si>
    <t>Arjun Sethi</t>
  </si>
  <si>
    <t>Sales Manager</t>
  </si>
  <si>
    <t>EMP00022</t>
  </si>
  <si>
    <t>Diya Khan</t>
  </si>
  <si>
    <t>EMP00023</t>
  </si>
  <si>
    <t>Meera Malhotra</t>
  </si>
  <si>
    <t>EMP00024</t>
  </si>
  <si>
    <t>Arjun Tiwari</t>
  </si>
  <si>
    <t>EMP00025</t>
  </si>
  <si>
    <t>Arjun Singh</t>
  </si>
  <si>
    <t>UI/UX Designer</t>
  </si>
  <si>
    <t>EMP00026</t>
  </si>
  <si>
    <t>Ishita Khan</t>
  </si>
  <si>
    <t>Marketing Executive</t>
  </si>
  <si>
    <t>EMP00027</t>
  </si>
  <si>
    <t>Ishita Sethi</t>
  </si>
  <si>
    <t>Administration</t>
  </si>
  <si>
    <t>Office Manager</t>
  </si>
  <si>
    <t>EMP00028</t>
  </si>
  <si>
    <t>Sara Nair</t>
  </si>
  <si>
    <t>Support Manager</t>
  </si>
  <si>
    <t>EMP00029</t>
  </si>
  <si>
    <t>Admin Executive</t>
  </si>
  <si>
    <t>EMP00030</t>
  </si>
  <si>
    <t>Sara Patel</t>
  </si>
  <si>
    <t>SEO Specialist</t>
  </si>
  <si>
    <t>EMP00031</t>
  </si>
  <si>
    <t>Ananya Singh</t>
  </si>
  <si>
    <t>EMP00032</t>
  </si>
  <si>
    <t>Pooja Sethi</t>
  </si>
  <si>
    <t>EMP00033</t>
  </si>
  <si>
    <t>Aditya Khan</t>
  </si>
  <si>
    <t>EMP00034</t>
  </si>
  <si>
    <t>Rohan Mehta</t>
  </si>
  <si>
    <t>Admin Assistant</t>
  </si>
  <si>
    <t>EMP00035</t>
  </si>
  <si>
    <t>Aman Sethi</t>
  </si>
  <si>
    <t>EMP00036</t>
  </si>
  <si>
    <t>Arjun Dwivedi</t>
  </si>
  <si>
    <t>EMP00037</t>
  </si>
  <si>
    <t>Aman Dwivedi</t>
  </si>
  <si>
    <t>Recruiter</t>
  </si>
  <si>
    <t>EMP00038</t>
  </si>
  <si>
    <t>Rahul Tiwari</t>
  </si>
  <si>
    <t>EMP00039</t>
  </si>
  <si>
    <t>Aryan Mehta</t>
  </si>
  <si>
    <t>EMP00040</t>
  </si>
  <si>
    <t>Aman Gupta</t>
  </si>
  <si>
    <t>EMP00041</t>
  </si>
  <si>
    <t>Vikram Kapoor</t>
  </si>
  <si>
    <t>EMP00042</t>
  </si>
  <si>
    <t>Arun Mishra</t>
  </si>
  <si>
    <t>EMP00043</t>
  </si>
  <si>
    <t>Ananya Kumar</t>
  </si>
  <si>
    <t>EMP00044</t>
  </si>
  <si>
    <t>Meera Dwivedi</t>
  </si>
  <si>
    <t>EMP00045</t>
  </si>
  <si>
    <t>Kabir Singh</t>
  </si>
  <si>
    <t>Content Strategist</t>
  </si>
  <si>
    <t>EMP00046</t>
  </si>
  <si>
    <t>Lakhan Kumar</t>
  </si>
  <si>
    <t>HR Manager</t>
  </si>
  <si>
    <t>EMP00047</t>
  </si>
  <si>
    <t>Aarav Gupta</t>
  </si>
  <si>
    <t>EMP00048</t>
  </si>
  <si>
    <t>Aryan Nair</t>
  </si>
  <si>
    <t>EMP00049</t>
  </si>
  <si>
    <t>Finance</t>
  </si>
  <si>
    <t>Financial Analyst</t>
  </si>
  <si>
    <t>EMP00050</t>
  </si>
  <si>
    <t>Divyansh Patel</t>
  </si>
  <si>
    <t>Training Specialist</t>
  </si>
  <si>
    <t>EMP00051</t>
  </si>
  <si>
    <t>Karan Rao</t>
  </si>
  <si>
    <t>EMP00052</t>
  </si>
  <si>
    <t>Ishita Joshi</t>
  </si>
  <si>
    <t>EMP00053</t>
  </si>
  <si>
    <t>Govind Joshi</t>
  </si>
  <si>
    <t>EMP00054</t>
  </si>
  <si>
    <t>Anshul Chauhan</t>
  </si>
  <si>
    <t>EMP00055</t>
  </si>
  <si>
    <t>Aman Khan</t>
  </si>
  <si>
    <t>EMP00056</t>
  </si>
  <si>
    <t>Satyam Chauhan</t>
  </si>
  <si>
    <t>Software Engineer</t>
  </si>
  <si>
    <t>EMP00057</t>
  </si>
  <si>
    <t>Sara Sharma</t>
  </si>
  <si>
    <t>EMP00058</t>
  </si>
  <si>
    <t>Vikram Tiwari</t>
  </si>
  <si>
    <t>EMP00059</t>
  </si>
  <si>
    <t>Govind Nair</t>
  </si>
  <si>
    <t>EMP00060</t>
  </si>
  <si>
    <t>Sara Malhotra</t>
  </si>
  <si>
    <t>EMP00061</t>
  </si>
  <si>
    <t>Meera Mehta</t>
  </si>
  <si>
    <t>Auditor</t>
  </si>
  <si>
    <t>EMP00062</t>
  </si>
  <si>
    <t>EMP00063</t>
  </si>
  <si>
    <t>Govind Dwivedi</t>
  </si>
  <si>
    <t>EMP00064</t>
  </si>
  <si>
    <t>Aryan Sharma</t>
  </si>
  <si>
    <t>EMP00065</t>
  </si>
  <si>
    <t>Neha Upadhyay</t>
  </si>
  <si>
    <t>Data Analyst</t>
  </si>
  <si>
    <t>EMP00066</t>
  </si>
  <si>
    <t>Anshul Sharma</t>
  </si>
  <si>
    <t>EMP00067</t>
  </si>
  <si>
    <t>Aditi Mishra</t>
  </si>
  <si>
    <t>EMP00068</t>
  </si>
  <si>
    <t>Rahul Mishra</t>
  </si>
  <si>
    <t>EMP00069</t>
  </si>
  <si>
    <t>Yash Patel</t>
  </si>
  <si>
    <t>EMP00070</t>
  </si>
  <si>
    <t>Pooja Rao</t>
  </si>
  <si>
    <t>Facility Coordinator</t>
  </si>
  <si>
    <t>EMP00071</t>
  </si>
  <si>
    <t>Vihaan Tiwari</t>
  </si>
  <si>
    <t>EMP00072</t>
  </si>
  <si>
    <t>Rinku Kumar</t>
  </si>
  <si>
    <t>EMP00073</t>
  </si>
  <si>
    <t>Yash Nair</t>
  </si>
  <si>
    <t>EMP00074</t>
  </si>
  <si>
    <t>Aarav Upadhyay</t>
  </si>
  <si>
    <t>EMP00075</t>
  </si>
  <si>
    <t>Karan Nair</t>
  </si>
  <si>
    <t>Service Executive</t>
  </si>
  <si>
    <t>EMP00076</t>
  </si>
  <si>
    <t>Pooja Sharma</t>
  </si>
  <si>
    <t>EMP00077</t>
  </si>
  <si>
    <t>Satyam Mishra</t>
  </si>
  <si>
    <t>EMP00078</t>
  </si>
  <si>
    <t>Karan Das</t>
  </si>
  <si>
    <t>DevOps Engineer</t>
  </si>
  <si>
    <t>EMP00079</t>
  </si>
  <si>
    <t>Yash Tiwari</t>
  </si>
  <si>
    <t>EMP00080</t>
  </si>
  <si>
    <t>EMP00081</t>
  </si>
  <si>
    <t>Aditi Sharma</t>
  </si>
  <si>
    <t>EMP00082</t>
  </si>
  <si>
    <t>Pooja Gupta</t>
  </si>
  <si>
    <t>EMP00083</t>
  </si>
  <si>
    <t>Satyam Dwivedi</t>
  </si>
  <si>
    <t>Supply Chain Analyst</t>
  </si>
  <si>
    <t>EMP00084</t>
  </si>
  <si>
    <t>Vikram Mehta</t>
  </si>
  <si>
    <t>EMP00085</t>
  </si>
  <si>
    <t>Rinku Rao</t>
  </si>
  <si>
    <t>Transport Coordinator</t>
  </si>
  <si>
    <t>EMP00086</t>
  </si>
  <si>
    <t>Riya Nair</t>
  </si>
  <si>
    <t>EMP00087</t>
  </si>
  <si>
    <t>Ananya Nair</t>
  </si>
  <si>
    <t>EMP00088</t>
  </si>
  <si>
    <t>EMP00089</t>
  </si>
  <si>
    <t>Vihaan Rao</t>
  </si>
  <si>
    <t>EMP00090</t>
  </si>
  <si>
    <t>Satyam Malhotra</t>
  </si>
  <si>
    <t>EMP00091</t>
  </si>
  <si>
    <t>Rohan Kapoor</t>
  </si>
  <si>
    <t>EMP00092</t>
  </si>
  <si>
    <t>Rahul Joshi</t>
  </si>
  <si>
    <t>Business Development Executive</t>
  </si>
  <si>
    <t>EMP00093</t>
  </si>
  <si>
    <t>Rinku Sethi</t>
  </si>
  <si>
    <t>EMP00094</t>
  </si>
  <si>
    <t>Aditya Rao</t>
  </si>
  <si>
    <t>EMP00095</t>
  </si>
  <si>
    <t>Nisha Nair</t>
  </si>
  <si>
    <t>EMP00096</t>
  </si>
  <si>
    <t>Kabir Rao</t>
  </si>
  <si>
    <t>EMP00097</t>
  </si>
  <si>
    <t>Diya Joshi</t>
  </si>
  <si>
    <t>EMP00098</t>
  </si>
  <si>
    <t>Meera Gupta</t>
  </si>
  <si>
    <t>EMP00099</t>
  </si>
  <si>
    <t>Aarav Mishra</t>
  </si>
  <si>
    <t>EMP00100</t>
  </si>
  <si>
    <t>Finance Manager</t>
  </si>
  <si>
    <t>EMP00101</t>
  </si>
  <si>
    <t>Pooja Das</t>
  </si>
  <si>
    <t>EMP00102</t>
  </si>
  <si>
    <t>Arun Verma</t>
  </si>
  <si>
    <t>EMP00103</t>
  </si>
  <si>
    <t>Aryan Upadhyay</t>
  </si>
  <si>
    <t>EMP00104</t>
  </si>
  <si>
    <t>EMP00105</t>
  </si>
  <si>
    <t>Karan Upadhyay</t>
  </si>
  <si>
    <t>EMP00106</t>
  </si>
  <si>
    <t>Rohan Khan</t>
  </si>
  <si>
    <t>EMP00107</t>
  </si>
  <si>
    <t>Diya Sharma</t>
  </si>
  <si>
    <t>EMP00108</t>
  </si>
  <si>
    <t>EMP00109</t>
  </si>
  <si>
    <t>Divyansh Joshi</t>
  </si>
  <si>
    <t>EMP00110</t>
  </si>
  <si>
    <t>EMP00111</t>
  </si>
  <si>
    <t>Rinku Mehta</t>
  </si>
  <si>
    <t>EMP00112</t>
  </si>
  <si>
    <t>Aditi Nair</t>
  </si>
  <si>
    <t>EMP00113</t>
  </si>
  <si>
    <t>Arun Upadhyay</t>
  </si>
  <si>
    <t>Process Analyst</t>
  </si>
  <si>
    <t>EMP00114</t>
  </si>
  <si>
    <t>Pooja Chauhan</t>
  </si>
  <si>
    <t>Logistics Executive</t>
  </si>
  <si>
    <t>EMP00115</t>
  </si>
  <si>
    <t>Arun Sethi</t>
  </si>
  <si>
    <t>EMP00116</t>
  </si>
  <si>
    <t>Govind Gupta</t>
  </si>
  <si>
    <t>EMP00117</t>
  </si>
  <si>
    <t>Aditya Mishra</t>
  </si>
  <si>
    <t>EMP00118</t>
  </si>
  <si>
    <t>Ananya Malhotra</t>
  </si>
  <si>
    <t>EMP00119</t>
  </si>
  <si>
    <t>Rahul Kapoor</t>
  </si>
  <si>
    <t>EMP00120</t>
  </si>
  <si>
    <t>Riya Kumar</t>
  </si>
  <si>
    <t>EMP00121</t>
  </si>
  <si>
    <t>Satyam Rao</t>
  </si>
  <si>
    <t>EMP00122</t>
  </si>
  <si>
    <t>Ishita Gupta</t>
  </si>
  <si>
    <t>EMP00123</t>
  </si>
  <si>
    <t>Rinku Khan</t>
  </si>
  <si>
    <t>EMP00124</t>
  </si>
  <si>
    <t>Aryan Malhotra</t>
  </si>
  <si>
    <t>EMP00125</t>
  </si>
  <si>
    <t>Vihaan Chauhan</t>
  </si>
  <si>
    <t>Digital Marketing Analyst</t>
  </si>
  <si>
    <t>EMP00126</t>
  </si>
  <si>
    <t>Govind Sethi</t>
  </si>
  <si>
    <t>EMP00127</t>
  </si>
  <si>
    <t>Lakhan Mishra</t>
  </si>
  <si>
    <t>Payroll Analyst</t>
  </si>
  <si>
    <t>EMP00128</t>
  </si>
  <si>
    <t>EMP00129</t>
  </si>
  <si>
    <t>Govind Kumar</t>
  </si>
  <si>
    <t>EMP00130</t>
  </si>
  <si>
    <t>EMP00131</t>
  </si>
  <si>
    <t>Karan Kumar</t>
  </si>
  <si>
    <t>EMP00132</t>
  </si>
  <si>
    <t>Aditya Verma</t>
  </si>
  <si>
    <t>EMP00133</t>
  </si>
  <si>
    <t>Satyam Verma</t>
  </si>
  <si>
    <t>EMP00134</t>
  </si>
  <si>
    <t>Lakhan Gupta</t>
  </si>
  <si>
    <t>EMP00135</t>
  </si>
  <si>
    <t>Divyansh Singh</t>
  </si>
  <si>
    <t>EMP00136</t>
  </si>
  <si>
    <t>Rahul Nair</t>
  </si>
  <si>
    <t>EMP00137</t>
  </si>
  <si>
    <t>Karan Malhotra</t>
  </si>
  <si>
    <t>EMP00138</t>
  </si>
  <si>
    <t>Yash Khan</t>
  </si>
  <si>
    <t>EMP00139</t>
  </si>
  <si>
    <t>Riya Patel</t>
  </si>
  <si>
    <t>EMP00140</t>
  </si>
  <si>
    <t>Sara Khan</t>
  </si>
  <si>
    <t>EMP00141</t>
  </si>
  <si>
    <t>Ishita Malhotra</t>
  </si>
  <si>
    <t>EMP00142</t>
  </si>
  <si>
    <t>EMP00143</t>
  </si>
  <si>
    <t>Satyam Kapoor</t>
  </si>
  <si>
    <t>EMP00144</t>
  </si>
  <si>
    <t>Anshul Singh</t>
  </si>
  <si>
    <t>EMP00145</t>
  </si>
  <si>
    <t>Aryan Verma</t>
  </si>
  <si>
    <t>EMP00146</t>
  </si>
  <si>
    <t>Divyansh Mishra</t>
  </si>
  <si>
    <t>EMP00147</t>
  </si>
  <si>
    <t>Ram Tiwari</t>
  </si>
  <si>
    <t>EMP00148</t>
  </si>
  <si>
    <t>Ram Malhotra</t>
  </si>
  <si>
    <t>EMP00149</t>
  </si>
  <si>
    <t>Riya Gupta</t>
  </si>
  <si>
    <t>EMP00150</t>
  </si>
  <si>
    <t>Nisha Gupta</t>
  </si>
  <si>
    <t>EMP00151</t>
  </si>
  <si>
    <t>Ishita Verma</t>
  </si>
  <si>
    <t>EMP00152</t>
  </si>
  <si>
    <t>Aditi Mehta</t>
  </si>
  <si>
    <t>EMP00153</t>
  </si>
  <si>
    <t>Aditya Das</t>
  </si>
  <si>
    <t>EMP00154</t>
  </si>
  <si>
    <t>Satyam Nair</t>
  </si>
  <si>
    <t>EMP00155</t>
  </si>
  <si>
    <t>Ishita Kapoor</t>
  </si>
  <si>
    <t>EMP00156</t>
  </si>
  <si>
    <t>Rohan Gupta</t>
  </si>
  <si>
    <t>EMP00157</t>
  </si>
  <si>
    <t>EMP00158</t>
  </si>
  <si>
    <t>EMP00159</t>
  </si>
  <si>
    <t>Riya Khan</t>
  </si>
  <si>
    <t>EMP00160</t>
  </si>
  <si>
    <t>Divyansh Rao</t>
  </si>
  <si>
    <t>EMP00161</t>
  </si>
  <si>
    <t>EMP00162</t>
  </si>
  <si>
    <t>Rahul Upadhyay</t>
  </si>
  <si>
    <t>EMP00163</t>
  </si>
  <si>
    <t>Yash Sharma</t>
  </si>
  <si>
    <t>EMP00164</t>
  </si>
  <si>
    <t>Rinku Das</t>
  </si>
  <si>
    <t>EMP00165</t>
  </si>
  <si>
    <t>Kabir Dwivedi</t>
  </si>
  <si>
    <t>EMP00166</t>
  </si>
  <si>
    <t>Rahul Dwivedi</t>
  </si>
  <si>
    <t>EMP00167</t>
  </si>
  <si>
    <t>Yash Rao</t>
  </si>
  <si>
    <t>EMP00168</t>
  </si>
  <si>
    <t>Ananya Tiwari</t>
  </si>
  <si>
    <t>EMP00169</t>
  </si>
  <si>
    <t>Vikram Sethi</t>
  </si>
  <si>
    <t>EMP00170</t>
  </si>
  <si>
    <t>Ram Kapoor</t>
  </si>
  <si>
    <t>EMP00171</t>
  </si>
  <si>
    <t>EMP00172</t>
  </si>
  <si>
    <t>Meera Kapoor</t>
  </si>
  <si>
    <t>EMP00173</t>
  </si>
  <si>
    <t>EMP00174</t>
  </si>
  <si>
    <t>Divyansh Nair</t>
  </si>
  <si>
    <t>EMP00175</t>
  </si>
  <si>
    <t>EMP00176</t>
  </si>
  <si>
    <t>Govind Malhotra</t>
  </si>
  <si>
    <t>EMP00177</t>
  </si>
  <si>
    <t>Aditya Nair</t>
  </si>
  <si>
    <t>EMP00178</t>
  </si>
  <si>
    <t>Vihaan Upadhyay</t>
  </si>
  <si>
    <t>EMP00179</t>
  </si>
  <si>
    <t>Aditi Verma</t>
  </si>
  <si>
    <t>EMP00180</t>
  </si>
  <si>
    <t>EMP00181</t>
  </si>
  <si>
    <t>Meera Upadhyay</t>
  </si>
  <si>
    <t>EMP00182</t>
  </si>
  <si>
    <t>EMP00183</t>
  </si>
  <si>
    <t>EMP00184</t>
  </si>
  <si>
    <t>Riya Rao</t>
  </si>
  <si>
    <t>EMP00185</t>
  </si>
  <si>
    <t>Aarav Das</t>
  </si>
  <si>
    <t>EMP00186</t>
  </si>
  <si>
    <t>Anshul Nair</t>
  </si>
  <si>
    <t>EMP00187</t>
  </si>
  <si>
    <t>Divyansh Dwivedi</t>
  </si>
  <si>
    <t>EMP00188</t>
  </si>
  <si>
    <t>Sara Upadhyay</t>
  </si>
  <si>
    <t>EMP00189</t>
  </si>
  <si>
    <t>Vihaan Patel</t>
  </si>
  <si>
    <t>EMP00190</t>
  </si>
  <si>
    <t>Neha Kapoor</t>
  </si>
  <si>
    <t>EMP00191</t>
  </si>
  <si>
    <t>Rohan Patel</t>
  </si>
  <si>
    <t>EMP00192</t>
  </si>
  <si>
    <t>Lakhan Upadhyay</t>
  </si>
  <si>
    <t>EMP00193</t>
  </si>
  <si>
    <t>EMP00194</t>
  </si>
  <si>
    <t>Rahul Verma</t>
  </si>
  <si>
    <t>EMP00195</t>
  </si>
  <si>
    <t>Arun Mehta</t>
  </si>
  <si>
    <t>EMP00196</t>
  </si>
  <si>
    <t>EMP00197</t>
  </si>
  <si>
    <t>Aditi Das</t>
  </si>
  <si>
    <t>EMP00198</t>
  </si>
  <si>
    <t>Ishita Das</t>
  </si>
  <si>
    <t>EMP00199</t>
  </si>
  <si>
    <t>Sara Tiwari</t>
  </si>
  <si>
    <t>EMP00200</t>
  </si>
  <si>
    <t>Riya Malhotra</t>
  </si>
  <si>
    <t>EMP00201</t>
  </si>
  <si>
    <t>EMP00202</t>
  </si>
  <si>
    <t>Arjun Mehta</t>
  </si>
  <si>
    <t>EMP00203</t>
  </si>
  <si>
    <t>EMP00204</t>
  </si>
  <si>
    <t>Rohan Tiwari</t>
  </si>
  <si>
    <t>EMP00205</t>
  </si>
  <si>
    <t>EMP00206</t>
  </si>
  <si>
    <t>Aryan Patel</t>
  </si>
  <si>
    <t>EMP00207</t>
  </si>
  <si>
    <t>Nisha Rao</t>
  </si>
  <si>
    <t>EMP00208</t>
  </si>
  <si>
    <t>Meera Sethi</t>
  </si>
  <si>
    <t>EMP00209</t>
  </si>
  <si>
    <t>Rahul Chauhan</t>
  </si>
  <si>
    <t>EMP00210</t>
  </si>
  <si>
    <t>Anshul Sethi</t>
  </si>
  <si>
    <t>EMP00211</t>
  </si>
  <si>
    <t>Kabir Das</t>
  </si>
  <si>
    <t>EMP00212</t>
  </si>
  <si>
    <t>EMP00213</t>
  </si>
  <si>
    <t>EMP00214</t>
  </si>
  <si>
    <t>Arun Tiwari</t>
  </si>
  <si>
    <t>EMP00215</t>
  </si>
  <si>
    <t>Arun Kumar</t>
  </si>
  <si>
    <t>Accountant</t>
  </si>
  <si>
    <t>EMP00216</t>
  </si>
  <si>
    <t>EMP00217</t>
  </si>
  <si>
    <t>EMP00218</t>
  </si>
  <si>
    <t>EMP00219</t>
  </si>
  <si>
    <t>Aarav Dwivedi</t>
  </si>
  <si>
    <t>EMP00220</t>
  </si>
  <si>
    <t>Nisha Verma</t>
  </si>
  <si>
    <t>EMP00221</t>
  </si>
  <si>
    <t>Aditya Kapoor</t>
  </si>
  <si>
    <t>EMP00222</t>
  </si>
  <si>
    <t>EMP00223</t>
  </si>
  <si>
    <t>EMP00224</t>
  </si>
  <si>
    <t>Lakhan Das</t>
  </si>
  <si>
    <t>EMP00225</t>
  </si>
  <si>
    <t>Vihaan Mehta</t>
  </si>
  <si>
    <t>QA Engineer</t>
  </si>
  <si>
    <t>EMP00226</t>
  </si>
  <si>
    <t>EMP00227</t>
  </si>
  <si>
    <t>EMP00228</t>
  </si>
  <si>
    <t>Pooja Kapoor</t>
  </si>
  <si>
    <t>EMP00229</t>
  </si>
  <si>
    <t>Satyam Patel</t>
  </si>
  <si>
    <t>EMP00230</t>
  </si>
  <si>
    <t>Govind Mehta</t>
  </si>
  <si>
    <t>EMP00231</t>
  </si>
  <si>
    <t>Yash Singh</t>
  </si>
  <si>
    <t>EMP00232</t>
  </si>
  <si>
    <t>Anshul Malhotra</t>
  </si>
  <si>
    <t>EMP00233</t>
  </si>
  <si>
    <t>Divyansh Das</t>
  </si>
  <si>
    <t>EMP00234</t>
  </si>
  <si>
    <t>Aditya Upadhyay</t>
  </si>
  <si>
    <t>EMP00235</t>
  </si>
  <si>
    <t>Yash Verma</t>
  </si>
  <si>
    <t>EMP00236</t>
  </si>
  <si>
    <t>EMP00237</t>
  </si>
  <si>
    <t>Vikram Mishra</t>
  </si>
  <si>
    <t>EMP00238</t>
  </si>
  <si>
    <t>EMP00239</t>
  </si>
  <si>
    <t>Neha Das</t>
  </si>
  <si>
    <t>EMP00240</t>
  </si>
  <si>
    <t>EMP00241</t>
  </si>
  <si>
    <t>EMP00242</t>
  </si>
  <si>
    <t>Nisha Das</t>
  </si>
  <si>
    <t>EMP00243</t>
  </si>
  <si>
    <t>EMP00244</t>
  </si>
  <si>
    <t>Vihaan Verma</t>
  </si>
  <si>
    <t>EMP00245</t>
  </si>
  <si>
    <t>Aman Patel</t>
  </si>
  <si>
    <t>EMP00246</t>
  </si>
  <si>
    <t>Meera Patel</t>
  </si>
  <si>
    <t>EMP00247</t>
  </si>
  <si>
    <t>Karan Verma</t>
  </si>
  <si>
    <t>EMP00248</t>
  </si>
  <si>
    <t>Riya Verma</t>
  </si>
  <si>
    <t>EMP00249</t>
  </si>
  <si>
    <t>EMP00250</t>
  </si>
  <si>
    <t>Anshul Joshi</t>
  </si>
  <si>
    <t>EMP00251</t>
  </si>
  <si>
    <t>Anshul Mehta</t>
  </si>
  <si>
    <t>EMP00252</t>
  </si>
  <si>
    <t>Rinku Singh</t>
  </si>
  <si>
    <t>EMP00253</t>
  </si>
  <si>
    <t>Vihaan Dwivedi</t>
  </si>
  <si>
    <t>EMP00254</t>
  </si>
  <si>
    <t>Lakhan Kapoor</t>
  </si>
  <si>
    <t>EMP00255</t>
  </si>
  <si>
    <t>EMP00256</t>
  </si>
  <si>
    <t>Karan Dwivedi</t>
  </si>
  <si>
    <t>EMP00257</t>
  </si>
  <si>
    <t>Vihaan Joshi</t>
  </si>
  <si>
    <t>EMP00258</t>
  </si>
  <si>
    <t>Aarav Verma</t>
  </si>
  <si>
    <t>EMP00259</t>
  </si>
  <si>
    <t>Aditi Singh</t>
  </si>
  <si>
    <t>EMP00260</t>
  </si>
  <si>
    <t>EMP00261</t>
  </si>
  <si>
    <t>Aditi Malhotra</t>
  </si>
  <si>
    <t>EMP00262</t>
  </si>
  <si>
    <t>Arjun Malhotra</t>
  </si>
  <si>
    <t>EMP00263</t>
  </si>
  <si>
    <t>EMP00264</t>
  </si>
  <si>
    <t>Aditya Chauhan</t>
  </si>
  <si>
    <t>EMP00265</t>
  </si>
  <si>
    <t>Rahul Das</t>
  </si>
  <si>
    <t>EMP00266</t>
  </si>
  <si>
    <t>Diya Malhotra</t>
  </si>
  <si>
    <t>EMP00267</t>
  </si>
  <si>
    <t>Pooja Upadhyay</t>
  </si>
  <si>
    <t>EMP00268</t>
  </si>
  <si>
    <t>EMP00269</t>
  </si>
  <si>
    <t>Divyansh Upadhyay</t>
  </si>
  <si>
    <t>EMP00270</t>
  </si>
  <si>
    <t>EMP00271</t>
  </si>
  <si>
    <t>Ananya Joshi</t>
  </si>
  <si>
    <t>EMP00272</t>
  </si>
  <si>
    <t>Rinku Joshi</t>
  </si>
  <si>
    <t>EMP00273</t>
  </si>
  <si>
    <t>Riya Tiwari</t>
  </si>
  <si>
    <t>EMP00274</t>
  </si>
  <si>
    <t>Vihaan Mishra</t>
  </si>
  <si>
    <t>EMP00275</t>
  </si>
  <si>
    <t>Riya Mehta</t>
  </si>
  <si>
    <t>EMP00276</t>
  </si>
  <si>
    <t>EMP00277</t>
  </si>
  <si>
    <t>EMP00278</t>
  </si>
  <si>
    <t>EMP00279</t>
  </si>
  <si>
    <t>EMP00280</t>
  </si>
  <si>
    <t>Ram Upadhyay</t>
  </si>
  <si>
    <t>EMP00281</t>
  </si>
  <si>
    <t>Ishita Singh</t>
  </si>
  <si>
    <t>EMP00282</t>
  </si>
  <si>
    <t>EMP00283</t>
  </si>
  <si>
    <t>EMP00284</t>
  </si>
  <si>
    <t>Aman Rao</t>
  </si>
  <si>
    <t>EMP00285</t>
  </si>
  <si>
    <t>Arun Malhotra</t>
  </si>
  <si>
    <t>EMP00286</t>
  </si>
  <si>
    <t>EMP00287</t>
  </si>
  <si>
    <t>Pooja Kumar</t>
  </si>
  <si>
    <t>EMP00288</t>
  </si>
  <si>
    <t>Diya Das</t>
  </si>
  <si>
    <t>EMP00289</t>
  </si>
  <si>
    <t>EMP00290</t>
  </si>
  <si>
    <t>EMP00291</t>
  </si>
  <si>
    <t>Aarav Khan</t>
  </si>
  <si>
    <t>EMP00292</t>
  </si>
  <si>
    <t>Aman Upadhyay</t>
  </si>
  <si>
    <t>EMP00293</t>
  </si>
  <si>
    <t>Ananya Das</t>
  </si>
  <si>
    <t>EMP00294</t>
  </si>
  <si>
    <t>Ananya Mehta</t>
  </si>
  <si>
    <t>EMP00295</t>
  </si>
  <si>
    <t>Yash Dwivedi</t>
  </si>
  <si>
    <t>EMP00296</t>
  </si>
  <si>
    <t>EMP00297</t>
  </si>
  <si>
    <t>Vikram Upadhyay</t>
  </si>
  <si>
    <t>EMP00298</t>
  </si>
  <si>
    <t>Diya Tiwari</t>
  </si>
  <si>
    <t>EMP00299</t>
  </si>
  <si>
    <t>Arjun Chauhan</t>
  </si>
  <si>
    <t>EMP00300</t>
  </si>
  <si>
    <t>EMP00301</t>
  </si>
  <si>
    <t>Kabir Sharma</t>
  </si>
  <si>
    <t>EMP00302</t>
  </si>
  <si>
    <t>EMP00303</t>
  </si>
  <si>
    <t>EMP00304</t>
  </si>
  <si>
    <t>EMP00305</t>
  </si>
  <si>
    <t>EMP00306</t>
  </si>
  <si>
    <t>Govind Mishra</t>
  </si>
  <si>
    <t>EMP00307</t>
  </si>
  <si>
    <t>Aryan Khan</t>
  </si>
  <si>
    <t>EMP00308</t>
  </si>
  <si>
    <t>EMP00309</t>
  </si>
  <si>
    <t>EMP00310</t>
  </si>
  <si>
    <t>Rohan Singh</t>
  </si>
  <si>
    <t>EMP00311</t>
  </si>
  <si>
    <t>EMP00312</t>
  </si>
  <si>
    <t>Sara Mehta</t>
  </si>
  <si>
    <t>EMP00313</t>
  </si>
  <si>
    <t>Aditi Kapoor</t>
  </si>
  <si>
    <t>EMP00314</t>
  </si>
  <si>
    <t>Aditya Patel</t>
  </si>
  <si>
    <t>EMP00315</t>
  </si>
  <si>
    <t>Aryan Das</t>
  </si>
  <si>
    <t>EMP00316</t>
  </si>
  <si>
    <t>EMP00317</t>
  </si>
  <si>
    <t>EMP00318</t>
  </si>
  <si>
    <t>EMP00319</t>
  </si>
  <si>
    <t>EMP00320</t>
  </si>
  <si>
    <t>Rohan Joshi</t>
  </si>
  <si>
    <t>EMP00321</t>
  </si>
  <si>
    <t>EMP00322</t>
  </si>
  <si>
    <t>Kabir Kapoor</t>
  </si>
  <si>
    <t>EMP00323</t>
  </si>
  <si>
    <t>Vikram Joshi</t>
  </si>
  <si>
    <t>EMP00324</t>
  </si>
  <si>
    <t>Ram Kumar</t>
  </si>
  <si>
    <t>EMP00325</t>
  </si>
  <si>
    <t>EMP00326</t>
  </si>
  <si>
    <t>Lakhan Sethi</t>
  </si>
  <si>
    <t>EMP00327</t>
  </si>
  <si>
    <t>Ram Mishra</t>
  </si>
  <si>
    <t>EMP00328</t>
  </si>
  <si>
    <t>EMP00329</t>
  </si>
  <si>
    <t>EMP00330</t>
  </si>
  <si>
    <t>Anshul Dwivedi</t>
  </si>
  <si>
    <t>EMP00331</t>
  </si>
  <si>
    <t>EMP00332</t>
  </si>
  <si>
    <t>EMP00333</t>
  </si>
  <si>
    <t>Rohan Dwivedi</t>
  </si>
  <si>
    <t>EMP00334</t>
  </si>
  <si>
    <t>Nisha Malhotra</t>
  </si>
  <si>
    <t>EMP00335</t>
  </si>
  <si>
    <t>Karan Singh</t>
  </si>
  <si>
    <t>EMP00336</t>
  </si>
  <si>
    <t>EMP00337</t>
  </si>
  <si>
    <t>EMP00338</t>
  </si>
  <si>
    <t>EMP00339</t>
  </si>
  <si>
    <t>Rohan Upadhyay</t>
  </si>
  <si>
    <t>EMP00340</t>
  </si>
  <si>
    <t>Ishita Upadhyay</t>
  </si>
  <si>
    <t>EMP00341</t>
  </si>
  <si>
    <t>EMP00342</t>
  </si>
  <si>
    <t>EMP00343</t>
  </si>
  <si>
    <t>EMP00344</t>
  </si>
  <si>
    <t>EMP00345</t>
  </si>
  <si>
    <t>EMP00346</t>
  </si>
  <si>
    <t>Aarav Mehta</t>
  </si>
  <si>
    <t>EMP00347</t>
  </si>
  <si>
    <t>Diya Nair</t>
  </si>
  <si>
    <t>EMP00348</t>
  </si>
  <si>
    <t>EMP00349</t>
  </si>
  <si>
    <t>EMP00350</t>
  </si>
  <si>
    <t>Kabir Mehta</t>
  </si>
  <si>
    <t>EMP00351</t>
  </si>
  <si>
    <t>Kabir Nair</t>
  </si>
  <si>
    <t>EMP00352</t>
  </si>
  <si>
    <t>Ram Sethi</t>
  </si>
  <si>
    <t>EMP00353</t>
  </si>
  <si>
    <t>Aarav Malhotra</t>
  </si>
  <si>
    <t>EMP00354</t>
  </si>
  <si>
    <t>Arun Dwivedi</t>
  </si>
  <si>
    <t>EMP00355</t>
  </si>
  <si>
    <t>EMP00356</t>
  </si>
  <si>
    <t>EMP00357</t>
  </si>
  <si>
    <t>EMP00358</t>
  </si>
  <si>
    <t>EMP00359</t>
  </si>
  <si>
    <t>EMP00360</t>
  </si>
  <si>
    <t>Aman Malhotra</t>
  </si>
  <si>
    <t>EMP00361</t>
  </si>
  <si>
    <t>Anshul Verma</t>
  </si>
  <si>
    <t>EMP00362</t>
  </si>
  <si>
    <t>EMP00363</t>
  </si>
  <si>
    <t>Ishita Chauhan</t>
  </si>
  <si>
    <t>EMP00364</t>
  </si>
  <si>
    <t>EMP00365</t>
  </si>
  <si>
    <t>Meera Nair</t>
  </si>
  <si>
    <t>EMP00366</t>
  </si>
  <si>
    <t>Yash Joshi</t>
  </si>
  <si>
    <t>EMP00367</t>
  </si>
  <si>
    <t>Ram Das</t>
  </si>
  <si>
    <t>EMP00368</t>
  </si>
  <si>
    <t>Karan Tiwari</t>
  </si>
  <si>
    <t>EMP00369</t>
  </si>
  <si>
    <t>EMP00370</t>
  </si>
  <si>
    <t>Diya Patel</t>
  </si>
  <si>
    <t>EMP00371</t>
  </si>
  <si>
    <t>EMP00372</t>
  </si>
  <si>
    <t>Divyansh Verma</t>
  </si>
  <si>
    <t>EMP00373</t>
  </si>
  <si>
    <t>Yash Gupta</t>
  </si>
  <si>
    <t>EMP00374</t>
  </si>
  <si>
    <t>EMP00375</t>
  </si>
  <si>
    <t>Aman Verma</t>
  </si>
  <si>
    <t>EMP00376</t>
  </si>
  <si>
    <t>Diya Kapoor</t>
  </si>
  <si>
    <t>EMP00377</t>
  </si>
  <si>
    <t>EMP00378</t>
  </si>
  <si>
    <t>Diya Sethi</t>
  </si>
  <si>
    <t>EMP00379</t>
  </si>
  <si>
    <t>EMP00380</t>
  </si>
  <si>
    <t>Rahul Sethi</t>
  </si>
  <si>
    <t>EMP00381</t>
  </si>
  <si>
    <t>Arjun Upadhyay</t>
  </si>
  <si>
    <t>EMP00382</t>
  </si>
  <si>
    <t>EMP00383</t>
  </si>
  <si>
    <t>EMP00384</t>
  </si>
  <si>
    <t>Yash Mishra</t>
  </si>
  <si>
    <t>EMP00385</t>
  </si>
  <si>
    <t>EMP00386</t>
  </si>
  <si>
    <t>EMP00387</t>
  </si>
  <si>
    <t>EMP00388</t>
  </si>
  <si>
    <t>EMP00389</t>
  </si>
  <si>
    <t>Lakhan Nair</t>
  </si>
  <si>
    <t>EMP00390</t>
  </si>
  <si>
    <t>Rinku Tiwari</t>
  </si>
  <si>
    <t>EMP00391</t>
  </si>
  <si>
    <t>EMP00392</t>
  </si>
  <si>
    <t>Ram Khan</t>
  </si>
  <si>
    <t>EMP00393</t>
  </si>
  <si>
    <t>EMP00394</t>
  </si>
  <si>
    <t>Sara Joshi</t>
  </si>
  <si>
    <t>EMP00395</t>
  </si>
  <si>
    <t>Aman Kumar</t>
  </si>
  <si>
    <t>EMP00396</t>
  </si>
  <si>
    <t>Anshul Das</t>
  </si>
  <si>
    <t>EMP00397</t>
  </si>
  <si>
    <t>EMP00398</t>
  </si>
  <si>
    <t>Nisha Khan</t>
  </si>
  <si>
    <t>EMP00399</t>
  </si>
  <si>
    <t>Meera Rao</t>
  </si>
  <si>
    <t>EMP00400</t>
  </si>
  <si>
    <t>Arjun Kumar</t>
  </si>
  <si>
    <t>EMP00401</t>
  </si>
  <si>
    <t>EMP00402</t>
  </si>
  <si>
    <t>Arjun Gupta</t>
  </si>
  <si>
    <t>EMP00403</t>
  </si>
  <si>
    <t>EMP00404</t>
  </si>
  <si>
    <t>Ram Joshi</t>
  </si>
  <si>
    <t>EMP00405</t>
  </si>
  <si>
    <t>Aryan Gupta</t>
  </si>
  <si>
    <t>EMP00406</t>
  </si>
  <si>
    <t>EMP00407</t>
  </si>
  <si>
    <t>EMP00408</t>
  </si>
  <si>
    <t>Pooja Malhotra</t>
  </si>
  <si>
    <t>EMP00409</t>
  </si>
  <si>
    <t>Nisha Tiwari</t>
  </si>
  <si>
    <t>EMP00410</t>
  </si>
  <si>
    <t>EMP00411</t>
  </si>
  <si>
    <t>EMP00412</t>
  </si>
  <si>
    <t>Anshul Mishra</t>
  </si>
  <si>
    <t>EMP00413</t>
  </si>
  <si>
    <t>EMP00414</t>
  </si>
  <si>
    <t>Lakhan Verma</t>
  </si>
  <si>
    <t>EMP00415</t>
  </si>
  <si>
    <t>Vikram Nair</t>
  </si>
  <si>
    <t>EMP00416</t>
  </si>
  <si>
    <t>Aarav Kumar</t>
  </si>
  <si>
    <t>EMP00417</t>
  </si>
  <si>
    <t>Divyansh Khan</t>
  </si>
  <si>
    <t>EMP00418</t>
  </si>
  <si>
    <t>Vihaan Nair</t>
  </si>
  <si>
    <t>EMP00419</t>
  </si>
  <si>
    <t>EMP00420</t>
  </si>
  <si>
    <t>Nisha Patel</t>
  </si>
  <si>
    <t>EMP00421</t>
  </si>
  <si>
    <t>EMP00422</t>
  </si>
  <si>
    <t>Diya Singh</t>
  </si>
  <si>
    <t>EMP00423</t>
  </si>
  <si>
    <t>EMP00424</t>
  </si>
  <si>
    <t>Neha Singh</t>
  </si>
  <si>
    <t>EMP00425</t>
  </si>
  <si>
    <t>Karan Mehta</t>
  </si>
  <si>
    <t>EMP00426</t>
  </si>
  <si>
    <t>EMP00427</t>
  </si>
  <si>
    <t>EMP00428</t>
  </si>
  <si>
    <t>Aarav Rao</t>
  </si>
  <si>
    <t>EMP00429</t>
  </si>
  <si>
    <t>Aditya Mehta</t>
  </si>
  <si>
    <t>EMP00430</t>
  </si>
  <si>
    <t>EMP00431</t>
  </si>
  <si>
    <t>EMP00432</t>
  </si>
  <si>
    <t>EMP00433</t>
  </si>
  <si>
    <t>Meera Khan</t>
  </si>
  <si>
    <t>EMP00434</t>
  </si>
  <si>
    <t>EMP00435</t>
  </si>
  <si>
    <t>Yash Das</t>
  </si>
  <si>
    <t>EMP00436</t>
  </si>
  <si>
    <t>Yash Mehta</t>
  </si>
  <si>
    <t>EMP00437</t>
  </si>
  <si>
    <t>EMP00438</t>
  </si>
  <si>
    <t>EMP00439</t>
  </si>
  <si>
    <t>EMP00440</t>
  </si>
  <si>
    <t>Ananya Sharma</t>
  </si>
  <si>
    <t>EMP00441</t>
  </si>
  <si>
    <t>Govind Verma</t>
  </si>
  <si>
    <t>EMP00442</t>
  </si>
  <si>
    <t>EMP00443</t>
  </si>
  <si>
    <t>Aditi Patel</t>
  </si>
  <si>
    <t>EMP00444</t>
  </si>
  <si>
    <t>EMP00445</t>
  </si>
  <si>
    <t>Yash Kumar</t>
  </si>
  <si>
    <t>EMP00446</t>
  </si>
  <si>
    <t>Neha Mishra</t>
  </si>
  <si>
    <t>EMP00447</t>
  </si>
  <si>
    <t>EMP00448</t>
  </si>
  <si>
    <t>Riya Sethi</t>
  </si>
  <si>
    <t>EMP00449</t>
  </si>
  <si>
    <t>EMP00450</t>
  </si>
  <si>
    <t>Nisha Upadhyay</t>
  </si>
  <si>
    <t>EMP00451</t>
  </si>
  <si>
    <t>Riya Singh</t>
  </si>
  <si>
    <t>EMP00452</t>
  </si>
  <si>
    <t>EMP00453</t>
  </si>
  <si>
    <t>EMP00454</t>
  </si>
  <si>
    <t>EMP00455</t>
  </si>
  <si>
    <t>Aarav Tiwari</t>
  </si>
  <si>
    <t>EMP00456</t>
  </si>
  <si>
    <t>EMP00457</t>
  </si>
  <si>
    <t>Arjun Kapoor</t>
  </si>
  <si>
    <t>EMP00458</t>
  </si>
  <si>
    <t>EMP00459</t>
  </si>
  <si>
    <t>EMP00460</t>
  </si>
  <si>
    <t>Ram Sharma</t>
  </si>
  <si>
    <t>EMP00461</t>
  </si>
  <si>
    <t>Vikram Dwivedi</t>
  </si>
  <si>
    <t>EMP00462</t>
  </si>
  <si>
    <t>Ram Verma</t>
  </si>
  <si>
    <t>EMP00463</t>
  </si>
  <si>
    <t>Govind Tiwari</t>
  </si>
  <si>
    <t>EMP00464</t>
  </si>
  <si>
    <t>EMP00465</t>
  </si>
  <si>
    <t>Ram Nair</t>
  </si>
  <si>
    <t>EMP00466</t>
  </si>
  <si>
    <t>Aditya Gupta</t>
  </si>
  <si>
    <t>EMP00467</t>
  </si>
  <si>
    <t>Meera Sharma</t>
  </si>
  <si>
    <t>EMP00468</t>
  </si>
  <si>
    <t>Neha Malhotra</t>
  </si>
  <si>
    <t>EMP00469</t>
  </si>
  <si>
    <t>Neha Sethi</t>
  </si>
  <si>
    <t>EMP00470</t>
  </si>
  <si>
    <t>EMP00471</t>
  </si>
  <si>
    <t>EMP00472</t>
  </si>
  <si>
    <t>EMP00473</t>
  </si>
  <si>
    <t>EMP00474</t>
  </si>
  <si>
    <t>EMP00475</t>
  </si>
  <si>
    <t>Pooja Khan</t>
  </si>
  <si>
    <t>EMP00476</t>
  </si>
  <si>
    <t>EMP00477</t>
  </si>
  <si>
    <t>EMP00478</t>
  </si>
  <si>
    <t>Nisha Mishra</t>
  </si>
  <si>
    <t>EMP00479</t>
  </si>
  <si>
    <t>EMP00480</t>
  </si>
  <si>
    <t>EMP00481</t>
  </si>
  <si>
    <t>EMP00482</t>
  </si>
  <si>
    <t>EMP00483</t>
  </si>
  <si>
    <t>EMP00484</t>
  </si>
  <si>
    <t>EMP00485</t>
  </si>
  <si>
    <t>EMP00486</t>
  </si>
  <si>
    <t>Karan Mishra</t>
  </si>
  <si>
    <t>EMP00487</t>
  </si>
  <si>
    <t>Satyam Sethi</t>
  </si>
  <si>
    <t>EMP00488</t>
  </si>
  <si>
    <t>EMP00489</t>
  </si>
  <si>
    <t>Vikram Khan</t>
  </si>
  <si>
    <t>EMP00490</t>
  </si>
  <si>
    <t>EMP00491</t>
  </si>
  <si>
    <t>EMP00492</t>
  </si>
  <si>
    <t>EMP00493</t>
  </si>
  <si>
    <t>Meera Chauhan</t>
  </si>
  <si>
    <t>EMP00494</t>
  </si>
  <si>
    <t>EMP00495</t>
  </si>
  <si>
    <t>EMP00496</t>
  </si>
  <si>
    <t>Nisha Sethi</t>
  </si>
  <si>
    <t>EMP00497</t>
  </si>
  <si>
    <t>Nisha Kapoor</t>
  </si>
  <si>
    <t>EMP00498</t>
  </si>
  <si>
    <t>EMP00499</t>
  </si>
  <si>
    <t>EMP00500</t>
  </si>
  <si>
    <t>Diya Dwivedi</t>
  </si>
  <si>
    <t>Monthly Salary</t>
  </si>
  <si>
    <t>Years at Company</t>
  </si>
  <si>
    <t>Job Satisfaction</t>
  </si>
  <si>
    <t>Work-Life Balance</t>
  </si>
  <si>
    <t>Overtime</t>
  </si>
  <si>
    <t>Attrition Status</t>
  </si>
  <si>
    <t>Exit Reason</t>
  </si>
  <si>
    <t>Exit Date</t>
  </si>
  <si>
    <t>Yes</t>
  </si>
  <si>
    <t>Active</t>
  </si>
  <si>
    <t>No</t>
  </si>
  <si>
    <t>Exited</t>
  </si>
  <si>
    <t>Better Opportunity</t>
  </si>
  <si>
    <t>Career Growth</t>
  </si>
  <si>
    <t>Relocation</t>
  </si>
  <si>
    <t>Work Pressure</t>
  </si>
  <si>
    <t>Compensation</t>
  </si>
  <si>
    <t>Personal Reasons</t>
  </si>
  <si>
    <t>Higher Studies</t>
  </si>
  <si>
    <t>Management</t>
  </si>
  <si>
    <t>Application ID</t>
  </si>
  <si>
    <t>Application Date</t>
  </si>
  <si>
    <t>Candidate Name</t>
  </si>
  <si>
    <t>Source</t>
  </si>
  <si>
    <t>Experience (Years)</t>
  </si>
  <si>
    <t>Education</t>
  </si>
  <si>
    <t>Screening Score</t>
  </si>
  <si>
    <t>Interview Score</t>
  </si>
  <si>
    <t>Stage</t>
  </si>
  <si>
    <t>Offer Status</t>
  </si>
  <si>
    <t>Days to Hire</t>
  </si>
  <si>
    <t>APP00001</t>
  </si>
  <si>
    <t>LinkedIn</t>
  </si>
  <si>
    <t>MBA</t>
  </si>
  <si>
    <t>Hired</t>
  </si>
  <si>
    <t>Accepted</t>
  </si>
  <si>
    <t>Recruiter A</t>
  </si>
  <si>
    <t>APP00002</t>
  </si>
  <si>
    <t>Company Website</t>
  </si>
  <si>
    <t>MCA</t>
  </si>
  <si>
    <t>Applied</t>
  </si>
  <si>
    <t>N/A</t>
  </si>
  <si>
    <t>Recruiter E</t>
  </si>
  <si>
    <t>APP00003</t>
  </si>
  <si>
    <t>Riya Kapoor</t>
  </si>
  <si>
    <t>Diploma</t>
  </si>
  <si>
    <t>Offered</t>
  </si>
  <si>
    <t>Pending</t>
  </si>
  <si>
    <t>Recruiter B</t>
  </si>
  <si>
    <t>APP00004</t>
  </si>
  <si>
    <t>Employee Referral</t>
  </si>
  <si>
    <t>APP00005</t>
  </si>
  <si>
    <t>Consultancy</t>
  </si>
  <si>
    <t>Recruiter D</t>
  </si>
  <si>
    <t>APP00006</t>
  </si>
  <si>
    <t>Rohan Sharma</t>
  </si>
  <si>
    <t>Other</t>
  </si>
  <si>
    <t>Rejected</t>
  </si>
  <si>
    <t>APP00007</t>
  </si>
  <si>
    <t>Aman Mishra</t>
  </si>
  <si>
    <t>APP00008</t>
  </si>
  <si>
    <t>APP00009</t>
  </si>
  <si>
    <t>Job Portal</t>
  </si>
  <si>
    <t>B.Tech</t>
  </si>
  <si>
    <t>APP00010</t>
  </si>
  <si>
    <t>APP00011</t>
  </si>
  <si>
    <t>Vihaan Kumar</t>
  </si>
  <si>
    <t>Social Media</t>
  </si>
  <si>
    <t>Screened</t>
  </si>
  <si>
    <t>APP00012</t>
  </si>
  <si>
    <t>Graduate</t>
  </si>
  <si>
    <t>APP00013</t>
  </si>
  <si>
    <t>APP00014</t>
  </si>
  <si>
    <t>Rinku Nair</t>
  </si>
  <si>
    <t>APP00015</t>
  </si>
  <si>
    <t>Interviewed</t>
  </si>
  <si>
    <t>APP00016</t>
  </si>
  <si>
    <t>Rahul Rao</t>
  </si>
  <si>
    <t>Recruiter C</t>
  </si>
  <si>
    <t>APP00017</t>
  </si>
  <si>
    <t>Meera Kumar</t>
  </si>
  <si>
    <t>APP00018</t>
  </si>
  <si>
    <t>APP00019</t>
  </si>
  <si>
    <t>Govind Rao</t>
  </si>
  <si>
    <t>APP00020</t>
  </si>
  <si>
    <t>Aditi Gupta</t>
  </si>
  <si>
    <t>APP00021</t>
  </si>
  <si>
    <t>Campus</t>
  </si>
  <si>
    <t>APP00022</t>
  </si>
  <si>
    <t>Karan Joshi</t>
  </si>
  <si>
    <t>APP00023</t>
  </si>
  <si>
    <t>APP00024</t>
  </si>
  <si>
    <t>APP00025</t>
  </si>
  <si>
    <t>APP00026</t>
  </si>
  <si>
    <t>APP00027</t>
  </si>
  <si>
    <t>APP00028</t>
  </si>
  <si>
    <t>APP00029</t>
  </si>
  <si>
    <t>APP00030</t>
  </si>
  <si>
    <t>Lakhan Joshi</t>
  </si>
  <si>
    <t>APP00031</t>
  </si>
  <si>
    <t>APP00032</t>
  </si>
  <si>
    <t>APP00033</t>
  </si>
  <si>
    <t>Lakhan Patel</t>
  </si>
  <si>
    <t>APP00034</t>
  </si>
  <si>
    <t>Post Graduate</t>
  </si>
  <si>
    <t>APP00035</t>
  </si>
  <si>
    <t>Aryan Kumar</t>
  </si>
  <si>
    <t>APP00036</t>
  </si>
  <si>
    <t>APP00037</t>
  </si>
  <si>
    <t>APP00038</t>
  </si>
  <si>
    <t>APP00039</t>
  </si>
  <si>
    <t>APP00040</t>
  </si>
  <si>
    <t>APP00041</t>
  </si>
  <si>
    <t>Govind Kapoor</t>
  </si>
  <si>
    <t>APP00042</t>
  </si>
  <si>
    <t>APP00043</t>
  </si>
  <si>
    <t>Aditya Tiwari</t>
  </si>
  <si>
    <t>APP00044</t>
  </si>
  <si>
    <t>APP00045</t>
  </si>
  <si>
    <t>APP00046</t>
  </si>
  <si>
    <t>APP00047</t>
  </si>
  <si>
    <t>APP00048</t>
  </si>
  <si>
    <t>APP00049</t>
  </si>
  <si>
    <t>Rinku Dwivedi</t>
  </si>
  <si>
    <t>APP00050</t>
  </si>
  <si>
    <t>APP00051</t>
  </si>
  <si>
    <t>Neha Kumar</t>
  </si>
  <si>
    <t>APP00052</t>
  </si>
  <si>
    <t>Aman Sharma</t>
  </si>
  <si>
    <t>APP00053</t>
  </si>
  <si>
    <t>Satyam Joshi</t>
  </si>
  <si>
    <t>APP00054</t>
  </si>
  <si>
    <t>APP00055</t>
  </si>
  <si>
    <t>Yash Kapoor</t>
  </si>
  <si>
    <t>APP00056</t>
  </si>
  <si>
    <t>Anshul Khan</t>
  </si>
  <si>
    <t>APP00057</t>
  </si>
  <si>
    <t>APP00058</t>
  </si>
  <si>
    <t>Kabir Malhotra</t>
  </si>
  <si>
    <t>APP00059</t>
  </si>
  <si>
    <t>APP00060</t>
  </si>
  <si>
    <t>APP00061</t>
  </si>
  <si>
    <t>APP00062</t>
  </si>
  <si>
    <t>Neha Nair</t>
  </si>
  <si>
    <t>APP00063</t>
  </si>
  <si>
    <t>Sara Dwivedi</t>
  </si>
  <si>
    <t>APP00064</t>
  </si>
  <si>
    <t>APP00065</t>
  </si>
  <si>
    <t>Arun Sharma</t>
  </si>
  <si>
    <t>APP00066</t>
  </si>
  <si>
    <t>APP00067</t>
  </si>
  <si>
    <t>Govind Sharma</t>
  </si>
  <si>
    <t>APP00068</t>
  </si>
  <si>
    <t>Aditi Kumar</t>
  </si>
  <si>
    <t>APP00069</t>
  </si>
  <si>
    <t>APP00070</t>
  </si>
  <si>
    <t>APP00071</t>
  </si>
  <si>
    <t>Karan Patel</t>
  </si>
  <si>
    <t>APP00072</t>
  </si>
  <si>
    <t>Neha Patel</t>
  </si>
  <si>
    <t>APP00073</t>
  </si>
  <si>
    <t>APP00074</t>
  </si>
  <si>
    <t>APP00075</t>
  </si>
  <si>
    <t>APP00076</t>
  </si>
  <si>
    <t>APP00077</t>
  </si>
  <si>
    <t>APP00078</t>
  </si>
  <si>
    <t>Kabir Chauhan</t>
  </si>
  <si>
    <t>APP00079</t>
  </si>
  <si>
    <t>APP00080</t>
  </si>
  <si>
    <t>Sara Sethi</t>
  </si>
  <si>
    <t>APP00081</t>
  </si>
  <si>
    <t>APP00082</t>
  </si>
  <si>
    <t>APP00083</t>
  </si>
  <si>
    <t>APP00084</t>
  </si>
  <si>
    <t>Diya Rao</t>
  </si>
  <si>
    <t>APP00085</t>
  </si>
  <si>
    <t>APP00086</t>
  </si>
  <si>
    <t>Rohan Verma</t>
  </si>
  <si>
    <t>APP00087</t>
  </si>
  <si>
    <t>APP00088</t>
  </si>
  <si>
    <t>Aarav Nair</t>
  </si>
  <si>
    <t>APP00089</t>
  </si>
  <si>
    <t>APP00090</t>
  </si>
  <si>
    <t>Aditi Chauhan</t>
  </si>
  <si>
    <t>APP00091</t>
  </si>
  <si>
    <t>Neha Verma</t>
  </si>
  <si>
    <t>APP00092</t>
  </si>
  <si>
    <t>APP00093</t>
  </si>
  <si>
    <t>Ram Dwivedi</t>
  </si>
  <si>
    <t>APP00094</t>
  </si>
  <si>
    <t>APP00095</t>
  </si>
  <si>
    <t>APP00096</t>
  </si>
  <si>
    <t>APP00097</t>
  </si>
  <si>
    <t>Meera Verma</t>
  </si>
  <si>
    <t>APP00098</t>
  </si>
  <si>
    <t>Ishita Mishra</t>
  </si>
  <si>
    <t>APP00099</t>
  </si>
  <si>
    <t>APP00100</t>
  </si>
  <si>
    <t>APP00101</t>
  </si>
  <si>
    <t>APP00102</t>
  </si>
  <si>
    <t>APP00103</t>
  </si>
  <si>
    <t>APP00104</t>
  </si>
  <si>
    <t>Kabir Gupta</t>
  </si>
  <si>
    <t>APP00105</t>
  </si>
  <si>
    <t>Karan Sharma</t>
  </si>
  <si>
    <t>APP00106</t>
  </si>
  <si>
    <t>APP00107</t>
  </si>
  <si>
    <t>APP00108</t>
  </si>
  <si>
    <t>APP00109</t>
  </si>
  <si>
    <t>Rinku Chauhan</t>
  </si>
  <si>
    <t>APP00110</t>
  </si>
  <si>
    <t>Aditya Malhotra</t>
  </si>
  <si>
    <t>APP00111</t>
  </si>
  <si>
    <t>Rohan Mishra</t>
  </si>
  <si>
    <t>APP00112</t>
  </si>
  <si>
    <t>APP00113</t>
  </si>
  <si>
    <t>APP00114</t>
  </si>
  <si>
    <t>Anshul Gupta</t>
  </si>
  <si>
    <t>APP00115</t>
  </si>
  <si>
    <t>APP00116</t>
  </si>
  <si>
    <t>APP00117</t>
  </si>
  <si>
    <t>APP00118</t>
  </si>
  <si>
    <t>Lakhan Dwivedi</t>
  </si>
  <si>
    <t>APP00119</t>
  </si>
  <si>
    <t>Aditi Khan</t>
  </si>
  <si>
    <t>APP00120</t>
  </si>
  <si>
    <t>APP00121</t>
  </si>
  <si>
    <t>Lakhan Malhotra</t>
  </si>
  <si>
    <t>APP00122</t>
  </si>
  <si>
    <t>APP00123</t>
  </si>
  <si>
    <t>Vikram Kumar</t>
  </si>
  <si>
    <t>APP00124</t>
  </si>
  <si>
    <t>Nisha Chauhan</t>
  </si>
  <si>
    <t>APP00125</t>
  </si>
  <si>
    <t>Divyansh Tiwari</t>
  </si>
  <si>
    <t>APP00126</t>
  </si>
  <si>
    <t>APP00127</t>
  </si>
  <si>
    <t>Pooja Mishra</t>
  </si>
  <si>
    <t>APP00128</t>
  </si>
  <si>
    <t>APP00129</t>
  </si>
  <si>
    <t>Pooja Verma</t>
  </si>
  <si>
    <t>APP00130</t>
  </si>
  <si>
    <t>Rohan Nair</t>
  </si>
  <si>
    <t>APP00131</t>
  </si>
  <si>
    <t>APP00132</t>
  </si>
  <si>
    <t>APP00133</t>
  </si>
  <si>
    <t>APP00134</t>
  </si>
  <si>
    <t>APP00135</t>
  </si>
  <si>
    <t>APP00136</t>
  </si>
  <si>
    <t>APP00137</t>
  </si>
  <si>
    <t>APP00138</t>
  </si>
  <si>
    <t>Aditi Dwivedi</t>
  </si>
  <si>
    <t>APP00139</t>
  </si>
  <si>
    <t>Aditi Upadhyay</t>
  </si>
  <si>
    <t>APP00140</t>
  </si>
  <si>
    <t>Riya Dwivedi</t>
  </si>
  <si>
    <t>APP00141</t>
  </si>
  <si>
    <t>APP00142</t>
  </si>
  <si>
    <t>Sara Das</t>
  </si>
  <si>
    <t>APP00143</t>
  </si>
  <si>
    <t>Diya Mehta</t>
  </si>
  <si>
    <t>APP00144</t>
  </si>
  <si>
    <t>Arun Rao</t>
  </si>
  <si>
    <t>APP00145</t>
  </si>
  <si>
    <t>Neha Sharma</t>
  </si>
  <si>
    <t>APP00146</t>
  </si>
  <si>
    <t>Karan Khan</t>
  </si>
  <si>
    <t>APP00147</t>
  </si>
  <si>
    <t>APP00148</t>
  </si>
  <si>
    <t>APP00149</t>
  </si>
  <si>
    <t>APP00150</t>
  </si>
  <si>
    <t>APP00151</t>
  </si>
  <si>
    <t>APP00152</t>
  </si>
  <si>
    <t>APP00153</t>
  </si>
  <si>
    <t>APP00154</t>
  </si>
  <si>
    <t>Kabir Verma</t>
  </si>
  <si>
    <t>APP00155</t>
  </si>
  <si>
    <t>APP00156</t>
  </si>
  <si>
    <t>APP00157</t>
  </si>
  <si>
    <t>Rohan Sethi</t>
  </si>
  <si>
    <t>APP00158</t>
  </si>
  <si>
    <t>Divyansh Kapoor</t>
  </si>
  <si>
    <t>APP00159</t>
  </si>
  <si>
    <t>Aryan Mishra</t>
  </si>
  <si>
    <t>APP00160</t>
  </si>
  <si>
    <t>APP00161</t>
  </si>
  <si>
    <t>APP00162</t>
  </si>
  <si>
    <t>Karan Sethi</t>
  </si>
  <si>
    <t>APP00163</t>
  </si>
  <si>
    <t>APP00164</t>
  </si>
  <si>
    <t>APP00165</t>
  </si>
  <si>
    <t>APP00166</t>
  </si>
  <si>
    <t>Satyam Das</t>
  </si>
  <si>
    <t>APP00167</t>
  </si>
  <si>
    <t>APP00168</t>
  </si>
  <si>
    <t>Ram Chauhan</t>
  </si>
  <si>
    <t>APP00169</t>
  </si>
  <si>
    <t>APP00170</t>
  </si>
  <si>
    <t>APP00171</t>
  </si>
  <si>
    <t>Pooja Tiwari</t>
  </si>
  <si>
    <t>APP00172</t>
  </si>
  <si>
    <t>Riya Upadhyay</t>
  </si>
  <si>
    <t>APP00173</t>
  </si>
  <si>
    <t>APP00174</t>
  </si>
  <si>
    <t>Sara Rao</t>
  </si>
  <si>
    <t>APP00175</t>
  </si>
  <si>
    <t>APP00176</t>
  </si>
  <si>
    <t>APP00177</t>
  </si>
  <si>
    <t>Lakhan Mehta</t>
  </si>
  <si>
    <t>APP00178</t>
  </si>
  <si>
    <t>Neha Joshi</t>
  </si>
  <si>
    <t>APP00179</t>
  </si>
  <si>
    <t>APP00180</t>
  </si>
  <si>
    <t>Ishita Rao</t>
  </si>
  <si>
    <t>APP00181</t>
  </si>
  <si>
    <t>Pooja Singh</t>
  </si>
  <si>
    <t>APP00182</t>
  </si>
  <si>
    <t>APP00183</t>
  </si>
  <si>
    <t>APP00184</t>
  </si>
  <si>
    <t>Ishita Mehta</t>
  </si>
  <si>
    <t>APP00185</t>
  </si>
  <si>
    <t>APP00186</t>
  </si>
  <si>
    <t>Kabir Kumar</t>
  </si>
  <si>
    <t>APP00187</t>
  </si>
  <si>
    <t>APP00188</t>
  </si>
  <si>
    <t>APP00189</t>
  </si>
  <si>
    <t>APP00190</t>
  </si>
  <si>
    <t>APP00191</t>
  </si>
  <si>
    <t>Lakhan Sharma</t>
  </si>
  <si>
    <t>APP00192</t>
  </si>
  <si>
    <t>APP00193</t>
  </si>
  <si>
    <t>APP00194</t>
  </si>
  <si>
    <t>Rohan Das</t>
  </si>
  <si>
    <t>APP00195</t>
  </si>
  <si>
    <t>Vikram Verma</t>
  </si>
  <si>
    <t>APP00196</t>
  </si>
  <si>
    <t>APP00197</t>
  </si>
  <si>
    <t>Satyam Upadhyay</t>
  </si>
  <si>
    <t>APP00198</t>
  </si>
  <si>
    <t>Ishita Sharma</t>
  </si>
  <si>
    <t>APP00199</t>
  </si>
  <si>
    <t>APP00200</t>
  </si>
  <si>
    <t>Arjun Joshi</t>
  </si>
  <si>
    <t>APP00201</t>
  </si>
  <si>
    <t>APP00202</t>
  </si>
  <si>
    <t>APP00203</t>
  </si>
  <si>
    <t>APP00204</t>
  </si>
  <si>
    <t>APP00205</t>
  </si>
  <si>
    <t>APP00206</t>
  </si>
  <si>
    <t>APP00207</t>
  </si>
  <si>
    <t>Rinku Gupta</t>
  </si>
  <si>
    <t>APP00208</t>
  </si>
  <si>
    <t>APP00209</t>
  </si>
  <si>
    <t>APP00210</t>
  </si>
  <si>
    <t>Arjun Mishra</t>
  </si>
  <si>
    <t>APP00211</t>
  </si>
  <si>
    <t>APP00212</t>
  </si>
  <si>
    <t>Aman Das</t>
  </si>
  <si>
    <t>APP00213</t>
  </si>
  <si>
    <t>Pooja Joshi</t>
  </si>
  <si>
    <t>APP00214</t>
  </si>
  <si>
    <t>Anshul Kapoor</t>
  </si>
  <si>
    <t>APP00215</t>
  </si>
  <si>
    <t>APP00216</t>
  </si>
  <si>
    <t>APP00217</t>
  </si>
  <si>
    <t>Ram Mehta</t>
  </si>
  <si>
    <t>APP00218</t>
  </si>
  <si>
    <t>APP00219</t>
  </si>
  <si>
    <t>APP00220</t>
  </si>
  <si>
    <t>APP00221</t>
  </si>
  <si>
    <t>Rahul Kumar</t>
  </si>
  <si>
    <t>APP00222</t>
  </si>
  <si>
    <t>APP00223</t>
  </si>
  <si>
    <t>APP00224</t>
  </si>
  <si>
    <t>APP00225</t>
  </si>
  <si>
    <t>APP00226</t>
  </si>
  <si>
    <t>APP00227</t>
  </si>
  <si>
    <t>Rahul Sharma</t>
  </si>
  <si>
    <t>APP00228</t>
  </si>
  <si>
    <t>APP00229</t>
  </si>
  <si>
    <t>Satyam Tiwari</t>
  </si>
  <si>
    <t>APP00230</t>
  </si>
  <si>
    <t>APP00231</t>
  </si>
  <si>
    <t>Sara Kumar</t>
  </si>
  <si>
    <t>APP00232</t>
  </si>
  <si>
    <t>APP00233</t>
  </si>
  <si>
    <t>APP00234</t>
  </si>
  <si>
    <t>APP00235</t>
  </si>
  <si>
    <t>Lakhan Khan</t>
  </si>
  <si>
    <t>APP00236</t>
  </si>
  <si>
    <t>APP00237</t>
  </si>
  <si>
    <t>APP00238</t>
  </si>
  <si>
    <t>Aman Tiwari</t>
  </si>
  <si>
    <t>APP00239</t>
  </si>
  <si>
    <t>Lakhan Chauhan</t>
  </si>
  <si>
    <t>APP00240</t>
  </si>
  <si>
    <t>APP00241</t>
  </si>
  <si>
    <t>APP00242</t>
  </si>
  <si>
    <t>APP00243</t>
  </si>
  <si>
    <t>APP00244</t>
  </si>
  <si>
    <t>APP00245</t>
  </si>
  <si>
    <t>APP00246</t>
  </si>
  <si>
    <t>Arjun Verma</t>
  </si>
  <si>
    <t>APP00247</t>
  </si>
  <si>
    <t>Ananya Dwivedi</t>
  </si>
  <si>
    <t>APP00248</t>
  </si>
  <si>
    <t>APP00249</t>
  </si>
  <si>
    <t>Vikram Sharma</t>
  </si>
  <si>
    <t>APP00250</t>
  </si>
  <si>
    <t>APP00251</t>
  </si>
  <si>
    <t>Kabir Mishra</t>
  </si>
  <si>
    <t>APP00252</t>
  </si>
  <si>
    <t>Aman Chauhan</t>
  </si>
  <si>
    <t>APP00253</t>
  </si>
  <si>
    <t>APP00254</t>
  </si>
  <si>
    <t>APP00255</t>
  </si>
  <si>
    <t>APP00256</t>
  </si>
  <si>
    <t>Anshul Kumar</t>
  </si>
  <si>
    <t>APP00257</t>
  </si>
  <si>
    <t>APP00258</t>
  </si>
  <si>
    <t>Aryan Chauhan</t>
  </si>
  <si>
    <t>APP00259</t>
  </si>
  <si>
    <t>APP00260</t>
  </si>
  <si>
    <t>APP00261</t>
  </si>
  <si>
    <t>APP00262</t>
  </si>
  <si>
    <t>Rinku Upadhyay</t>
  </si>
  <si>
    <t>APP00263</t>
  </si>
  <si>
    <t>Govind Khan</t>
  </si>
  <si>
    <t>APP00264</t>
  </si>
  <si>
    <t>APP00265</t>
  </si>
  <si>
    <t>APP00266</t>
  </si>
  <si>
    <t>Satyam Khan</t>
  </si>
  <si>
    <t>APP00267</t>
  </si>
  <si>
    <t>APP00268</t>
  </si>
  <si>
    <t>Aditi Sethi</t>
  </si>
  <si>
    <t>APP00269</t>
  </si>
  <si>
    <t>APP00270</t>
  </si>
  <si>
    <t>APP00271</t>
  </si>
  <si>
    <t>Yash Chauhan</t>
  </si>
  <si>
    <t>APP00272</t>
  </si>
  <si>
    <t>APP00273</t>
  </si>
  <si>
    <t>APP00274</t>
  </si>
  <si>
    <t>Satyam Mehta</t>
  </si>
  <si>
    <t>APP00275</t>
  </si>
  <si>
    <t>APP00276</t>
  </si>
  <si>
    <t>Meera Das</t>
  </si>
  <si>
    <t>APP00277</t>
  </si>
  <si>
    <t>APP00278</t>
  </si>
  <si>
    <t>APP00279</t>
  </si>
  <si>
    <t>APP00280</t>
  </si>
  <si>
    <t>Aarav Singh</t>
  </si>
  <si>
    <t>APP00281</t>
  </si>
  <si>
    <t>APP00282</t>
  </si>
  <si>
    <t>APP00283</t>
  </si>
  <si>
    <t>APP00284</t>
  </si>
  <si>
    <t>APP00285</t>
  </si>
  <si>
    <t>APP00286</t>
  </si>
  <si>
    <t>APP00287</t>
  </si>
  <si>
    <t>Vihaan Sethi</t>
  </si>
  <si>
    <t>APP00288</t>
  </si>
  <si>
    <t>APP00289</t>
  </si>
  <si>
    <t>APP00290</t>
  </si>
  <si>
    <t>APP00291</t>
  </si>
  <si>
    <t>APP00292</t>
  </si>
  <si>
    <t>APP00293</t>
  </si>
  <si>
    <t>Lakhan Tiwari</t>
  </si>
  <si>
    <t>APP00294</t>
  </si>
  <si>
    <t>APP00295</t>
  </si>
  <si>
    <t>Rohan Chauhan</t>
  </si>
  <si>
    <t>APP00296</t>
  </si>
  <si>
    <t>Ananya Upadhyay</t>
  </si>
  <si>
    <t>APP00297</t>
  </si>
  <si>
    <t>APP00298</t>
  </si>
  <si>
    <t>Ishita Tiwari</t>
  </si>
  <si>
    <t>APP00299</t>
  </si>
  <si>
    <t>Aarav Joshi</t>
  </si>
  <si>
    <t>APP00300</t>
  </si>
  <si>
    <t>APP00301</t>
  </si>
  <si>
    <t>Pooja Nair</t>
  </si>
  <si>
    <t>APP00302</t>
  </si>
  <si>
    <t>APP00303</t>
  </si>
  <si>
    <t>Ishita Patel</t>
  </si>
  <si>
    <t>APP00304</t>
  </si>
  <si>
    <t>APP00305</t>
  </si>
  <si>
    <t>APP00306</t>
  </si>
  <si>
    <t>APP00307</t>
  </si>
  <si>
    <t>APP00308</t>
  </si>
  <si>
    <t>APP00309</t>
  </si>
  <si>
    <t>Diya Gupta</t>
  </si>
  <si>
    <t>APP00310</t>
  </si>
  <si>
    <t>APP00311</t>
  </si>
  <si>
    <t>APP00312</t>
  </si>
  <si>
    <t>APP00313</t>
  </si>
  <si>
    <t>APP00314</t>
  </si>
  <si>
    <t>APP00315</t>
  </si>
  <si>
    <t>APP00316</t>
  </si>
  <si>
    <t>Aman Mehta</t>
  </si>
  <si>
    <t>APP00317</t>
  </si>
  <si>
    <t>APP00318</t>
  </si>
  <si>
    <t>APP00319</t>
  </si>
  <si>
    <t>Anshul Upadhyay</t>
  </si>
  <si>
    <t>APP00320</t>
  </si>
  <si>
    <t>APP00321</t>
  </si>
  <si>
    <t>APP00322</t>
  </si>
  <si>
    <t>APP00323</t>
  </si>
  <si>
    <t>APP00324</t>
  </si>
  <si>
    <t>APP00325</t>
  </si>
  <si>
    <t>APP00326</t>
  </si>
  <si>
    <t>APP00327</t>
  </si>
  <si>
    <t>APP00328</t>
  </si>
  <si>
    <t>Sara Mishra</t>
  </si>
  <si>
    <t>APP00329</t>
  </si>
  <si>
    <t>APP00330</t>
  </si>
  <si>
    <t>APP00331</t>
  </si>
  <si>
    <t>APP00332</t>
  </si>
  <si>
    <t>Lakhan Rao</t>
  </si>
  <si>
    <t>APP00333</t>
  </si>
  <si>
    <t>Divyansh Malhotra</t>
  </si>
  <si>
    <t>APP00334</t>
  </si>
  <si>
    <t>APP00335</t>
  </si>
  <si>
    <t>APP00336</t>
  </si>
  <si>
    <t>APP00337</t>
  </si>
  <si>
    <t>Divyansh Sharma</t>
  </si>
  <si>
    <t>APP00338</t>
  </si>
  <si>
    <t>APP00339</t>
  </si>
  <si>
    <t>APP00340</t>
  </si>
  <si>
    <t>APP00341</t>
  </si>
  <si>
    <t>APP00342</t>
  </si>
  <si>
    <t>Pooja Patel</t>
  </si>
  <si>
    <t>APP00343</t>
  </si>
  <si>
    <t>APP00344</t>
  </si>
  <si>
    <t>APP00345</t>
  </si>
  <si>
    <t>Diya Chauhan</t>
  </si>
  <si>
    <t>APP00346</t>
  </si>
  <si>
    <t>APP00347</t>
  </si>
  <si>
    <t>Pooja Dwivedi</t>
  </si>
  <si>
    <t>APP00348</t>
  </si>
  <si>
    <t>APP00349</t>
  </si>
  <si>
    <t>Aditi Rao</t>
  </si>
  <si>
    <t>APP00350</t>
  </si>
  <si>
    <t>APP00351</t>
  </si>
  <si>
    <t>Rinku Sharma</t>
  </si>
  <si>
    <t>APP00352</t>
  </si>
  <si>
    <t>APP00353</t>
  </si>
  <si>
    <t>APP00354</t>
  </si>
  <si>
    <t>Aryan Singh</t>
  </si>
  <si>
    <t>APP00355</t>
  </si>
  <si>
    <t>APP00356</t>
  </si>
  <si>
    <t>Vikram Gupta</t>
  </si>
  <si>
    <t>APP00357</t>
  </si>
  <si>
    <t>APP00358</t>
  </si>
  <si>
    <t>APP00359</t>
  </si>
  <si>
    <t>Aryan Kapoor</t>
  </si>
  <si>
    <t>APP00360</t>
  </si>
  <si>
    <t>Divyansh Sethi</t>
  </si>
  <si>
    <t>APP00361</t>
  </si>
  <si>
    <t>APP00362</t>
  </si>
  <si>
    <t>APP00363</t>
  </si>
  <si>
    <t>APP00364</t>
  </si>
  <si>
    <t>APP00365</t>
  </si>
  <si>
    <t>APP00366</t>
  </si>
  <si>
    <t>APP00367</t>
  </si>
  <si>
    <t>APP00368</t>
  </si>
  <si>
    <t>APP00369</t>
  </si>
  <si>
    <t>APP00370</t>
  </si>
  <si>
    <t>APP00371</t>
  </si>
  <si>
    <t>APP00372</t>
  </si>
  <si>
    <t>APP00373</t>
  </si>
  <si>
    <t>APP00374</t>
  </si>
  <si>
    <t>APP00375</t>
  </si>
  <si>
    <t>APP00376</t>
  </si>
  <si>
    <t>APP00377</t>
  </si>
  <si>
    <t>APP00378</t>
  </si>
  <si>
    <t>APP00379</t>
  </si>
  <si>
    <t>APP00380</t>
  </si>
  <si>
    <t>Kabir Tiwari</t>
  </si>
  <si>
    <t>APP00381</t>
  </si>
  <si>
    <t>APP00382</t>
  </si>
  <si>
    <t>APP00383</t>
  </si>
  <si>
    <t>APP00384</t>
  </si>
  <si>
    <t>APP00385</t>
  </si>
  <si>
    <t>Vihaan Malhotra</t>
  </si>
  <si>
    <t>APP00386</t>
  </si>
  <si>
    <t>APP00387</t>
  </si>
  <si>
    <t>APP00388</t>
  </si>
  <si>
    <t>APP00389</t>
  </si>
  <si>
    <t>APP00390</t>
  </si>
  <si>
    <t>APP00391</t>
  </si>
  <si>
    <t>Sara Verma</t>
  </si>
  <si>
    <t>APP00392</t>
  </si>
  <si>
    <t>APP00393</t>
  </si>
  <si>
    <t>APP00394</t>
  </si>
  <si>
    <t>APP00395</t>
  </si>
  <si>
    <t>APP00396</t>
  </si>
  <si>
    <t>Riya Chauhan</t>
  </si>
  <si>
    <t>APP00397</t>
  </si>
  <si>
    <t>APP00398</t>
  </si>
  <si>
    <t>APP00399</t>
  </si>
  <si>
    <t>APP00400</t>
  </si>
  <si>
    <t>APP00401</t>
  </si>
  <si>
    <t>Neha Chauhan</t>
  </si>
  <si>
    <t>APP00402</t>
  </si>
  <si>
    <t>APP00403</t>
  </si>
  <si>
    <t>APP00404</t>
  </si>
  <si>
    <t>Ananya Verma</t>
  </si>
  <si>
    <t>APP00405</t>
  </si>
  <si>
    <t>Aditya Joshi</t>
  </si>
  <si>
    <t>APP00406</t>
  </si>
  <si>
    <t>Ram Singh</t>
  </si>
  <si>
    <t>APP00407</t>
  </si>
  <si>
    <t>APP00408</t>
  </si>
  <si>
    <t>APP00409</t>
  </si>
  <si>
    <t>APP00410</t>
  </si>
  <si>
    <t>APP00411</t>
  </si>
  <si>
    <t>APP00412</t>
  </si>
  <si>
    <t>APP00413</t>
  </si>
  <si>
    <t>APP00414</t>
  </si>
  <si>
    <t>APP00415</t>
  </si>
  <si>
    <t>APP00416</t>
  </si>
  <si>
    <t>APP00417</t>
  </si>
  <si>
    <t>APP00418</t>
  </si>
  <si>
    <t>APP00419</t>
  </si>
  <si>
    <t>APP00420</t>
  </si>
  <si>
    <t>APP00421</t>
  </si>
  <si>
    <t>APP00422</t>
  </si>
  <si>
    <t>Divyansh Mehta</t>
  </si>
  <si>
    <t>APP00423</t>
  </si>
  <si>
    <t>APP00424</t>
  </si>
  <si>
    <t>Nisha Singh</t>
  </si>
  <si>
    <t>APP00425</t>
  </si>
  <si>
    <t>Divyansh Gupta</t>
  </si>
  <si>
    <t>APP00426</t>
  </si>
  <si>
    <t>APP00427</t>
  </si>
  <si>
    <t>APP00428</t>
  </si>
  <si>
    <t>APP00429</t>
  </si>
  <si>
    <t>Ananya Gupta</t>
  </si>
  <si>
    <t>APP00430</t>
  </si>
  <si>
    <t>APP00431</t>
  </si>
  <si>
    <t>APP00432</t>
  </si>
  <si>
    <t>APP00433</t>
  </si>
  <si>
    <t>APP00434</t>
  </si>
  <si>
    <t>APP00435</t>
  </si>
  <si>
    <t>APP00436</t>
  </si>
  <si>
    <t>APP00437</t>
  </si>
  <si>
    <t>APP00438</t>
  </si>
  <si>
    <t>APP00439</t>
  </si>
  <si>
    <t>APP00440</t>
  </si>
  <si>
    <t>APP00441</t>
  </si>
  <si>
    <t>Neha Rao</t>
  </si>
  <si>
    <t>APP00442</t>
  </si>
  <si>
    <t>APP00443</t>
  </si>
  <si>
    <t>Vikram Singh</t>
  </si>
  <si>
    <t>APP00444</t>
  </si>
  <si>
    <t>APP00445</t>
  </si>
  <si>
    <t>APP00446</t>
  </si>
  <si>
    <t>APP00447</t>
  </si>
  <si>
    <t>Arun Joshi</t>
  </si>
  <si>
    <t>APP00448</t>
  </si>
  <si>
    <t>APP00449</t>
  </si>
  <si>
    <t>APP00450</t>
  </si>
  <si>
    <t>APP00451</t>
  </si>
  <si>
    <t>APP00452</t>
  </si>
  <si>
    <t>APP00453</t>
  </si>
  <si>
    <t>APP00454</t>
  </si>
  <si>
    <t>Vihaan Sharma</t>
  </si>
  <si>
    <t>APP00455</t>
  </si>
  <si>
    <t>APP00456</t>
  </si>
  <si>
    <t>APP00457</t>
  </si>
  <si>
    <t>Ananya Mishra</t>
  </si>
  <si>
    <t>APP00458</t>
  </si>
  <si>
    <t>Aditi Tiwari</t>
  </si>
  <si>
    <t>APP00459</t>
  </si>
  <si>
    <t>Govind Singh</t>
  </si>
  <si>
    <t>APP00460</t>
  </si>
  <si>
    <t>APP00461</t>
  </si>
  <si>
    <t>APP00462</t>
  </si>
  <si>
    <t>APP00463</t>
  </si>
  <si>
    <t>Rahul Gupta</t>
  </si>
  <si>
    <t>APP00464</t>
  </si>
  <si>
    <t>APP00465</t>
  </si>
  <si>
    <t>APP00466</t>
  </si>
  <si>
    <t>APP00467</t>
  </si>
  <si>
    <t>APP00468</t>
  </si>
  <si>
    <t>APP00469</t>
  </si>
  <si>
    <t>APP00470</t>
  </si>
  <si>
    <t>APP00471</t>
  </si>
  <si>
    <t>APP00472</t>
  </si>
  <si>
    <t>APP00473</t>
  </si>
  <si>
    <t>APP00474</t>
  </si>
  <si>
    <t>APP00475</t>
  </si>
  <si>
    <t>APP00476</t>
  </si>
  <si>
    <t>APP00477</t>
  </si>
  <si>
    <t>APP00478</t>
  </si>
  <si>
    <t>APP00479</t>
  </si>
  <si>
    <t>APP00480</t>
  </si>
  <si>
    <t>APP00481</t>
  </si>
  <si>
    <t>APP00482</t>
  </si>
  <si>
    <t>APP00483</t>
  </si>
  <si>
    <t>APP00484</t>
  </si>
  <si>
    <t>APP00485</t>
  </si>
  <si>
    <t>APP00486</t>
  </si>
  <si>
    <t>APP00487</t>
  </si>
  <si>
    <t>APP00488</t>
  </si>
  <si>
    <t>Aarav Kapoor</t>
  </si>
  <si>
    <t>APP00489</t>
  </si>
  <si>
    <t>APP00490</t>
  </si>
  <si>
    <t>APP00491</t>
  </si>
  <si>
    <t>Arun Khan</t>
  </si>
  <si>
    <t>APP00492</t>
  </si>
  <si>
    <t>Riya Sharma</t>
  </si>
  <si>
    <t>APP00493</t>
  </si>
  <si>
    <t>APP00494</t>
  </si>
  <si>
    <t>APP00495</t>
  </si>
  <si>
    <t>APP00496</t>
  </si>
  <si>
    <t>APP00497</t>
  </si>
  <si>
    <t>Nisha Sharma</t>
  </si>
  <si>
    <t>APP00498</t>
  </si>
  <si>
    <t>APP00499</t>
  </si>
  <si>
    <t>APP00500</t>
  </si>
  <si>
    <t>Annual Salary</t>
  </si>
  <si>
    <t>Bonus %</t>
  </si>
  <si>
    <t>Annual Bonus</t>
  </si>
  <si>
    <t>Total Compensation</t>
  </si>
  <si>
    <t>Salary Grade</t>
  </si>
  <si>
    <t>Last Increment %</t>
  </si>
  <si>
    <t>G6</t>
  </si>
  <si>
    <t>G4</t>
  </si>
  <si>
    <t>G2</t>
  </si>
  <si>
    <t>G5</t>
  </si>
  <si>
    <t>G1</t>
  </si>
  <si>
    <t>G3</t>
  </si>
  <si>
    <t>Plan ID</t>
  </si>
  <si>
    <t>Year</t>
  </si>
  <si>
    <t>Current Headcount</t>
  </si>
  <si>
    <t>Required Headcount</t>
  </si>
  <si>
    <t>Projected Demand</t>
  </si>
  <si>
    <t>Current Gap</t>
  </si>
  <si>
    <t>Projected Gap</t>
  </si>
  <si>
    <t>Critical Skill</t>
  </si>
  <si>
    <t>Skill Gap %</t>
  </si>
  <si>
    <t>Hiring Priority</t>
  </si>
  <si>
    <t>Attrition Forecast %</t>
  </si>
  <si>
    <t>Training Need</t>
  </si>
  <si>
    <t>PLAN0001</t>
  </si>
  <si>
    <t>Digital Marketing</t>
  </si>
  <si>
    <t>High</t>
  </si>
  <si>
    <t>Medium</t>
  </si>
  <si>
    <t>PLAN0002</t>
  </si>
  <si>
    <t>Cloud Computing</t>
  </si>
  <si>
    <t>Critical</t>
  </si>
  <si>
    <t>PLAN0003</t>
  </si>
  <si>
    <t>Sales Strategy</t>
  </si>
  <si>
    <t>PLAN0004</t>
  </si>
  <si>
    <t>Low</t>
  </si>
  <si>
    <t>PLAN0005</t>
  </si>
  <si>
    <t>Project Management</t>
  </si>
  <si>
    <t>PLAN0006</t>
  </si>
  <si>
    <t>PLAN0007</t>
  </si>
  <si>
    <t>PLAN0008</t>
  </si>
  <si>
    <t>PLAN0009</t>
  </si>
  <si>
    <t>Cyber Security</t>
  </si>
  <si>
    <t>PLAN0010</t>
  </si>
  <si>
    <t>PLAN0011</t>
  </si>
  <si>
    <t>Communication</t>
  </si>
  <si>
    <t>PLAN0012</t>
  </si>
  <si>
    <t>PLAN0013</t>
  </si>
  <si>
    <t>PLAN0014</t>
  </si>
  <si>
    <t>PLAN0015</t>
  </si>
  <si>
    <t>Automation</t>
  </si>
  <si>
    <t>PLAN0016</t>
  </si>
  <si>
    <t>PLAN0017</t>
  </si>
  <si>
    <t>PLAN0018</t>
  </si>
  <si>
    <t>PLAN0019</t>
  </si>
  <si>
    <t>PLAN0020</t>
  </si>
  <si>
    <t>PLAN0021</t>
  </si>
  <si>
    <t>PLAN0022</t>
  </si>
  <si>
    <t>PLAN0023</t>
  </si>
  <si>
    <t>PLAN0024</t>
  </si>
  <si>
    <t>PLAN0025</t>
  </si>
  <si>
    <t>PLAN0026</t>
  </si>
  <si>
    <t>PLAN0027</t>
  </si>
  <si>
    <t>PLAN0028</t>
  </si>
  <si>
    <t>PLAN0029</t>
  </si>
  <si>
    <t>PLAN0030</t>
  </si>
  <si>
    <t>PLAN0031</t>
  </si>
  <si>
    <t>Leadership</t>
  </si>
  <si>
    <t>PLAN0032</t>
  </si>
  <si>
    <t>PLAN0033</t>
  </si>
  <si>
    <t>PLAN0034</t>
  </si>
  <si>
    <t>PLAN0035</t>
  </si>
  <si>
    <t>Data Analytics</t>
  </si>
  <si>
    <t>PLAN0036</t>
  </si>
  <si>
    <t>PLAN0037</t>
  </si>
  <si>
    <t>AI / ML</t>
  </si>
  <si>
    <t>PLAN0038</t>
  </si>
  <si>
    <t>PLAN0039</t>
  </si>
  <si>
    <t>PLAN0040</t>
  </si>
  <si>
    <t>PLAN0041</t>
  </si>
  <si>
    <t>PLAN0042</t>
  </si>
  <si>
    <t>PLAN0043</t>
  </si>
  <si>
    <t>PLAN0044</t>
  </si>
  <si>
    <t>PLAN0045</t>
  </si>
  <si>
    <t>PLAN0046</t>
  </si>
  <si>
    <t>PLAN0047</t>
  </si>
  <si>
    <t>PLAN0048</t>
  </si>
  <si>
    <t>PLAN0049</t>
  </si>
  <si>
    <t>PLAN0050</t>
  </si>
  <si>
    <t>PLAN0051</t>
  </si>
  <si>
    <t>PLAN0052</t>
  </si>
  <si>
    <t>PLAN0053</t>
  </si>
  <si>
    <t>PLAN0054</t>
  </si>
  <si>
    <t>PLAN0055</t>
  </si>
  <si>
    <t>PLAN0056</t>
  </si>
  <si>
    <t>PLAN0057</t>
  </si>
  <si>
    <t>PLAN0058</t>
  </si>
  <si>
    <t>PLAN0059</t>
  </si>
  <si>
    <t>PLAN0060</t>
  </si>
  <si>
    <t>PLAN0061</t>
  </si>
  <si>
    <t>PLAN0062</t>
  </si>
  <si>
    <t>PLAN0063</t>
  </si>
  <si>
    <t>PLAN0064</t>
  </si>
  <si>
    <t>PLAN0065</t>
  </si>
  <si>
    <t>PLAN0066</t>
  </si>
  <si>
    <t>PLAN0067</t>
  </si>
  <si>
    <t>PLAN0068</t>
  </si>
  <si>
    <t>PLAN0069</t>
  </si>
  <si>
    <t>PLAN0070</t>
  </si>
  <si>
    <t>PLAN0071</t>
  </si>
  <si>
    <t>PLAN0072</t>
  </si>
  <si>
    <t>PLAN0073</t>
  </si>
  <si>
    <t>PLAN0074</t>
  </si>
  <si>
    <t>PLAN0075</t>
  </si>
  <si>
    <t>PLAN0076</t>
  </si>
  <si>
    <t>PLAN0077</t>
  </si>
  <si>
    <t>PLAN0078</t>
  </si>
  <si>
    <t>PLAN0079</t>
  </si>
  <si>
    <t>PLAN0080</t>
  </si>
  <si>
    <t>PLAN0081</t>
  </si>
  <si>
    <t>PLAN0082</t>
  </si>
  <si>
    <t>PLAN0083</t>
  </si>
  <si>
    <t>PLAN0084</t>
  </si>
  <si>
    <t>PLAN0085</t>
  </si>
  <si>
    <t>PLAN0086</t>
  </si>
  <si>
    <t>PLAN0087</t>
  </si>
  <si>
    <t>PLAN0088</t>
  </si>
  <si>
    <t>PLAN0089</t>
  </si>
  <si>
    <t>PLAN0090</t>
  </si>
  <si>
    <t>PLAN0091</t>
  </si>
  <si>
    <t>PLAN0092</t>
  </si>
  <si>
    <t>PLAN0093</t>
  </si>
  <si>
    <t>PLAN0094</t>
  </si>
  <si>
    <t>PLAN0095</t>
  </si>
  <si>
    <t>PLAN0096</t>
  </si>
  <si>
    <t>PLAN0097</t>
  </si>
  <si>
    <t>PLAN0098</t>
  </si>
  <si>
    <t>PLAN0099</t>
  </si>
  <si>
    <t>PLAN0100</t>
  </si>
  <si>
    <t>PLAN0101</t>
  </si>
  <si>
    <t>PLAN0102</t>
  </si>
  <si>
    <t>PLAN0103</t>
  </si>
  <si>
    <t>PLAN0104</t>
  </si>
  <si>
    <t>PLAN0105</t>
  </si>
  <si>
    <t>PLAN0106</t>
  </si>
  <si>
    <t>PLAN0107</t>
  </si>
  <si>
    <t>PLAN0108</t>
  </si>
  <si>
    <t>PLAN0109</t>
  </si>
  <si>
    <t>PLAN0110</t>
  </si>
  <si>
    <t>PLAN0111</t>
  </si>
  <si>
    <t>PLAN0112</t>
  </si>
  <si>
    <t>PLAN0113</t>
  </si>
  <si>
    <t>PLAN0114</t>
  </si>
  <si>
    <t>PLAN0115</t>
  </si>
  <si>
    <t>PLAN0116</t>
  </si>
  <si>
    <t>PLAN0117</t>
  </si>
  <si>
    <t>PLAN0118</t>
  </si>
  <si>
    <t>PLAN0119</t>
  </si>
  <si>
    <t>PLAN0120</t>
  </si>
  <si>
    <t>PLAN0121</t>
  </si>
  <si>
    <t>PLAN0122</t>
  </si>
  <si>
    <t>PLAN0123</t>
  </si>
  <si>
    <t>PLAN0124</t>
  </si>
  <si>
    <t>PLAN0125</t>
  </si>
  <si>
    <t>PLAN0126</t>
  </si>
  <si>
    <t>PLAN0127</t>
  </si>
  <si>
    <t>PLAN0128</t>
  </si>
  <si>
    <t>PLAN0129</t>
  </si>
  <si>
    <t>PLAN0130</t>
  </si>
  <si>
    <t>PLAN0131</t>
  </si>
  <si>
    <t>PLAN0132</t>
  </si>
  <si>
    <t>PLAN0133</t>
  </si>
  <si>
    <t>PLAN0134</t>
  </si>
  <si>
    <t>PLAN0135</t>
  </si>
  <si>
    <t>PLAN0136</t>
  </si>
  <si>
    <t>PLAN0137</t>
  </si>
  <si>
    <t>PLAN0138</t>
  </si>
  <si>
    <t>PLAN0139</t>
  </si>
  <si>
    <t>PLAN0140</t>
  </si>
  <si>
    <t>PLAN0141</t>
  </si>
  <si>
    <t>PLAN0142</t>
  </si>
  <si>
    <t>PLAN0143</t>
  </si>
  <si>
    <t>PLAN0144</t>
  </si>
  <si>
    <t>PLAN0145</t>
  </si>
  <si>
    <t>PLAN0146</t>
  </si>
  <si>
    <t>PLAN0147</t>
  </si>
  <si>
    <t>PLAN0148</t>
  </si>
  <si>
    <t>PLAN0149</t>
  </si>
  <si>
    <t>PLAN0150</t>
  </si>
  <si>
    <t>PLAN0151</t>
  </si>
  <si>
    <t>PLAN0152</t>
  </si>
  <si>
    <t>PLAN0153</t>
  </si>
  <si>
    <t>PLAN0154</t>
  </si>
  <si>
    <t>PLAN0155</t>
  </si>
  <si>
    <t>PLAN0156</t>
  </si>
  <si>
    <t>PLAN0157</t>
  </si>
  <si>
    <t>PLAN0158</t>
  </si>
  <si>
    <t>PLAN0159</t>
  </si>
  <si>
    <t>PLAN0160</t>
  </si>
  <si>
    <t>PLAN0161</t>
  </si>
  <si>
    <t>PLAN0162</t>
  </si>
  <si>
    <t>PLAN0163</t>
  </si>
  <si>
    <t>PLAN0164</t>
  </si>
  <si>
    <t>PLAN0165</t>
  </si>
  <si>
    <t>PLAN0166</t>
  </si>
  <si>
    <t>PLAN0167</t>
  </si>
  <si>
    <t>PLAN0168</t>
  </si>
  <si>
    <t>PLAN0169</t>
  </si>
  <si>
    <t>PLAN0170</t>
  </si>
  <si>
    <t>PLAN0171</t>
  </si>
  <si>
    <t>PLAN0172</t>
  </si>
  <si>
    <t>PLAN0173</t>
  </si>
  <si>
    <t>PLAN0174</t>
  </si>
  <si>
    <t>PLAN0175</t>
  </si>
  <si>
    <t>PLAN0176</t>
  </si>
  <si>
    <t>PLAN0177</t>
  </si>
  <si>
    <t>PLAN0178</t>
  </si>
  <si>
    <t>PLAN0179</t>
  </si>
  <si>
    <t>PLAN0180</t>
  </si>
  <si>
    <t>PLAN0181</t>
  </si>
  <si>
    <t>PLAN0182</t>
  </si>
  <si>
    <t>PLAN0183</t>
  </si>
  <si>
    <t>PLAN0184</t>
  </si>
  <si>
    <t>PLAN0185</t>
  </si>
  <si>
    <t>PLAN0186</t>
  </si>
  <si>
    <t>PLAN0187</t>
  </si>
  <si>
    <t>PLAN0188</t>
  </si>
  <si>
    <t>PLAN0189</t>
  </si>
  <si>
    <t>PLAN0190</t>
  </si>
  <si>
    <t>PLAN0191</t>
  </si>
  <si>
    <t>PLAN0192</t>
  </si>
  <si>
    <t>PLAN0193</t>
  </si>
  <si>
    <t>PLAN0194</t>
  </si>
  <si>
    <t>PLAN0195</t>
  </si>
  <si>
    <t>PLAN0196</t>
  </si>
  <si>
    <t>PLAN0197</t>
  </si>
  <si>
    <t>PLAN0198</t>
  </si>
  <si>
    <t>PLAN0199</t>
  </si>
  <si>
    <t>PLAN0200</t>
  </si>
  <si>
    <t>PLAN0201</t>
  </si>
  <si>
    <t>PLAN0202</t>
  </si>
  <si>
    <t>PLAN0203</t>
  </si>
  <si>
    <t>PLAN0204</t>
  </si>
  <si>
    <t>PLAN0205</t>
  </si>
  <si>
    <t>PLAN0206</t>
  </si>
  <si>
    <t>PLAN0207</t>
  </si>
  <si>
    <t>PLAN0208</t>
  </si>
  <si>
    <t>PLAN0209</t>
  </si>
  <si>
    <t>PLAN0210</t>
  </si>
  <si>
    <t>PLAN0211</t>
  </si>
  <si>
    <t>PLAN0212</t>
  </si>
  <si>
    <t>PLAN0213</t>
  </si>
  <si>
    <t>PLAN0214</t>
  </si>
  <si>
    <t>PLAN0215</t>
  </si>
  <si>
    <t>PLAN0216</t>
  </si>
  <si>
    <t>PLAN0217</t>
  </si>
  <si>
    <t>PLAN0218</t>
  </si>
  <si>
    <t>PLAN0219</t>
  </si>
  <si>
    <t>PLAN0220</t>
  </si>
  <si>
    <t>PLAN0221</t>
  </si>
  <si>
    <t>PLAN0222</t>
  </si>
  <si>
    <t>PLAN0223</t>
  </si>
  <si>
    <t>PLAN0224</t>
  </si>
  <si>
    <t>PLAN0225</t>
  </si>
  <si>
    <t>PLAN0226</t>
  </si>
  <si>
    <t>PLAN0227</t>
  </si>
  <si>
    <t>PLAN0228</t>
  </si>
  <si>
    <t>PLAN0229</t>
  </si>
  <si>
    <t>PLAN0230</t>
  </si>
  <si>
    <t>PLAN0231</t>
  </si>
  <si>
    <t>PLAN0232</t>
  </si>
  <si>
    <t>PLAN0233</t>
  </si>
  <si>
    <t>PLAN0234</t>
  </si>
  <si>
    <t>PLAN0235</t>
  </si>
  <si>
    <t>PLAN0236</t>
  </si>
  <si>
    <t>PLAN0237</t>
  </si>
  <si>
    <t>PLAN0238</t>
  </si>
  <si>
    <t>PLAN0239</t>
  </si>
  <si>
    <t>PLAN0240</t>
  </si>
  <si>
    <t>PLAN0241</t>
  </si>
  <si>
    <t>PLAN0242</t>
  </si>
  <si>
    <t>PLAN0243</t>
  </si>
  <si>
    <t>PLAN0244</t>
  </si>
  <si>
    <t>PLAN0245</t>
  </si>
  <si>
    <t>PLAN0246</t>
  </si>
  <si>
    <t>PLAN0247</t>
  </si>
  <si>
    <t>PLAN0248</t>
  </si>
  <si>
    <t>PLAN0249</t>
  </si>
  <si>
    <t>PLAN0250</t>
  </si>
  <si>
    <t>PLAN0251</t>
  </si>
  <si>
    <t>PLAN0252</t>
  </si>
  <si>
    <t>PLAN0253</t>
  </si>
  <si>
    <t>PLAN0254</t>
  </si>
  <si>
    <t>PLAN0255</t>
  </si>
  <si>
    <t>PLAN0256</t>
  </si>
  <si>
    <t>PLAN0257</t>
  </si>
  <si>
    <t>PLAN0258</t>
  </si>
  <si>
    <t>PLAN0259</t>
  </si>
  <si>
    <t>PLAN0260</t>
  </si>
  <si>
    <t>PLAN0261</t>
  </si>
  <si>
    <t>PLAN0262</t>
  </si>
  <si>
    <t>PLAN0263</t>
  </si>
  <si>
    <t>PLAN0264</t>
  </si>
  <si>
    <t>PLAN0265</t>
  </si>
  <si>
    <t>PLAN0266</t>
  </si>
  <si>
    <t>PLAN0267</t>
  </si>
  <si>
    <t>PLAN0268</t>
  </si>
  <si>
    <t>PLAN0269</t>
  </si>
  <si>
    <t>PLAN0270</t>
  </si>
  <si>
    <t>PLAN0271</t>
  </si>
  <si>
    <t>PLAN0272</t>
  </si>
  <si>
    <t>PLAN0273</t>
  </si>
  <si>
    <t>PLAN0274</t>
  </si>
  <si>
    <t>PLAN0275</t>
  </si>
  <si>
    <t>PLAN0276</t>
  </si>
  <si>
    <t>PLAN0277</t>
  </si>
  <si>
    <t>PLAN0278</t>
  </si>
  <si>
    <t>PLAN0279</t>
  </si>
  <si>
    <t>PLAN0280</t>
  </si>
  <si>
    <t>PLAN0281</t>
  </si>
  <si>
    <t>PLAN0282</t>
  </si>
  <si>
    <t>PLAN0283</t>
  </si>
  <si>
    <t>PLAN0284</t>
  </si>
  <si>
    <t>PLAN0285</t>
  </si>
  <si>
    <t>PLAN0286</t>
  </si>
  <si>
    <t>PLAN0287</t>
  </si>
  <si>
    <t>PLAN0288</t>
  </si>
  <si>
    <t>PLAN0289</t>
  </si>
  <si>
    <t>PLAN0290</t>
  </si>
  <si>
    <t>PLAN0291</t>
  </si>
  <si>
    <t>PLAN0292</t>
  </si>
  <si>
    <t>PLAN0293</t>
  </si>
  <si>
    <t>PLAN0294</t>
  </si>
  <si>
    <t>PLAN0295</t>
  </si>
  <si>
    <t>PLAN0296</t>
  </si>
  <si>
    <t>PLAN0297</t>
  </si>
  <si>
    <t>PLAN0298</t>
  </si>
  <si>
    <t>PLAN0299</t>
  </si>
  <si>
    <t>PLAN0300</t>
  </si>
  <si>
    <t>Dashboard helper calculations — source module edits drive these formulas.</t>
  </si>
  <si>
    <t>Avg Performance</t>
  </si>
  <si>
    <t>Rating</t>
  </si>
  <si>
    <t>Count</t>
  </si>
  <si>
    <t>Top Employee</t>
  </si>
  <si>
    <t>Attrition Rate</t>
  </si>
  <si>
    <t>Status</t>
  </si>
  <si>
    <t>Risk Employee</t>
  </si>
  <si>
    <t>Hires</t>
  </si>
  <si>
    <t>Applications</t>
  </si>
  <si>
    <t>Month</t>
  </si>
  <si>
    <t>Salary Band</t>
  </si>
  <si>
    <t>Avg Compensation</t>
  </si>
  <si>
    <t>Avg Salary</t>
  </si>
  <si>
    <t>Top Paid</t>
  </si>
  <si>
    <t>&lt; ₹30K</t>
  </si>
  <si>
    <t>₹30K–₹50K</t>
  </si>
  <si>
    <t>₹50K–₹80K</t>
  </si>
  <si>
    <t>₹80K–₹1.2L</t>
  </si>
  <si>
    <t>&gt; ₹1.2L</t>
  </si>
  <si>
    <t>Current HC</t>
  </si>
  <si>
    <t>Required HC</t>
  </si>
  <si>
    <t>Skill</t>
  </si>
  <si>
    <t>Avg Gap</t>
  </si>
  <si>
    <t>Data Analysis</t>
  </si>
  <si>
    <t>TOTAL EMPLOYEE</t>
  </si>
  <si>
    <t>AVG PERFORMANCE SCORE</t>
  </si>
  <si>
    <t>AVG TIME TO HIRE</t>
  </si>
  <si>
    <t>AVG SALARY</t>
  </si>
  <si>
    <t>TOTAL PAYROLL</t>
  </si>
  <si>
    <t>WORKFORCE GAP</t>
  </si>
  <si>
    <t>ATTRITION RATE</t>
  </si>
  <si>
    <t>Row Labels</t>
  </si>
  <si>
    <t>Grand Total</t>
  </si>
  <si>
    <t>Sum of Age</t>
  </si>
  <si>
    <t>Sum of Monthly Salary</t>
  </si>
  <si>
    <t>Sum of Work-Life Balance</t>
  </si>
  <si>
    <t>Sum of Job Satisfaction</t>
  </si>
  <si>
    <t>Sum of Years at Company</t>
  </si>
  <si>
    <t>Sum of KPI Achievement %</t>
  </si>
  <si>
    <t>Sum of Training Hours</t>
  </si>
  <si>
    <t>KPI CARDS TABLE</t>
  </si>
  <si>
    <t>Sum of Goal Completion %</t>
  </si>
  <si>
    <t>Sum of Experience (Years)</t>
  </si>
  <si>
    <t>Sum of Total Compensation</t>
  </si>
  <si>
    <t>Sum of Last Increment %</t>
  </si>
  <si>
    <t>Count of Training Need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</si>
</sst>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mmm"/>
  </numFmts>
  <fonts count="5" x14ac:knownFonts="1">
    <font>
      <sz val="11"/>
      <color theme="1"/>
      <name val="Calibri"/>
      <family val="2"/>
      <charset val="1"/>
    </font>
    <font>
      <b/>
      <sz val="11"/>
      <color rgb="FFFFFFFF"/>
      <name val="Cambria"/>
      <charset val="1"/>
    </font>
    <font>
      <sz val="22"/>
      <color theme="1"/>
      <name val="Calibri"/>
      <family val="2"/>
    </font>
    <font>
      <sz val="11"/>
      <color theme="1"/>
      <name val="Calibri"/>
      <family val="2"/>
    </font>
    <font>
      <sz val="22"/>
      <color rgb="FFFF0000"/>
      <name val="Calibri"/>
      <family val="2"/>
    </font>
  </fonts>
  <fills count="6">
    <fill>
      <patternFill patternType="none"/>
    </fill>
    <fill>
      <patternFill patternType="gray125"/>
    </fill>
    <fill>
      <patternFill patternType="solid">
        <fgColor rgb="FF17365D"/>
        <bgColor rgb="FF1F2937"/>
      </patternFill>
    </fill>
    <fill>
      <patternFill patternType="solid">
        <fgColor rgb="FFFFFF00"/>
        <bgColor indexed="64"/>
      </patternFill>
    </fill>
    <fill>
      <patternFill patternType="solid">
        <fgColor theme="9" tint="0.39997558519241921"/>
        <bgColor indexed="64"/>
      </patternFill>
    </fill>
    <fill>
      <patternFill patternType="solid">
        <fgColor theme="6"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wrapText="1"/>
    </xf>
    <xf numFmtId="164" fontId="0" fillId="0" borderId="0" xfId="0" applyNumberFormat="1"/>
    <xf numFmtId="0" fontId="1" fillId="2" borderId="0" xfId="0" applyFont="1" applyFill="1"/>
    <xf numFmtId="165" fontId="0" fillId="0" borderId="0" xfId="0" applyNumberFormat="1"/>
    <xf numFmtId="0" fontId="1" fillId="0" borderId="0" xfId="0" applyFont="1" applyFill="1" applyBorder="1" applyAlignment="1">
      <alignment horizontal="center" vertical="center" wrapText="1"/>
    </xf>
    <xf numFmtId="0" fontId="0" fillId="0" borderId="0" xfId="0" applyAlignment="1"/>
    <xf numFmtId="0" fontId="2" fillId="0" borderId="0" xfId="0" applyFont="1" applyAlignment="1"/>
    <xf numFmtId="0" fontId="0" fillId="0" borderId="0" xfId="0" applyFill="1" applyAlignment="1"/>
    <xf numFmtId="0" fontId="0" fillId="4" borderId="1" xfId="0" applyFill="1" applyBorder="1"/>
    <xf numFmtId="0" fontId="3" fillId="4"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indent="5"/>
    </xf>
    <xf numFmtId="0" fontId="0" fillId="0" borderId="0" xfId="0" applyAlignment="1">
      <alignment horizontal="left" indent="6"/>
    </xf>
    <xf numFmtId="0" fontId="0" fillId="0" borderId="0" xfId="0" applyAlignment="1">
      <alignment horizontal="left" indent="7"/>
    </xf>
    <xf numFmtId="0" fontId="0" fillId="0" borderId="0" xfId="0" applyAlignment="1">
      <alignment horizontal="left" indent="8"/>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xf numFmtId="0" fontId="0" fillId="5" borderId="0" xfId="0" applyFill="1" applyBorder="1" applyAlignment="1">
      <alignment horizontal="center"/>
    </xf>
    <xf numFmtId="0" fontId="0" fillId="5" borderId="6" xfId="0" applyFill="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0" fontId="0" fillId="5" borderId="9" xfId="0" applyFill="1" applyBorder="1" applyAlignment="1">
      <alignment horizontal="center"/>
    </xf>
    <xf numFmtId="0" fontId="4"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6">
    <dxf>
      <font>
        <b/>
        <i val="0"/>
        <strike val="0"/>
        <condense val="0"/>
        <extend val="0"/>
        <outline val="0"/>
        <shadow val="0"/>
        <u val="none"/>
        <vertAlign val="baseline"/>
        <sz val="11"/>
        <color rgb="FFFFFFFF"/>
        <name val="Cambria"/>
        <scheme val="none"/>
      </font>
      <fill>
        <patternFill patternType="solid">
          <fgColor rgb="FF1F2937"/>
          <bgColor rgb="FF17365D"/>
        </patternFill>
      </fill>
      <alignment horizontal="center" vertical="center" textRotation="0" wrapText="1" indent="0" justifyLastLine="0" shrinkToFit="0" readingOrder="0"/>
    </dxf>
    <dxf>
      <font>
        <b/>
        <i val="0"/>
        <strike val="0"/>
        <condense val="0"/>
        <extend val="0"/>
        <outline val="0"/>
        <shadow val="0"/>
        <u val="none"/>
        <vertAlign val="baseline"/>
        <sz val="11"/>
        <color rgb="FFFFFFFF"/>
        <name val="Cambria"/>
        <scheme val="none"/>
      </font>
      <fill>
        <patternFill patternType="solid">
          <fgColor rgb="FF1F2937"/>
          <bgColor rgb="FF17365D"/>
        </patternFill>
      </fill>
      <alignment horizontal="center" vertical="center" textRotation="0" wrapText="1" indent="0" justifyLastLine="0" shrinkToFit="0" readingOrder="0"/>
    </dxf>
    <dxf>
      <numFmt numFmtId="164" formatCode="yyyy\-mm\-dd"/>
    </dxf>
    <dxf>
      <font>
        <b/>
        <i val="0"/>
        <strike val="0"/>
        <condense val="0"/>
        <extend val="0"/>
        <outline val="0"/>
        <shadow val="0"/>
        <u val="none"/>
        <vertAlign val="baseline"/>
        <sz val="11"/>
        <color rgb="FFFFFFFF"/>
        <name val="Cambria"/>
        <scheme val="none"/>
      </font>
      <fill>
        <patternFill patternType="solid">
          <fgColor rgb="FF1F2937"/>
          <bgColor rgb="FF17365D"/>
        </patternFill>
      </fill>
      <alignment horizontal="center" vertical="center" textRotation="0" wrapText="1" indent="0" justifyLastLine="0" shrinkToFit="0" readingOrder="0"/>
    </dxf>
    <dxf>
      <font>
        <b/>
        <i val="0"/>
        <strike val="0"/>
        <condense val="0"/>
        <extend val="0"/>
        <outline val="0"/>
        <shadow val="0"/>
        <u val="none"/>
        <vertAlign val="baseline"/>
        <sz val="11"/>
        <color rgb="FFFFFFFF"/>
        <name val="Cambria"/>
        <scheme val="none"/>
      </font>
      <fill>
        <patternFill patternType="solid">
          <fgColor rgb="FF1F2937"/>
          <bgColor rgb="FF17365D"/>
        </patternFill>
      </fill>
      <alignment horizontal="center" vertical="center" textRotation="0" wrapText="1" indent="0" justifyLastLine="0" shrinkToFit="0" readingOrder="0"/>
    </dxf>
    <dxf>
      <font>
        <b/>
        <i val="0"/>
        <strike val="0"/>
        <condense val="0"/>
        <extend val="0"/>
        <outline val="0"/>
        <shadow val="0"/>
        <u val="none"/>
        <vertAlign val="baseline"/>
        <sz val="11"/>
        <color rgb="FFFFFFFF"/>
        <name val="Cambria"/>
        <scheme val="none"/>
      </font>
      <fill>
        <patternFill patternType="solid">
          <fgColor rgb="FF1F2937"/>
          <bgColor rgb="FF17365D"/>
        </patternFill>
      </fill>
      <alignment horizontal="center"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CE4EC"/>
      <rgbColor rgb="FFFF00FF"/>
      <rgbColor rgb="FF00FFFF"/>
      <rgbColor rgb="FF800000"/>
      <rgbColor rgb="FF008000"/>
      <rgbColor rgb="FF000080"/>
      <rgbColor rgb="FF8AA64F"/>
      <rgbColor rgb="FF800080"/>
      <rgbColor rgb="FF4299B0"/>
      <rgbColor rgb="FFB7C9D6"/>
      <rgbColor rgb="FF878787"/>
      <rgbColor rgb="FF93A9CE"/>
      <rgbColor rgb="FFAB4744"/>
      <rgbColor rgb="FFF9F9F9"/>
      <rgbColor rgb="FFDDEBF7"/>
      <rgbColor rgb="FF660066"/>
      <rgbColor rgb="FFDC853E"/>
      <rgbColor rgb="FF4672A8"/>
      <rgbColor rgb="FFD9D9D9"/>
      <rgbColor rgb="FF000080"/>
      <rgbColor rgb="FFFF00FF"/>
      <rgbColor rgb="FFFFFF00"/>
      <rgbColor rgb="FF00FFFF"/>
      <rgbColor rgb="FF800080"/>
      <rgbColor rgb="FF800000"/>
      <rgbColor rgb="FF4F81BD"/>
      <rgbColor rgb="FF0000FF"/>
      <rgbColor rgb="FF00CCFF"/>
      <rgbColor rgb="FFEAF1F8"/>
      <rgbColor rgb="FFE2F0D9"/>
      <rgbColor rgb="FFF7F4FB"/>
      <rgbColor rgb="FFB8CD97"/>
      <rgbColor rgb="FFD09493"/>
      <rgbColor rgb="FFEADCF8"/>
      <rgbColor rgb="FFFCE4D6"/>
      <rgbColor rgb="FF2F75B5"/>
      <rgbColor rgb="FF4BACC6"/>
      <rgbColor rgb="FF98B855"/>
      <rgbColor rgb="FF9BBB59"/>
      <rgbColor rgb="FFF39C12"/>
      <rgbColor rgb="FFE83E6F"/>
      <rgbColor rgb="FF725990"/>
      <rgbColor rgb="FFA99BBD"/>
      <rgbColor rgb="FF17365D"/>
      <rgbColor rgb="FF21A366"/>
      <rgbColor rgb="FF003300"/>
      <rgbColor rgb="FF6B7280"/>
      <rgbColor rgb="FFC0504D"/>
      <rgbColor rgb="FF7030A0"/>
      <rgbColor rgb="FF8064A2"/>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Dashboard.xlsx]Sheet2!PivotTable1</c:name>
    <c:fmtId val="3"/>
  </c:pivotSource>
  <c:chart>
    <c:title>
      <c:tx>
        <c:rich>
          <a:bodyPr/>
          <a:lstStyle/>
          <a:p>
            <a:pPr>
              <a:defRPr/>
            </a:pPr>
            <a:r>
              <a:rPr lang="en-US"/>
              <a:t>DEPARTMENT</a:t>
            </a:r>
            <a:r>
              <a:rPr lang="en-US" baseline="0"/>
              <a:t> PERFORMANCE</a:t>
            </a:r>
            <a:endParaRPr lang="en-US"/>
          </a:p>
        </c:rich>
      </c:tx>
      <c:layout>
        <c:manualLayout>
          <c:xMode val="edge"/>
          <c:yMode val="edge"/>
          <c:x val="0.49646537478129038"/>
          <c:y val="2.4930680546772388E-2"/>
        </c:manualLayout>
      </c:layout>
      <c:overlay val="1"/>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marker>
          <c:symbol val="none"/>
        </c:marker>
      </c:pivotFmt>
      <c:pivotFmt>
        <c:idx val="11"/>
      </c:pivotFmt>
      <c:pivotFmt>
        <c:idx val="12"/>
      </c:pivotFmt>
      <c:pivotFmt>
        <c:idx val="13"/>
        <c:marker>
          <c:symbol val="none"/>
        </c:marker>
      </c:pivotFmt>
      <c:pivotFmt>
        <c:idx val="14"/>
        <c:marker>
          <c:symbol val="none"/>
        </c:marker>
      </c:pivotFmt>
      <c:pivotFmt>
        <c:idx val="15"/>
        <c:marker>
          <c:symbol val="none"/>
        </c:marker>
      </c:pivotFmt>
    </c:pivotFmts>
    <c:view3D>
      <c:rotX val="15"/>
      <c:rotY val="20"/>
      <c:rAngAx val="1"/>
    </c:view3D>
    <c:floor>
      <c:thickness val="0"/>
    </c:floor>
    <c:sideWall>
      <c:thickness val="0"/>
      <c:spPr>
        <a:solidFill>
          <a:schemeClr val="accent6">
            <a:lumMod val="40000"/>
            <a:lumOff val="60000"/>
          </a:schemeClr>
        </a:solidFill>
      </c:spPr>
    </c:sideWall>
    <c:backWall>
      <c:thickness val="0"/>
      <c:spPr>
        <a:solidFill>
          <a:schemeClr val="accent6">
            <a:lumMod val="40000"/>
            <a:lumOff val="60000"/>
          </a:schemeClr>
        </a:solidFill>
      </c:spPr>
    </c:backWall>
    <c:plotArea>
      <c:layout/>
      <c:bar3DChart>
        <c:barDir val="col"/>
        <c:grouping val="clustered"/>
        <c:varyColors val="0"/>
        <c:ser>
          <c:idx val="0"/>
          <c:order val="0"/>
          <c:tx>
            <c:strRef>
              <c:f>Sheet2!$B$3</c:f>
              <c:strCache>
                <c:ptCount val="1"/>
                <c:pt idx="0">
                  <c:v>Sum of Age</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Sheet2!$B$4:$B$10</c:f>
              <c:numCache>
                <c:formatCode>General</c:formatCode>
                <c:ptCount val="6"/>
                <c:pt idx="0">
                  <c:v>281</c:v>
                </c:pt>
                <c:pt idx="1">
                  <c:v>392</c:v>
                </c:pt>
                <c:pt idx="2">
                  <c:v>127</c:v>
                </c:pt>
                <c:pt idx="3">
                  <c:v>179</c:v>
                </c:pt>
                <c:pt idx="4">
                  <c:v>103</c:v>
                </c:pt>
                <c:pt idx="5">
                  <c:v>478</c:v>
                </c:pt>
              </c:numCache>
            </c:numRef>
          </c:val>
        </c:ser>
        <c:ser>
          <c:idx val="1"/>
          <c:order val="1"/>
          <c:tx>
            <c:strRef>
              <c:f>Sheet2!$C$3</c:f>
              <c:strCache>
                <c:ptCount val="1"/>
                <c:pt idx="0">
                  <c:v>Sum of KPI Achievement %</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Sheet2!$C$4:$C$10</c:f>
              <c:numCache>
                <c:formatCode>General</c:formatCode>
                <c:ptCount val="6"/>
                <c:pt idx="0">
                  <c:v>641</c:v>
                </c:pt>
                <c:pt idx="1">
                  <c:v>845</c:v>
                </c:pt>
                <c:pt idx="2">
                  <c:v>339</c:v>
                </c:pt>
                <c:pt idx="3">
                  <c:v>392</c:v>
                </c:pt>
                <c:pt idx="4">
                  <c:v>256</c:v>
                </c:pt>
                <c:pt idx="5">
                  <c:v>873</c:v>
                </c:pt>
              </c:numCache>
            </c:numRef>
          </c:val>
        </c:ser>
        <c:ser>
          <c:idx val="2"/>
          <c:order val="2"/>
          <c:tx>
            <c:strRef>
              <c:f>Sheet2!$D$3</c:f>
              <c:strCache>
                <c:ptCount val="1"/>
                <c:pt idx="0">
                  <c:v>Sum of Training Hours</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Sheet2!$D$4:$D$10</c:f>
              <c:numCache>
                <c:formatCode>General</c:formatCode>
                <c:ptCount val="6"/>
                <c:pt idx="0">
                  <c:v>223</c:v>
                </c:pt>
                <c:pt idx="1">
                  <c:v>405</c:v>
                </c:pt>
                <c:pt idx="2">
                  <c:v>112</c:v>
                </c:pt>
                <c:pt idx="3">
                  <c:v>164</c:v>
                </c:pt>
                <c:pt idx="4">
                  <c:v>80</c:v>
                </c:pt>
                <c:pt idx="5">
                  <c:v>353</c:v>
                </c:pt>
              </c:numCache>
            </c:numRef>
          </c:val>
        </c:ser>
        <c:ser>
          <c:idx val="3"/>
          <c:order val="3"/>
          <c:tx>
            <c:strRef>
              <c:f>Sheet2!$E$3</c:f>
              <c:strCache>
                <c:ptCount val="1"/>
                <c:pt idx="0">
                  <c:v>Sum of Goal Completion %</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Sheet2!$E$4:$E$10</c:f>
              <c:numCache>
                <c:formatCode>General</c:formatCode>
                <c:ptCount val="6"/>
                <c:pt idx="0">
                  <c:v>695</c:v>
                </c:pt>
                <c:pt idx="1">
                  <c:v>796</c:v>
                </c:pt>
                <c:pt idx="2">
                  <c:v>309</c:v>
                </c:pt>
                <c:pt idx="3">
                  <c:v>428</c:v>
                </c:pt>
                <c:pt idx="4">
                  <c:v>231</c:v>
                </c:pt>
                <c:pt idx="5">
                  <c:v>838</c:v>
                </c:pt>
              </c:numCache>
            </c:numRef>
          </c:val>
        </c:ser>
        <c:dLbls>
          <c:showLegendKey val="0"/>
          <c:showVal val="0"/>
          <c:showCatName val="0"/>
          <c:showSerName val="0"/>
          <c:showPercent val="0"/>
          <c:showBubbleSize val="0"/>
        </c:dLbls>
        <c:gapWidth val="150"/>
        <c:shape val="cylinder"/>
        <c:axId val="166345728"/>
        <c:axId val="166355712"/>
        <c:axId val="0"/>
      </c:bar3DChart>
      <c:catAx>
        <c:axId val="166345728"/>
        <c:scaling>
          <c:orientation val="minMax"/>
        </c:scaling>
        <c:delete val="1"/>
        <c:axPos val="b"/>
        <c:majorTickMark val="out"/>
        <c:minorTickMark val="none"/>
        <c:tickLblPos val="nextTo"/>
        <c:crossAx val="166355712"/>
        <c:crosses val="autoZero"/>
        <c:auto val="1"/>
        <c:lblAlgn val="ctr"/>
        <c:lblOffset val="100"/>
        <c:noMultiLvlLbl val="0"/>
      </c:catAx>
      <c:valAx>
        <c:axId val="166355712"/>
        <c:scaling>
          <c:orientation val="minMax"/>
        </c:scaling>
        <c:delete val="0"/>
        <c:axPos val="l"/>
        <c:majorGridlines/>
        <c:numFmt formatCode="General" sourceLinked="1"/>
        <c:majorTickMark val="out"/>
        <c:minorTickMark val="none"/>
        <c:tickLblPos val="nextTo"/>
        <c:crossAx val="166345728"/>
        <c:crosses val="autoZero"/>
        <c:crossBetween val="between"/>
      </c:valAx>
    </c:plotArea>
    <c:legend>
      <c:legendPos val="r"/>
      <c:layout/>
      <c:overlay val="0"/>
    </c:legend>
    <c:plotVisOnly val="1"/>
    <c:dispBlanksAs val="gap"/>
    <c:showDLblsOverMax val="0"/>
  </c:chart>
  <c:spPr>
    <a:solidFill>
      <a:schemeClr val="accent6">
        <a:lumMod val="40000"/>
        <a:lumOff val="60000"/>
      </a:schemeClr>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Dashboard.xlsx]Sheet2!PivotTable12</c:name>
    <c:fmtId val="16"/>
  </c:pivotSource>
  <c:chart>
    <c:title>
      <c:layout/>
      <c:overlay val="0"/>
    </c:title>
    <c:autoTitleDeleted val="0"/>
    <c:pivotFmts>
      <c:pivotFmt>
        <c:idx val="0"/>
        <c:marker>
          <c:symbol val="none"/>
        </c:marker>
        <c:dLbl>
          <c:idx val="0"/>
          <c:spPr/>
          <c:txPr>
            <a:bodyPr/>
            <a:lstStyle/>
            <a:p>
              <a:pPr>
                <a:defRPr/>
              </a:pPr>
              <a:endParaRPr lang="en-US"/>
            </a:p>
          </c:txPr>
          <c:showLegendKey val="0"/>
          <c:showVal val="0"/>
          <c:showCatName val="1"/>
          <c:showSerName val="0"/>
          <c:showPercent val="1"/>
          <c:showBubbleSize val="0"/>
        </c:dLbl>
      </c:pivotFmt>
      <c:pivotFmt>
        <c:idx val="1"/>
        <c:marker>
          <c:symbol val="none"/>
        </c:marker>
        <c:dLbl>
          <c:idx val="0"/>
          <c:spPr/>
          <c:txPr>
            <a:bodyPr/>
            <a:lstStyle/>
            <a:p>
              <a:pPr>
                <a:defRPr/>
              </a:pPr>
              <a:endParaRPr lang="en-US"/>
            </a:p>
          </c:txPr>
          <c:showLegendKey val="0"/>
          <c:showVal val="0"/>
          <c:showCatName val="1"/>
          <c:showSerName val="0"/>
          <c:showPercent val="1"/>
          <c:showBubbleSize val="0"/>
        </c:dLbl>
      </c:pivotFmt>
      <c:pivotFmt>
        <c:idx val="2"/>
        <c:marker>
          <c:symbol val="none"/>
        </c:marker>
        <c:dLbl>
          <c:idx val="0"/>
          <c:spPr/>
          <c:txPr>
            <a:bodyPr/>
            <a:lstStyle/>
            <a:p>
              <a:pPr>
                <a:defRPr/>
              </a:pPr>
              <a:endParaRPr lang="en-US"/>
            </a:p>
          </c:txPr>
          <c:showLegendKey val="0"/>
          <c:showVal val="0"/>
          <c:showCatName val="1"/>
          <c:showSerName val="0"/>
          <c:showPercent val="1"/>
          <c:showBubbleSize val="0"/>
        </c:dLbl>
      </c:pivotFmt>
      <c:pivotFmt>
        <c:idx val="3"/>
        <c:marker>
          <c:symbol val="none"/>
        </c:marker>
        <c:dLbl>
          <c:idx val="0"/>
          <c:spPr/>
          <c:txPr>
            <a:bodyPr/>
            <a:lstStyle/>
            <a:p>
              <a:pPr>
                <a:defRPr/>
              </a:pPr>
              <a:endParaRPr lang="en-US"/>
            </a:p>
          </c:txPr>
          <c:showLegendKey val="0"/>
          <c:showVal val="0"/>
          <c:showCatName val="1"/>
          <c:showSerName val="0"/>
          <c:showPercent val="1"/>
          <c:showBubbleSize val="0"/>
        </c:dLbl>
      </c:pivotFmt>
      <c:pivotFmt>
        <c:idx val="4"/>
        <c:marker>
          <c:symbol val="none"/>
        </c:marker>
        <c:dLbl>
          <c:idx val="0"/>
          <c:spPr/>
          <c:txPr>
            <a:bodyPr/>
            <a:lstStyle/>
            <a:p>
              <a:pPr>
                <a:defRPr/>
              </a:pPr>
              <a:endParaRPr lang="en-US"/>
            </a:p>
          </c:txPr>
          <c:showLegendKey val="0"/>
          <c:showVal val="0"/>
          <c:showCatName val="1"/>
          <c:showSerName val="0"/>
          <c:showPercent val="1"/>
          <c:showBubbleSize val="0"/>
        </c:dLbl>
      </c:pivotFmt>
      <c:pivotFmt>
        <c:idx val="5"/>
        <c:marker>
          <c:symbol val="none"/>
        </c:marker>
        <c:dLbl>
          <c:idx val="0"/>
          <c:spPr/>
          <c:txPr>
            <a:bodyPr/>
            <a:lstStyle/>
            <a:p>
              <a:pPr>
                <a:defRPr/>
              </a:pPr>
              <a:endParaRPr lang="en-US"/>
            </a:p>
          </c:txPr>
          <c:showLegendKey val="0"/>
          <c:showVal val="0"/>
          <c:showCatName val="1"/>
          <c:showSerName val="0"/>
          <c:showPercent val="1"/>
          <c:showBubbleSize val="0"/>
        </c:dLbl>
      </c:pivotFmt>
      <c:pivotFmt>
        <c:idx val="6"/>
        <c:marker>
          <c:symbol val="none"/>
        </c:marker>
        <c:dLbl>
          <c:idx val="0"/>
          <c:spPr/>
          <c:txPr>
            <a:bodyPr/>
            <a:lstStyle/>
            <a:p>
              <a:pPr>
                <a:defRPr/>
              </a:pPr>
              <a:endParaRPr lang="en-US"/>
            </a:p>
          </c:txPr>
          <c:showLegendKey val="0"/>
          <c:showVal val="0"/>
          <c:showCatName val="1"/>
          <c:showSerName val="0"/>
          <c:showPercent val="1"/>
          <c:showBubbleSize val="0"/>
        </c:dLbl>
      </c:pivotFmt>
      <c:pivotFmt>
        <c:idx val="7"/>
        <c:marker>
          <c:symbol val="none"/>
        </c:marker>
        <c:dLbl>
          <c:idx val="0"/>
          <c:spPr/>
          <c:txPr>
            <a:bodyPr/>
            <a:lstStyle/>
            <a:p>
              <a:pPr>
                <a:defRPr/>
              </a:pPr>
              <a:endParaRPr lang="en-US"/>
            </a:p>
          </c:txPr>
          <c:showLegendKey val="0"/>
          <c:showVal val="0"/>
          <c:showCatName val="1"/>
          <c:showSerName val="0"/>
          <c:showPercent val="1"/>
          <c:showBubbleSize val="0"/>
        </c:dLbl>
      </c:pivotFmt>
      <c:pivotFmt>
        <c:idx val="8"/>
        <c:marker>
          <c:symbol val="none"/>
        </c:marker>
        <c:dLbl>
          <c:idx val="0"/>
          <c:layout/>
          <c:spPr/>
          <c:txPr>
            <a:bodyPr/>
            <a:lstStyle/>
            <a:p>
              <a:pPr>
                <a:defRPr/>
              </a:pPr>
              <a:endParaRPr lang="en-US"/>
            </a:p>
          </c:txPr>
          <c:showLegendKey val="0"/>
          <c:showVal val="0"/>
          <c:showCatName val="1"/>
          <c:showSerName val="0"/>
          <c:showPercent val="1"/>
          <c:showBubbleSize val="0"/>
        </c:dLbl>
      </c:pivotFmt>
      <c:pivotFmt>
        <c:idx val="9"/>
        <c:marker>
          <c:symbol val="none"/>
        </c:marker>
        <c:dLbl>
          <c:idx val="0"/>
          <c:spPr/>
          <c:txPr>
            <a:bodyPr/>
            <a:lstStyle/>
            <a:p>
              <a:pPr>
                <a:defRPr/>
              </a:pPr>
              <a:endParaRPr lang="en-US"/>
            </a:p>
          </c:txPr>
          <c:showLegendKey val="0"/>
          <c:showVal val="0"/>
          <c:showCatName val="1"/>
          <c:showSerName val="0"/>
          <c:showPercent val="1"/>
          <c:showBubbleSize val="0"/>
        </c:dLbl>
      </c:pivotFmt>
      <c:pivotFmt>
        <c:idx val="10"/>
        <c:marker>
          <c:symbol val="none"/>
        </c:marker>
        <c:dLbl>
          <c:idx val="0"/>
          <c:spPr/>
          <c:txPr>
            <a:bodyPr/>
            <a:lstStyle/>
            <a:p>
              <a:pPr>
                <a:defRPr/>
              </a:pPr>
              <a:endParaRPr lang="en-US"/>
            </a:p>
          </c:txPr>
          <c:showLegendKey val="0"/>
          <c:showVal val="0"/>
          <c:showCatName val="1"/>
          <c:showSerName val="0"/>
          <c:showPercent val="1"/>
          <c:showBubbleSize val="0"/>
        </c:dLbl>
      </c:pivotFmt>
      <c:pivotFmt>
        <c:idx val="11"/>
        <c:marker>
          <c:symbol val="none"/>
        </c:marker>
        <c:dLbl>
          <c:idx val="0"/>
          <c:spPr/>
          <c:txPr>
            <a:bodyPr/>
            <a:lstStyle/>
            <a:p>
              <a:pPr>
                <a:defRPr/>
              </a:pPr>
              <a:endParaRPr lang="en-US"/>
            </a:p>
          </c:txPr>
          <c:showLegendKey val="0"/>
          <c:showVal val="0"/>
          <c:showCatName val="1"/>
          <c:showSerName val="0"/>
          <c:showPercent val="1"/>
          <c:showBubbleSize val="0"/>
        </c:dLbl>
      </c:pivotFmt>
    </c:pivotFmts>
    <c:plotArea>
      <c:layout/>
      <c:pieChart>
        <c:varyColors val="1"/>
        <c:ser>
          <c:idx val="0"/>
          <c:order val="0"/>
          <c:tx>
            <c:strRef>
              <c:f>Sheet2!$B$23</c:f>
              <c:strCache>
                <c:ptCount val="1"/>
                <c:pt idx="0">
                  <c:v>Sum of Work-Life Balance</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Sheet2!$B$24:$B$34</c:f>
              <c:numCache>
                <c:formatCode>General</c:formatCode>
                <c:ptCount val="10"/>
                <c:pt idx="0">
                  <c:v>14</c:v>
                </c:pt>
                <c:pt idx="1">
                  <c:v>18</c:v>
                </c:pt>
                <c:pt idx="2">
                  <c:v>22</c:v>
                </c:pt>
                <c:pt idx="3">
                  <c:v>34</c:v>
                </c:pt>
                <c:pt idx="4">
                  <c:v>36</c:v>
                </c:pt>
                <c:pt idx="5">
                  <c:v>27</c:v>
                </c:pt>
                <c:pt idx="6">
                  <c:v>32</c:v>
                </c:pt>
                <c:pt idx="7">
                  <c:v>27</c:v>
                </c:pt>
                <c:pt idx="8">
                  <c:v>42</c:v>
                </c:pt>
                <c:pt idx="9">
                  <c:v>40</c:v>
                </c:pt>
              </c:numCache>
            </c:numRef>
          </c:val>
        </c:ser>
        <c:ser>
          <c:idx val="1"/>
          <c:order val="1"/>
          <c:tx>
            <c:strRef>
              <c:f>Sheet2!$C$23</c:f>
              <c:strCache>
                <c:ptCount val="1"/>
                <c:pt idx="0">
                  <c:v>Sum of Years at Company</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Sheet2!$C$24:$C$34</c:f>
              <c:numCache>
                <c:formatCode>General</c:formatCode>
                <c:ptCount val="10"/>
                <c:pt idx="0">
                  <c:v>28.5</c:v>
                </c:pt>
                <c:pt idx="1">
                  <c:v>30.299999999999997</c:v>
                </c:pt>
                <c:pt idx="2">
                  <c:v>39.800000000000004</c:v>
                </c:pt>
                <c:pt idx="3">
                  <c:v>39.099999999999994</c:v>
                </c:pt>
                <c:pt idx="4">
                  <c:v>45.800000000000004</c:v>
                </c:pt>
                <c:pt idx="5">
                  <c:v>51.6</c:v>
                </c:pt>
                <c:pt idx="6">
                  <c:v>47.5</c:v>
                </c:pt>
                <c:pt idx="7">
                  <c:v>32.300000000000004</c:v>
                </c:pt>
                <c:pt idx="8">
                  <c:v>69.3</c:v>
                </c:pt>
                <c:pt idx="9">
                  <c:v>38.699999999999996</c:v>
                </c:pt>
              </c:numCache>
            </c:numRef>
          </c:val>
        </c:ser>
        <c:ser>
          <c:idx val="2"/>
          <c:order val="2"/>
          <c:tx>
            <c:strRef>
              <c:f>Sheet2!$D$23</c:f>
              <c:strCache>
                <c:ptCount val="1"/>
                <c:pt idx="0">
                  <c:v>Sum of Monthly Salary</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Sheet2!$D$24:$D$34</c:f>
              <c:numCache>
                <c:formatCode>General</c:formatCode>
                <c:ptCount val="10"/>
                <c:pt idx="0">
                  <c:v>575248</c:v>
                </c:pt>
                <c:pt idx="1">
                  <c:v>550568</c:v>
                </c:pt>
                <c:pt idx="2">
                  <c:v>566336</c:v>
                </c:pt>
                <c:pt idx="3">
                  <c:v>998159</c:v>
                </c:pt>
                <c:pt idx="4">
                  <c:v>807176</c:v>
                </c:pt>
                <c:pt idx="5">
                  <c:v>863148</c:v>
                </c:pt>
                <c:pt idx="6">
                  <c:v>821658</c:v>
                </c:pt>
                <c:pt idx="7">
                  <c:v>716814</c:v>
                </c:pt>
                <c:pt idx="8">
                  <c:v>935603</c:v>
                </c:pt>
                <c:pt idx="9">
                  <c:v>861583</c:v>
                </c:pt>
              </c:numCache>
            </c:numRef>
          </c:val>
        </c:ser>
        <c:ser>
          <c:idx val="3"/>
          <c:order val="3"/>
          <c:tx>
            <c:strRef>
              <c:f>Sheet2!$E$23</c:f>
              <c:strCache>
                <c:ptCount val="1"/>
                <c:pt idx="0">
                  <c:v>Sum of Job Satisfaction</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Sheet2!$E$24:$E$34</c:f>
              <c:numCache>
                <c:formatCode>General</c:formatCode>
                <c:ptCount val="10"/>
                <c:pt idx="0">
                  <c:v>14</c:v>
                </c:pt>
                <c:pt idx="1">
                  <c:v>14</c:v>
                </c:pt>
                <c:pt idx="2">
                  <c:v>14</c:v>
                </c:pt>
                <c:pt idx="3">
                  <c:v>24</c:v>
                </c:pt>
                <c:pt idx="4">
                  <c:v>22</c:v>
                </c:pt>
                <c:pt idx="5">
                  <c:v>20</c:v>
                </c:pt>
                <c:pt idx="6">
                  <c:v>22</c:v>
                </c:pt>
                <c:pt idx="7">
                  <c:v>22</c:v>
                </c:pt>
                <c:pt idx="8">
                  <c:v>26</c:v>
                </c:pt>
                <c:pt idx="9">
                  <c:v>20</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spPr>
    <a:solidFill>
      <a:schemeClr val="accent6">
        <a:lumMod val="40000"/>
        <a:lumOff val="60000"/>
      </a:schemeClr>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Dashboard.xlsx]Sheet2!PivotTable13</c:name>
    <c:fmtId val="3"/>
  </c:pivotSource>
  <c:chart>
    <c:title>
      <c:tx>
        <c:rich>
          <a:bodyPr/>
          <a:lstStyle/>
          <a:p>
            <a:pPr>
              <a:defRPr/>
            </a:pPr>
            <a:r>
              <a:rPr lang="en-US"/>
              <a:t>EXIT</a:t>
            </a:r>
            <a:r>
              <a:rPr lang="en-US" baseline="0"/>
              <a:t> RESION</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spPr>
          <a:ln w="25400">
            <a:noFill/>
          </a:ln>
        </c:spPr>
        <c:marker>
          <c:symbol val="none"/>
        </c:marker>
      </c:pivotFmt>
      <c:pivotFmt>
        <c:idx val="7"/>
        <c:spPr>
          <a:ln w="25400">
            <a:noFill/>
          </a:ln>
        </c:spPr>
        <c:marker>
          <c:symbol val="none"/>
        </c:marker>
      </c:pivotFmt>
      <c:pivotFmt>
        <c:idx val="8"/>
        <c:spPr>
          <a:ln w="25400">
            <a:noFill/>
          </a:ln>
        </c:spPr>
        <c:marker>
          <c:symbol val="none"/>
        </c:marker>
      </c:pivotFmt>
      <c:pivotFmt>
        <c:idx val="9"/>
        <c:spPr>
          <a:ln w="25400">
            <a:noFill/>
          </a:ln>
        </c:spPr>
        <c:marker>
          <c:symbol val="none"/>
        </c:marker>
      </c:pivotFmt>
      <c:pivotFmt>
        <c:idx val="10"/>
        <c:spPr>
          <a:ln w="25400">
            <a:noFill/>
          </a:ln>
        </c:spPr>
        <c:marker>
          <c:symbol val="none"/>
        </c:marker>
      </c:pivotFmt>
      <c:pivotFmt>
        <c:idx val="11"/>
        <c:spPr>
          <a:ln w="25400">
            <a:noFill/>
          </a:ln>
        </c:spPr>
        <c:marker>
          <c:symbol val="none"/>
        </c:marker>
      </c:pivotFmt>
      <c:pivotFmt>
        <c:idx val="12"/>
        <c:spPr>
          <a:ln w="25400">
            <a:noFill/>
          </a:ln>
        </c:spPr>
        <c:marker>
          <c:symbol val="none"/>
        </c:marker>
      </c:pivotFmt>
      <c:pivotFmt>
        <c:idx val="13"/>
        <c:spPr>
          <a:ln w="25400">
            <a:noFill/>
          </a:ln>
        </c:spPr>
        <c:marker>
          <c:symbol val="none"/>
        </c:marker>
      </c:pivotFmt>
      <c:pivotFmt>
        <c:idx val="14"/>
        <c:spPr>
          <a:ln w="25400">
            <a:noFill/>
          </a:ln>
        </c:spPr>
        <c:marker>
          <c:symbol val="none"/>
        </c:marker>
      </c:pivotFmt>
      <c:pivotFmt>
        <c:idx val="15"/>
        <c:spPr>
          <a:ln w="25400">
            <a:noFill/>
          </a:ln>
        </c:spPr>
        <c:marker>
          <c:symbol val="none"/>
        </c:marker>
      </c:pivotFmt>
      <c:pivotFmt>
        <c:idx val="16"/>
        <c:spPr>
          <a:ln w="25400">
            <a:noFill/>
          </a:ln>
        </c:spPr>
        <c:marker>
          <c:symbol val="none"/>
        </c:marker>
      </c:pivotFmt>
      <c:pivotFmt>
        <c:idx val="17"/>
        <c:spPr>
          <a:ln w="25400">
            <a:noFill/>
          </a:ln>
        </c:spPr>
        <c:marker>
          <c:symbol val="none"/>
        </c:marker>
      </c:pivotFmt>
    </c:pivotFmts>
    <c:plotArea>
      <c:layout/>
      <c:barChart>
        <c:barDir val="bar"/>
        <c:grouping val="clustered"/>
        <c:varyColors val="0"/>
        <c:ser>
          <c:idx val="0"/>
          <c:order val="0"/>
          <c:tx>
            <c:strRef>
              <c:f>Sheet2!$B$40</c:f>
              <c:strCache>
                <c:ptCount val="1"/>
                <c:pt idx="0">
                  <c:v>Sum of Job Satisfaction</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Sheet2!$B$41:$B$45</c:f>
              <c:numCache>
                <c:formatCode>General</c:formatCode>
                <c:ptCount val="2"/>
                <c:pt idx="0">
                  <c:v>9</c:v>
                </c:pt>
                <c:pt idx="1">
                  <c:v>13</c:v>
                </c:pt>
              </c:numCache>
            </c:numRef>
          </c:val>
        </c:ser>
        <c:ser>
          <c:idx val="1"/>
          <c:order val="1"/>
          <c:tx>
            <c:strRef>
              <c:f>Sheet2!$C$40</c:f>
              <c:strCache>
                <c:ptCount val="1"/>
                <c:pt idx="0">
                  <c:v>Sum of Years at Company</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Sheet2!$C$41:$C$45</c:f>
              <c:numCache>
                <c:formatCode>General</c:formatCode>
                <c:ptCount val="2"/>
                <c:pt idx="0">
                  <c:v>8.9</c:v>
                </c:pt>
                <c:pt idx="1">
                  <c:v>16.200000000000003</c:v>
                </c:pt>
              </c:numCache>
            </c:numRef>
          </c:val>
        </c:ser>
        <c:ser>
          <c:idx val="2"/>
          <c:order val="2"/>
          <c:tx>
            <c:strRef>
              <c:f>Sheet2!$D$40</c:f>
              <c:strCache>
                <c:ptCount val="1"/>
                <c:pt idx="0">
                  <c:v>Sum of Work-Life Balance</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Sheet2!$D$41:$D$45</c:f>
              <c:numCache>
                <c:formatCode>General</c:formatCode>
                <c:ptCount val="2"/>
                <c:pt idx="0">
                  <c:v>7</c:v>
                </c:pt>
                <c:pt idx="1">
                  <c:v>7</c:v>
                </c:pt>
              </c:numCache>
            </c:numRef>
          </c:val>
        </c:ser>
        <c:dLbls>
          <c:showLegendKey val="0"/>
          <c:showVal val="0"/>
          <c:showCatName val="0"/>
          <c:showSerName val="0"/>
          <c:showPercent val="0"/>
          <c:showBubbleSize val="0"/>
        </c:dLbls>
        <c:gapWidth val="75"/>
        <c:overlap val="-25"/>
        <c:axId val="225102080"/>
        <c:axId val="225103872"/>
      </c:barChart>
      <c:catAx>
        <c:axId val="225102080"/>
        <c:scaling>
          <c:orientation val="minMax"/>
        </c:scaling>
        <c:delete val="0"/>
        <c:axPos val="l"/>
        <c:majorTickMark val="none"/>
        <c:minorTickMark val="none"/>
        <c:tickLblPos val="nextTo"/>
        <c:crossAx val="225103872"/>
        <c:crosses val="autoZero"/>
        <c:auto val="1"/>
        <c:lblAlgn val="ctr"/>
        <c:lblOffset val="100"/>
        <c:noMultiLvlLbl val="0"/>
      </c:catAx>
      <c:valAx>
        <c:axId val="225103872"/>
        <c:scaling>
          <c:orientation val="minMax"/>
        </c:scaling>
        <c:delete val="0"/>
        <c:axPos val="b"/>
        <c:majorGridlines>
          <c:spPr>
            <a:effectLst>
              <a:glow rad="63500">
                <a:schemeClr val="accent6">
                  <a:satMod val="175000"/>
                  <a:alpha val="40000"/>
                </a:schemeClr>
              </a:glow>
            </a:effectLst>
          </c:spPr>
        </c:majorGridlines>
        <c:numFmt formatCode="General" sourceLinked="1"/>
        <c:majorTickMark val="none"/>
        <c:minorTickMark val="none"/>
        <c:tickLblPos val="nextTo"/>
        <c:spPr>
          <a:ln w="9525">
            <a:noFill/>
          </a:ln>
        </c:spPr>
        <c:crossAx val="225102080"/>
        <c:crosses val="autoZero"/>
        <c:crossBetween val="between"/>
      </c:valAx>
      <c:spPr>
        <a:solidFill>
          <a:schemeClr val="accent6">
            <a:lumMod val="40000"/>
            <a:lumOff val="60000"/>
          </a:schemeClr>
        </a:solidFill>
        <a:scene3d>
          <a:camera prst="orthographicFront"/>
          <a:lightRig rig="threePt" dir="t"/>
        </a:scene3d>
      </c:spPr>
    </c:plotArea>
    <c:legend>
      <c:legendPos val="b"/>
      <c:layout/>
      <c:overlay val="0"/>
    </c:legend>
    <c:plotVisOnly val="1"/>
    <c:dispBlanksAs val="gap"/>
    <c:showDLblsOverMax val="0"/>
  </c:chart>
  <c:spPr>
    <a:solidFill>
      <a:schemeClr val="accent6">
        <a:lumMod val="40000"/>
        <a:lumOff val="60000"/>
      </a:schemeClr>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Dashboard.xlsx]Sheet2!PivotTable5</c:name>
    <c:fmtId val="2"/>
  </c:pivotSource>
  <c:chart>
    <c:title>
      <c:tx>
        <c:rich>
          <a:bodyPr/>
          <a:lstStyle/>
          <a:p>
            <a:pPr>
              <a:defRPr/>
            </a:pPr>
            <a:r>
              <a:rPr lang="en-US"/>
              <a:t>CRITICAL</a:t>
            </a:r>
            <a:r>
              <a:rPr lang="en-US" baseline="0"/>
              <a:t> SKILL</a:t>
            </a:r>
            <a:endParaRPr lang="en-US"/>
          </a:p>
        </c:rich>
      </c:tx>
      <c:layout/>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dLbl>
          <c:idx val="0"/>
          <c:spPr/>
          <c:txPr>
            <a:bodyPr/>
            <a:lstStyle/>
            <a:p>
              <a:pPr>
                <a:defRPr/>
              </a:pPr>
              <a:endParaRPr lang="en-US"/>
            </a:p>
          </c:txPr>
          <c:showLegendKey val="0"/>
          <c:showVal val="0"/>
          <c:showCatName val="0"/>
          <c:showSerName val="0"/>
          <c:showPercent val="1"/>
          <c:showBubbleSize val="0"/>
        </c:dLbl>
      </c:pivotFmt>
      <c:pivotFmt>
        <c:idx val="3"/>
        <c:marker>
          <c:symbol val="none"/>
        </c:marker>
        <c:dLbl>
          <c:idx val="0"/>
          <c:layout/>
          <c:spPr/>
          <c:txPr>
            <a:bodyPr/>
            <a:lstStyle/>
            <a:p>
              <a:pPr>
                <a:defRPr/>
              </a:pPr>
              <a:endParaRPr lang="en-US"/>
            </a:p>
          </c:txPr>
          <c:showLegendKey val="0"/>
          <c:showVal val="0"/>
          <c:showCatName val="0"/>
          <c:showSerName val="0"/>
          <c:showPercent val="1"/>
          <c:showBubbleSize val="0"/>
        </c:dLbl>
      </c:pivotFmt>
    </c:pivotFmts>
    <c:plotArea>
      <c:layout/>
      <c:doughnutChart>
        <c:varyColors val="1"/>
        <c:ser>
          <c:idx val="0"/>
          <c:order val="0"/>
          <c:tx>
            <c:strRef>
              <c:f>Sheet2!$B$80</c:f>
              <c:strCache>
                <c:ptCount val="1"/>
                <c:pt idx="0">
                  <c:v>Total</c:v>
                </c:pt>
              </c:strCache>
            </c:strRef>
          </c:tx>
          <c:explosion val="25"/>
          <c:dLbls>
            <c:spPr/>
            <c:txPr>
              <a:bodyPr/>
              <a:lstStyle/>
              <a:p>
                <a:pPr>
                  <a:defRPr/>
                </a:pPr>
                <a:endParaRPr lang="en-US"/>
              </a:p>
            </c:txPr>
            <c:showLegendKey val="0"/>
            <c:showVal val="0"/>
            <c:showCatName val="0"/>
            <c:showSerName val="0"/>
            <c:showPercent val="1"/>
            <c:showBubbleSize val="0"/>
            <c:showLeaderLines val="1"/>
          </c:dLbls>
          <c:cat>
            <c:multiLvlStrRef>
              <c:f>Sheet2!$A$81:$A$85</c:f>
              <c:multiLvlStrCache>
                <c:ptCount val="3"/>
                <c:lvl>
                  <c:pt idx="0">
                    <c:v>High</c:v>
                  </c:pt>
                  <c:pt idx="1">
                    <c:v>Low</c:v>
                  </c:pt>
                  <c:pt idx="2">
                    <c:v>Medium</c:v>
                  </c:pt>
                </c:lvl>
                <c:lvl>
                  <c:pt idx="0">
                    <c:v>AI / ML</c:v>
                  </c:pt>
                </c:lvl>
              </c:multiLvlStrCache>
            </c:multiLvlStrRef>
          </c:cat>
          <c:val>
            <c:numRef>
              <c:f>Sheet2!$B$81:$B$85</c:f>
              <c:numCache>
                <c:formatCode>General</c:formatCode>
                <c:ptCount val="3"/>
                <c:pt idx="0">
                  <c:v>10</c:v>
                </c:pt>
                <c:pt idx="1">
                  <c:v>3</c:v>
                </c:pt>
                <c:pt idx="2">
                  <c:v>5</c:v>
                </c:pt>
              </c:numCache>
            </c:numRef>
          </c:val>
        </c:ser>
        <c:dLbls>
          <c:showLegendKey val="0"/>
          <c:showVal val="0"/>
          <c:showCatName val="0"/>
          <c:showSerName val="0"/>
          <c:showPercent val="1"/>
          <c:showBubbleSize val="0"/>
          <c:showLeaderLines val="1"/>
        </c:dLbls>
        <c:firstSliceAng val="0"/>
        <c:holeSize val="50"/>
      </c:doughnutChart>
    </c:plotArea>
    <c:legend>
      <c:legendPos val="t"/>
      <c:layout/>
      <c:overlay val="0"/>
    </c:legend>
    <c:plotVisOnly val="1"/>
    <c:dispBlanksAs val="gap"/>
    <c:showDLblsOverMax val="0"/>
  </c:chart>
  <c:spPr>
    <a:solidFill>
      <a:schemeClr val="accent6">
        <a:lumMod val="40000"/>
        <a:lumOff val="60000"/>
      </a:schemeClr>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Dashboard.xlsx]Sheet2!PivotTable4</c:name>
    <c:fmtId val="9"/>
  </c:pivotSource>
  <c:chart>
    <c:title>
      <c:layout/>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dLbl>
          <c:idx val="0"/>
          <c:spPr/>
          <c:txPr>
            <a:bodyPr/>
            <a:lstStyle/>
            <a:p>
              <a:pPr>
                <a:defRPr/>
              </a:pPr>
              <a:endParaRPr lang="en-US"/>
            </a:p>
          </c:txPr>
          <c:showLegendKey val="0"/>
          <c:showVal val="0"/>
          <c:showCatName val="0"/>
          <c:showSerName val="0"/>
          <c:showPercent val="1"/>
          <c:showBubbleSize val="0"/>
        </c:dLbl>
      </c:pivotFmt>
      <c:pivotFmt>
        <c:idx val="3"/>
        <c:marker>
          <c:symbol val="none"/>
        </c:marker>
        <c:dLbl>
          <c:idx val="0"/>
          <c:spPr/>
          <c:txPr>
            <a:bodyPr/>
            <a:lstStyle/>
            <a:p>
              <a:pPr>
                <a:defRPr/>
              </a:pPr>
              <a:endParaRPr lang="en-US"/>
            </a:p>
          </c:txPr>
          <c:showLegendKey val="0"/>
          <c:showVal val="0"/>
          <c:showCatName val="0"/>
          <c:showSerName val="0"/>
          <c:showPercent val="1"/>
          <c:showBubbleSize val="0"/>
        </c:dLbl>
      </c:pivotFmt>
      <c:pivotFmt>
        <c:idx val="4"/>
        <c:marker>
          <c:symbol val="none"/>
        </c:marker>
        <c:dLbl>
          <c:idx val="0"/>
          <c:spPr/>
          <c:txPr>
            <a:bodyPr/>
            <a:lstStyle/>
            <a:p>
              <a:pPr>
                <a:defRPr/>
              </a:pPr>
              <a:endParaRPr lang="en-US"/>
            </a:p>
          </c:txPr>
          <c:showLegendKey val="0"/>
          <c:showVal val="0"/>
          <c:showCatName val="0"/>
          <c:showSerName val="0"/>
          <c:showPercent val="1"/>
          <c:showBubbleSize val="0"/>
        </c:dLbl>
      </c:pivotFmt>
      <c:pivotFmt>
        <c:idx val="5"/>
        <c:marker>
          <c:symbol val="none"/>
        </c:marker>
        <c:dLbl>
          <c:idx val="0"/>
          <c:spPr/>
          <c:txPr>
            <a:bodyPr/>
            <a:lstStyle/>
            <a:p>
              <a:pPr>
                <a:defRPr/>
              </a:pPr>
              <a:endParaRPr lang="en-US"/>
            </a:p>
          </c:txPr>
          <c:showLegendKey val="0"/>
          <c:showVal val="0"/>
          <c:showCatName val="0"/>
          <c:showSerName val="0"/>
          <c:showPercent val="1"/>
          <c:showBubbleSize val="0"/>
        </c:dLbl>
      </c:pivotFmt>
      <c:pivotFmt>
        <c:idx val="6"/>
        <c:marker>
          <c:symbol val="none"/>
        </c:marker>
        <c:dLbl>
          <c:idx val="0"/>
          <c:spPr/>
          <c:txPr>
            <a:bodyPr/>
            <a:lstStyle/>
            <a:p>
              <a:pPr>
                <a:defRPr/>
              </a:pPr>
              <a:endParaRPr lang="en-US"/>
            </a:p>
          </c:txPr>
          <c:showLegendKey val="0"/>
          <c:showVal val="0"/>
          <c:showCatName val="0"/>
          <c:showSerName val="0"/>
          <c:showPercent val="1"/>
          <c:showBubbleSize val="0"/>
        </c:dLbl>
      </c:pivotFmt>
      <c:pivotFmt>
        <c:idx val="7"/>
        <c:marker>
          <c:symbol val="none"/>
        </c:marker>
        <c:dLbl>
          <c:idx val="0"/>
          <c:spPr/>
          <c:txPr>
            <a:bodyPr/>
            <a:lstStyle/>
            <a:p>
              <a:pPr>
                <a:defRPr/>
              </a:pPr>
              <a:endParaRPr lang="en-US"/>
            </a:p>
          </c:txPr>
          <c:showLegendKey val="0"/>
          <c:showVal val="0"/>
          <c:showCatName val="0"/>
          <c:showSerName val="0"/>
          <c:showPercent val="1"/>
          <c:showBubbleSize val="0"/>
        </c:dLbl>
      </c:pivotFmt>
      <c:pivotFmt>
        <c:idx val="8"/>
        <c:marker>
          <c:symbol val="none"/>
        </c:marker>
        <c:dLbl>
          <c:idx val="0"/>
          <c:layout/>
          <c:spPr/>
          <c:txPr>
            <a:bodyPr/>
            <a:lstStyle/>
            <a:p>
              <a:pPr>
                <a:defRPr/>
              </a:pPr>
              <a:endParaRPr lang="en-US"/>
            </a:p>
          </c:txPr>
          <c:showLegendKey val="0"/>
          <c:showVal val="0"/>
          <c:showCatName val="0"/>
          <c:showSerName val="0"/>
          <c:showPercent val="1"/>
          <c:showBubbleSize val="0"/>
        </c:dLbl>
      </c:pivotFmt>
      <c:pivotFmt>
        <c:idx val="9"/>
        <c:marker>
          <c:symbol val="none"/>
        </c:marker>
        <c:dLbl>
          <c:idx val="0"/>
          <c:spPr/>
          <c:txPr>
            <a:bodyPr/>
            <a:lstStyle/>
            <a:p>
              <a:pPr>
                <a:defRPr/>
              </a:pPr>
              <a:endParaRPr lang="en-US"/>
            </a:p>
          </c:txPr>
          <c:showLegendKey val="0"/>
          <c:showVal val="0"/>
          <c:showCatName val="0"/>
          <c:showSerName val="0"/>
          <c:showPercent val="1"/>
          <c:showBubbleSize val="0"/>
        </c:dLbl>
      </c:pivotFmt>
      <c:pivotFmt>
        <c:idx val="10"/>
        <c:marker>
          <c:symbol val="none"/>
        </c:marker>
        <c:dLbl>
          <c:idx val="0"/>
          <c:spPr/>
          <c:txPr>
            <a:bodyPr/>
            <a:lstStyle/>
            <a:p>
              <a:pPr>
                <a:defRPr/>
              </a:pPr>
              <a:endParaRPr lang="en-US"/>
            </a:p>
          </c:txPr>
          <c:showLegendKey val="0"/>
          <c:showVal val="0"/>
          <c:showCatName val="0"/>
          <c:showSerName val="0"/>
          <c:showPercent val="1"/>
          <c:showBubbleSize val="0"/>
        </c:dLbl>
      </c:pivotFmt>
      <c:pivotFmt>
        <c:idx val="11"/>
        <c:marker>
          <c:symbol val="none"/>
        </c:marker>
        <c:dLbl>
          <c:idx val="0"/>
          <c:spPr/>
          <c:txPr>
            <a:bodyPr/>
            <a:lstStyle/>
            <a:p>
              <a:pPr>
                <a:defRPr/>
              </a:pPr>
              <a:endParaRPr lang="en-US"/>
            </a:p>
          </c:txPr>
          <c:showLegendKey val="0"/>
          <c:showVal val="0"/>
          <c:showCatName val="0"/>
          <c:showSerName val="0"/>
          <c:showPercent val="1"/>
          <c:showBubbleSize val="0"/>
        </c:dLbl>
      </c:pivotFmt>
    </c:pivotFmts>
    <c:plotArea>
      <c:layout/>
      <c:pieChart>
        <c:varyColors val="1"/>
        <c:ser>
          <c:idx val="0"/>
          <c:order val="0"/>
          <c:tx>
            <c:strRef>
              <c:f>Sheet2!$B$61</c:f>
              <c:strCache>
                <c:ptCount val="1"/>
                <c:pt idx="0">
                  <c:v>Sum of Experience (Years)</c:v>
                </c:pt>
              </c:strCache>
            </c:strRef>
          </c:tx>
          <c:dLbls>
            <c:spPr/>
            <c:txPr>
              <a:bodyPr/>
              <a:lstStyle/>
              <a:p>
                <a:pPr>
                  <a:defRPr/>
                </a:pPr>
                <a:endParaRPr lang="en-US"/>
              </a:p>
            </c:txPr>
            <c:showLegendKey val="0"/>
            <c:showVal val="0"/>
            <c:showCatName val="0"/>
            <c:showSerName val="0"/>
            <c:showPercent val="1"/>
            <c:showBubbleSize val="0"/>
            <c:showLeaderLines val="1"/>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Sheet2!$B$62:$B$67</c:f>
              <c:numCache>
                <c:formatCode>General</c:formatCode>
                <c:ptCount val="5"/>
                <c:pt idx="0">
                  <c:v>8.3000000000000007</c:v>
                </c:pt>
                <c:pt idx="1">
                  <c:v>4.5999999999999996</c:v>
                </c:pt>
                <c:pt idx="2">
                  <c:v>13.5</c:v>
                </c:pt>
                <c:pt idx="3">
                  <c:v>11.4</c:v>
                </c:pt>
                <c:pt idx="4">
                  <c:v>21.200000000000003</c:v>
                </c:pt>
              </c:numCache>
            </c:numRef>
          </c:val>
        </c:ser>
        <c:ser>
          <c:idx val="1"/>
          <c:order val="1"/>
          <c:tx>
            <c:strRef>
              <c:f>Sheet2!$C$61</c:f>
              <c:strCache>
                <c:ptCount val="1"/>
                <c:pt idx="0">
                  <c:v>Sum of Monthly Salary</c:v>
                </c:pt>
              </c:strCache>
            </c:strRef>
          </c:tx>
          <c:dLbls>
            <c:spPr/>
            <c:txPr>
              <a:bodyPr/>
              <a:lstStyle/>
              <a:p>
                <a:pPr>
                  <a:defRPr/>
                </a:pPr>
                <a:endParaRPr lang="en-US"/>
              </a:p>
            </c:txPr>
            <c:showLegendKey val="0"/>
            <c:showVal val="0"/>
            <c:showCatName val="0"/>
            <c:showSerName val="0"/>
            <c:showPercent val="1"/>
            <c:showBubbleSize val="0"/>
            <c:showLeaderLines val="1"/>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Sheet2!$C$62:$C$67</c:f>
              <c:numCache>
                <c:formatCode>General</c:formatCode>
                <c:ptCount val="5"/>
                <c:pt idx="0">
                  <c:v>196517</c:v>
                </c:pt>
                <c:pt idx="1">
                  <c:v>89524</c:v>
                </c:pt>
                <c:pt idx="2">
                  <c:v>124064</c:v>
                </c:pt>
                <c:pt idx="3">
                  <c:v>142773</c:v>
                </c:pt>
                <c:pt idx="4">
                  <c:v>390856</c:v>
                </c:pt>
              </c:numCache>
            </c:numRef>
          </c:val>
        </c:ser>
        <c:ser>
          <c:idx val="2"/>
          <c:order val="2"/>
          <c:tx>
            <c:strRef>
              <c:f>Sheet2!$D$61</c:f>
              <c:strCache>
                <c:ptCount val="1"/>
                <c:pt idx="0">
                  <c:v>Sum of Total Compensation</c:v>
                </c:pt>
              </c:strCache>
            </c:strRef>
          </c:tx>
          <c:dLbls>
            <c:spPr/>
            <c:txPr>
              <a:bodyPr/>
              <a:lstStyle/>
              <a:p>
                <a:pPr>
                  <a:defRPr/>
                </a:pPr>
                <a:endParaRPr lang="en-US"/>
              </a:p>
            </c:txPr>
            <c:showLegendKey val="0"/>
            <c:showVal val="0"/>
            <c:showCatName val="0"/>
            <c:showSerName val="0"/>
            <c:showPercent val="1"/>
            <c:showBubbleSize val="0"/>
            <c:showLeaderLines val="1"/>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Sheet2!$D$62:$D$67</c:f>
              <c:numCache>
                <c:formatCode>General</c:formatCode>
                <c:ptCount val="5"/>
                <c:pt idx="0">
                  <c:v>2637553</c:v>
                </c:pt>
                <c:pt idx="1">
                  <c:v>1137671</c:v>
                </c:pt>
                <c:pt idx="2">
                  <c:v>1699548</c:v>
                </c:pt>
                <c:pt idx="3">
                  <c:v>1990546</c:v>
                </c:pt>
                <c:pt idx="4">
                  <c:v>5198643</c:v>
                </c:pt>
              </c:numCache>
            </c:numRef>
          </c:val>
        </c:ser>
        <c:ser>
          <c:idx val="3"/>
          <c:order val="3"/>
          <c:tx>
            <c:strRef>
              <c:f>Sheet2!$E$61</c:f>
              <c:strCache>
                <c:ptCount val="1"/>
                <c:pt idx="0">
                  <c:v>Sum of Last Increment %</c:v>
                </c:pt>
              </c:strCache>
            </c:strRef>
          </c:tx>
          <c:dLbls>
            <c:spPr/>
            <c:txPr>
              <a:bodyPr/>
              <a:lstStyle/>
              <a:p>
                <a:pPr>
                  <a:defRPr/>
                </a:pPr>
                <a:endParaRPr lang="en-US"/>
              </a:p>
            </c:txPr>
            <c:showLegendKey val="0"/>
            <c:showVal val="0"/>
            <c:showCatName val="0"/>
            <c:showSerName val="0"/>
            <c:showPercent val="1"/>
            <c:showBubbleSize val="0"/>
            <c:showLeaderLines val="1"/>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Sheet2!$E$62:$E$67</c:f>
              <c:numCache>
                <c:formatCode>General</c:formatCode>
                <c:ptCount val="5"/>
                <c:pt idx="0">
                  <c:v>8.1</c:v>
                </c:pt>
                <c:pt idx="1">
                  <c:v>6.8</c:v>
                </c:pt>
                <c:pt idx="2">
                  <c:v>22.200000000000003</c:v>
                </c:pt>
                <c:pt idx="3">
                  <c:v>18.700000000000003</c:v>
                </c:pt>
                <c:pt idx="4">
                  <c:v>41.5</c:v>
                </c:pt>
              </c:numCache>
            </c:numRef>
          </c:val>
        </c:ser>
        <c:dLbls>
          <c:showLegendKey val="0"/>
          <c:showVal val="0"/>
          <c:showCatName val="0"/>
          <c:showSerName val="0"/>
          <c:showPercent val="1"/>
          <c:showBubbleSize val="0"/>
          <c:showLeaderLines val="1"/>
        </c:dLbls>
        <c:firstSliceAng val="0"/>
      </c:pieChart>
    </c:plotArea>
    <c:legend>
      <c:legendPos val="r"/>
      <c:layout/>
      <c:overlay val="0"/>
    </c:legend>
    <c:plotVisOnly val="1"/>
    <c:dispBlanksAs val="gap"/>
    <c:showDLblsOverMax val="0"/>
  </c:chart>
  <c:spPr>
    <a:solidFill>
      <a:schemeClr val="accent6">
        <a:lumMod val="40000"/>
        <a:lumOff val="60000"/>
      </a:schemeClr>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Dashboard.xlsx]Sheet2!PivotTable12</c:name>
    <c:fmtId val="14"/>
  </c:pivotSource>
  <c:chart>
    <c:title>
      <c:overlay val="0"/>
    </c:title>
    <c:autoTitleDeleted val="0"/>
    <c:pivotFmts>
      <c:pivotFmt>
        <c:idx val="0"/>
        <c:marker>
          <c:symbol val="none"/>
        </c:marker>
        <c:dLbl>
          <c:idx val="0"/>
          <c:spPr/>
          <c:txPr>
            <a:bodyPr/>
            <a:lstStyle/>
            <a:p>
              <a:pPr>
                <a:defRPr/>
              </a:pPr>
              <a:endParaRPr lang="en-US"/>
            </a:p>
          </c:txPr>
          <c:showLegendKey val="0"/>
          <c:showVal val="0"/>
          <c:showCatName val="1"/>
          <c:showSerName val="0"/>
          <c:showPercent val="1"/>
          <c:showBubbleSize val="0"/>
        </c:dLbl>
      </c:pivotFmt>
      <c:pivotFmt>
        <c:idx val="1"/>
        <c:marker>
          <c:symbol val="none"/>
        </c:marker>
        <c:dLbl>
          <c:idx val="0"/>
          <c:spPr/>
          <c:txPr>
            <a:bodyPr/>
            <a:lstStyle/>
            <a:p>
              <a:pPr>
                <a:defRPr/>
              </a:pPr>
              <a:endParaRPr lang="en-US"/>
            </a:p>
          </c:txPr>
          <c:showLegendKey val="0"/>
          <c:showVal val="0"/>
          <c:showCatName val="1"/>
          <c:showSerName val="0"/>
          <c:showPercent val="1"/>
          <c:showBubbleSize val="0"/>
        </c:dLbl>
      </c:pivotFmt>
      <c:pivotFmt>
        <c:idx val="2"/>
        <c:marker>
          <c:symbol val="none"/>
        </c:marker>
        <c:dLbl>
          <c:idx val="0"/>
          <c:spPr/>
          <c:txPr>
            <a:bodyPr/>
            <a:lstStyle/>
            <a:p>
              <a:pPr>
                <a:defRPr/>
              </a:pPr>
              <a:endParaRPr lang="en-US"/>
            </a:p>
          </c:txPr>
          <c:showLegendKey val="0"/>
          <c:showVal val="0"/>
          <c:showCatName val="1"/>
          <c:showSerName val="0"/>
          <c:showPercent val="1"/>
          <c:showBubbleSize val="0"/>
        </c:dLbl>
      </c:pivotFmt>
      <c:pivotFmt>
        <c:idx val="3"/>
        <c:marker>
          <c:symbol val="none"/>
        </c:marker>
        <c:dLbl>
          <c:idx val="0"/>
          <c:spPr/>
          <c:txPr>
            <a:bodyPr/>
            <a:lstStyle/>
            <a:p>
              <a:pPr>
                <a:defRPr/>
              </a:pPr>
              <a:endParaRPr lang="en-US"/>
            </a:p>
          </c:txPr>
          <c:showLegendKey val="0"/>
          <c:showVal val="0"/>
          <c:showCatName val="1"/>
          <c:showSerName val="0"/>
          <c:showPercent val="1"/>
          <c:showBubbleSize val="0"/>
        </c:dLbl>
      </c:pivotFmt>
    </c:pivotFmts>
    <c:plotArea>
      <c:layout/>
      <c:pieChart>
        <c:varyColors val="1"/>
        <c:ser>
          <c:idx val="0"/>
          <c:order val="0"/>
          <c:tx>
            <c:strRef>
              <c:f>Sheet2!$B$23</c:f>
              <c:strCache>
                <c:ptCount val="1"/>
                <c:pt idx="0">
                  <c:v>Sum of Work-Life Balance</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Sheet2!$B$24:$B$34</c:f>
              <c:numCache>
                <c:formatCode>General</c:formatCode>
                <c:ptCount val="10"/>
                <c:pt idx="0">
                  <c:v>14</c:v>
                </c:pt>
                <c:pt idx="1">
                  <c:v>18</c:v>
                </c:pt>
                <c:pt idx="2">
                  <c:v>22</c:v>
                </c:pt>
                <c:pt idx="3">
                  <c:v>34</c:v>
                </c:pt>
                <c:pt idx="4">
                  <c:v>36</c:v>
                </c:pt>
                <c:pt idx="5">
                  <c:v>27</c:v>
                </c:pt>
                <c:pt idx="6">
                  <c:v>32</c:v>
                </c:pt>
                <c:pt idx="7">
                  <c:v>27</c:v>
                </c:pt>
                <c:pt idx="8">
                  <c:v>42</c:v>
                </c:pt>
                <c:pt idx="9">
                  <c:v>40</c:v>
                </c:pt>
              </c:numCache>
            </c:numRef>
          </c:val>
        </c:ser>
        <c:ser>
          <c:idx val="1"/>
          <c:order val="1"/>
          <c:tx>
            <c:strRef>
              <c:f>Sheet2!$C$23</c:f>
              <c:strCache>
                <c:ptCount val="1"/>
                <c:pt idx="0">
                  <c:v>Sum of Years at Company</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Sheet2!$C$24:$C$34</c:f>
              <c:numCache>
                <c:formatCode>General</c:formatCode>
                <c:ptCount val="10"/>
                <c:pt idx="0">
                  <c:v>28.5</c:v>
                </c:pt>
                <c:pt idx="1">
                  <c:v>30.299999999999997</c:v>
                </c:pt>
                <c:pt idx="2">
                  <c:v>39.800000000000004</c:v>
                </c:pt>
                <c:pt idx="3">
                  <c:v>39.099999999999994</c:v>
                </c:pt>
                <c:pt idx="4">
                  <c:v>45.800000000000004</c:v>
                </c:pt>
                <c:pt idx="5">
                  <c:v>51.6</c:v>
                </c:pt>
                <c:pt idx="6">
                  <c:v>47.5</c:v>
                </c:pt>
                <c:pt idx="7">
                  <c:v>32.300000000000004</c:v>
                </c:pt>
                <c:pt idx="8">
                  <c:v>69.3</c:v>
                </c:pt>
                <c:pt idx="9">
                  <c:v>38.699999999999996</c:v>
                </c:pt>
              </c:numCache>
            </c:numRef>
          </c:val>
        </c:ser>
        <c:ser>
          <c:idx val="2"/>
          <c:order val="2"/>
          <c:tx>
            <c:strRef>
              <c:f>Sheet2!$D$23</c:f>
              <c:strCache>
                <c:ptCount val="1"/>
                <c:pt idx="0">
                  <c:v>Sum of Monthly Salary</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Sheet2!$D$24:$D$34</c:f>
              <c:numCache>
                <c:formatCode>General</c:formatCode>
                <c:ptCount val="10"/>
                <c:pt idx="0">
                  <c:v>575248</c:v>
                </c:pt>
                <c:pt idx="1">
                  <c:v>550568</c:v>
                </c:pt>
                <c:pt idx="2">
                  <c:v>566336</c:v>
                </c:pt>
                <c:pt idx="3">
                  <c:v>998159</c:v>
                </c:pt>
                <c:pt idx="4">
                  <c:v>807176</c:v>
                </c:pt>
                <c:pt idx="5">
                  <c:v>863148</c:v>
                </c:pt>
                <c:pt idx="6">
                  <c:v>821658</c:v>
                </c:pt>
                <c:pt idx="7">
                  <c:v>716814</c:v>
                </c:pt>
                <c:pt idx="8">
                  <c:v>935603</c:v>
                </c:pt>
                <c:pt idx="9">
                  <c:v>861583</c:v>
                </c:pt>
              </c:numCache>
            </c:numRef>
          </c:val>
        </c:ser>
        <c:ser>
          <c:idx val="3"/>
          <c:order val="3"/>
          <c:tx>
            <c:strRef>
              <c:f>Sheet2!$E$23</c:f>
              <c:strCache>
                <c:ptCount val="1"/>
                <c:pt idx="0">
                  <c:v>Sum of Job Satisfaction</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Sheet2!$E$24:$E$34</c:f>
              <c:numCache>
                <c:formatCode>General</c:formatCode>
                <c:ptCount val="10"/>
                <c:pt idx="0">
                  <c:v>14</c:v>
                </c:pt>
                <c:pt idx="1">
                  <c:v>14</c:v>
                </c:pt>
                <c:pt idx="2">
                  <c:v>14</c:v>
                </c:pt>
                <c:pt idx="3">
                  <c:v>24</c:v>
                </c:pt>
                <c:pt idx="4">
                  <c:v>22</c:v>
                </c:pt>
                <c:pt idx="5">
                  <c:v>20</c:v>
                </c:pt>
                <c:pt idx="6">
                  <c:v>22</c:v>
                </c:pt>
                <c:pt idx="7">
                  <c:v>22</c:v>
                </c:pt>
                <c:pt idx="8">
                  <c:v>26</c:v>
                </c:pt>
                <c:pt idx="9">
                  <c:v>20</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Dashboard.xlsx]Sheet2!PivotTable1</c:name>
    <c:fmtId val="5"/>
  </c:pivotSource>
  <c:chart>
    <c:title>
      <c:tx>
        <c:rich>
          <a:bodyPr/>
          <a:lstStyle/>
          <a:p>
            <a:pPr>
              <a:defRPr/>
            </a:pPr>
            <a:r>
              <a:rPr lang="en-US"/>
              <a:t>DEPARTMENT</a:t>
            </a:r>
            <a:r>
              <a:rPr lang="en-US" baseline="0"/>
              <a:t> PERFORMANCE</a:t>
            </a:r>
            <a:endParaRPr lang="en-US"/>
          </a:p>
        </c:rich>
      </c:tx>
      <c:layout>
        <c:manualLayout>
          <c:xMode val="edge"/>
          <c:yMode val="edge"/>
          <c:x val="0.30344077453271961"/>
          <c:y val="1.7575985008003302E-2"/>
        </c:manualLayout>
      </c:layout>
      <c:overlay val="1"/>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marker>
          <c:symbol val="none"/>
        </c:marker>
      </c:pivotFmt>
      <c:pivotFmt>
        <c:idx val="11"/>
      </c:pivotFmt>
      <c:pivotFmt>
        <c:idx val="12"/>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s>
    <c:view3D>
      <c:rotX val="15"/>
      <c:rotY val="20"/>
      <c:rAngAx val="1"/>
    </c:view3D>
    <c:floor>
      <c:thickness val="0"/>
    </c:floor>
    <c:sideWall>
      <c:thickness val="0"/>
      <c:spPr>
        <a:solidFill>
          <a:schemeClr val="bg1"/>
        </a:solidFill>
      </c:spPr>
    </c:sideWall>
    <c:backWall>
      <c:thickness val="0"/>
      <c:spPr>
        <a:solidFill>
          <a:schemeClr val="bg1"/>
        </a:solidFill>
      </c:spPr>
    </c:backWall>
    <c:plotArea>
      <c:layout/>
      <c:bar3DChart>
        <c:barDir val="col"/>
        <c:grouping val="clustered"/>
        <c:varyColors val="0"/>
        <c:ser>
          <c:idx val="0"/>
          <c:order val="0"/>
          <c:tx>
            <c:strRef>
              <c:f>Sheet2!$B$3</c:f>
              <c:strCache>
                <c:ptCount val="1"/>
                <c:pt idx="0">
                  <c:v>Sum of Age</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Sheet2!$B$4:$B$10</c:f>
              <c:numCache>
                <c:formatCode>General</c:formatCode>
                <c:ptCount val="6"/>
                <c:pt idx="0">
                  <c:v>281</c:v>
                </c:pt>
                <c:pt idx="1">
                  <c:v>392</c:v>
                </c:pt>
                <c:pt idx="2">
                  <c:v>127</c:v>
                </c:pt>
                <c:pt idx="3">
                  <c:v>179</c:v>
                </c:pt>
                <c:pt idx="4">
                  <c:v>103</c:v>
                </c:pt>
                <c:pt idx="5">
                  <c:v>478</c:v>
                </c:pt>
              </c:numCache>
            </c:numRef>
          </c:val>
        </c:ser>
        <c:ser>
          <c:idx val="1"/>
          <c:order val="1"/>
          <c:tx>
            <c:strRef>
              <c:f>Sheet2!$C$3</c:f>
              <c:strCache>
                <c:ptCount val="1"/>
                <c:pt idx="0">
                  <c:v>Sum of KPI Achievement %</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Sheet2!$C$4:$C$10</c:f>
              <c:numCache>
                <c:formatCode>General</c:formatCode>
                <c:ptCount val="6"/>
                <c:pt idx="0">
                  <c:v>641</c:v>
                </c:pt>
                <c:pt idx="1">
                  <c:v>845</c:v>
                </c:pt>
                <c:pt idx="2">
                  <c:v>339</c:v>
                </c:pt>
                <c:pt idx="3">
                  <c:v>392</c:v>
                </c:pt>
                <c:pt idx="4">
                  <c:v>256</c:v>
                </c:pt>
                <c:pt idx="5">
                  <c:v>873</c:v>
                </c:pt>
              </c:numCache>
            </c:numRef>
          </c:val>
        </c:ser>
        <c:ser>
          <c:idx val="2"/>
          <c:order val="2"/>
          <c:tx>
            <c:strRef>
              <c:f>Sheet2!$D$3</c:f>
              <c:strCache>
                <c:ptCount val="1"/>
                <c:pt idx="0">
                  <c:v>Sum of Training Hours</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Sheet2!$D$4:$D$10</c:f>
              <c:numCache>
                <c:formatCode>General</c:formatCode>
                <c:ptCount val="6"/>
                <c:pt idx="0">
                  <c:v>223</c:v>
                </c:pt>
                <c:pt idx="1">
                  <c:v>405</c:v>
                </c:pt>
                <c:pt idx="2">
                  <c:v>112</c:v>
                </c:pt>
                <c:pt idx="3">
                  <c:v>164</c:v>
                </c:pt>
                <c:pt idx="4">
                  <c:v>80</c:v>
                </c:pt>
                <c:pt idx="5">
                  <c:v>353</c:v>
                </c:pt>
              </c:numCache>
            </c:numRef>
          </c:val>
        </c:ser>
        <c:ser>
          <c:idx val="3"/>
          <c:order val="3"/>
          <c:tx>
            <c:strRef>
              <c:f>Sheet2!$E$3</c:f>
              <c:strCache>
                <c:ptCount val="1"/>
                <c:pt idx="0">
                  <c:v>Sum of Goal Completion %</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Sheet2!$E$4:$E$10</c:f>
              <c:numCache>
                <c:formatCode>General</c:formatCode>
                <c:ptCount val="6"/>
                <c:pt idx="0">
                  <c:v>695</c:v>
                </c:pt>
                <c:pt idx="1">
                  <c:v>796</c:v>
                </c:pt>
                <c:pt idx="2">
                  <c:v>309</c:v>
                </c:pt>
                <c:pt idx="3">
                  <c:v>428</c:v>
                </c:pt>
                <c:pt idx="4">
                  <c:v>231</c:v>
                </c:pt>
                <c:pt idx="5">
                  <c:v>838</c:v>
                </c:pt>
              </c:numCache>
            </c:numRef>
          </c:val>
        </c:ser>
        <c:dLbls>
          <c:showLegendKey val="0"/>
          <c:showVal val="0"/>
          <c:showCatName val="0"/>
          <c:showSerName val="0"/>
          <c:showPercent val="0"/>
          <c:showBubbleSize val="0"/>
        </c:dLbls>
        <c:gapWidth val="150"/>
        <c:shape val="cylinder"/>
        <c:axId val="250182272"/>
        <c:axId val="250196352"/>
        <c:axId val="0"/>
      </c:bar3DChart>
      <c:catAx>
        <c:axId val="250182272"/>
        <c:scaling>
          <c:orientation val="minMax"/>
        </c:scaling>
        <c:delete val="1"/>
        <c:axPos val="b"/>
        <c:majorTickMark val="out"/>
        <c:minorTickMark val="none"/>
        <c:tickLblPos val="nextTo"/>
        <c:crossAx val="250196352"/>
        <c:crosses val="autoZero"/>
        <c:auto val="1"/>
        <c:lblAlgn val="ctr"/>
        <c:lblOffset val="100"/>
        <c:noMultiLvlLbl val="0"/>
      </c:catAx>
      <c:valAx>
        <c:axId val="250196352"/>
        <c:scaling>
          <c:orientation val="minMax"/>
        </c:scaling>
        <c:delete val="0"/>
        <c:axPos val="l"/>
        <c:majorGridlines/>
        <c:numFmt formatCode="General" sourceLinked="1"/>
        <c:majorTickMark val="out"/>
        <c:minorTickMark val="none"/>
        <c:tickLblPos val="nextTo"/>
        <c:crossAx val="250182272"/>
        <c:crosses val="autoZero"/>
        <c:crossBetween val="between"/>
      </c:valAx>
    </c:plotArea>
    <c:legend>
      <c:legendPos val="r"/>
      <c:overlay val="0"/>
    </c:legend>
    <c:plotVisOnly val="1"/>
    <c:dispBlanksAs val="gap"/>
    <c:showDLblsOverMax val="0"/>
  </c:chart>
  <c:spPr>
    <a:solidFill>
      <a:schemeClr val="bg1"/>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Dashboard.xlsx]Sheet2!PivotTable13</c:name>
    <c:fmtId val="1"/>
  </c:pivotSource>
  <c:chart>
    <c:title>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spPr>
          <a:ln w="25400">
            <a:noFill/>
          </a:ln>
        </c:spPr>
        <c:marker>
          <c:symbol val="none"/>
        </c:marker>
      </c:pivotFmt>
      <c:pivotFmt>
        <c:idx val="7"/>
        <c:spPr>
          <a:ln w="25400">
            <a:noFill/>
          </a:ln>
        </c:spPr>
        <c:marker>
          <c:symbol val="none"/>
        </c:marker>
      </c:pivotFmt>
      <c:pivotFmt>
        <c:idx val="8"/>
        <c:spPr>
          <a:ln w="25400">
            <a:noFill/>
          </a:ln>
        </c:spPr>
        <c:marker>
          <c:symbol val="none"/>
        </c:marker>
      </c:pivotFmt>
      <c:pivotFmt>
        <c:idx val="9"/>
        <c:spPr>
          <a:ln w="25400">
            <a:noFill/>
          </a:ln>
        </c:spPr>
        <c:marker>
          <c:symbol val="none"/>
        </c:marker>
      </c:pivotFmt>
      <c:pivotFmt>
        <c:idx val="10"/>
        <c:spPr>
          <a:ln w="25400">
            <a:noFill/>
          </a:ln>
        </c:spPr>
        <c:marker>
          <c:symbol val="none"/>
        </c:marker>
      </c:pivotFmt>
      <c:pivotFmt>
        <c:idx val="11"/>
        <c:spPr>
          <a:ln w="25400">
            <a:noFill/>
          </a:ln>
        </c:spPr>
        <c:marker>
          <c:symbol val="none"/>
        </c:marker>
      </c:pivotFmt>
    </c:pivotFmts>
    <c:plotArea>
      <c:layout/>
      <c:barChart>
        <c:barDir val="bar"/>
        <c:grouping val="clustered"/>
        <c:varyColors val="0"/>
        <c:ser>
          <c:idx val="0"/>
          <c:order val="0"/>
          <c:tx>
            <c:strRef>
              <c:f>Sheet2!$B$40</c:f>
              <c:strCache>
                <c:ptCount val="1"/>
                <c:pt idx="0">
                  <c:v>Sum of Job Satisfaction</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Sheet2!$B$41:$B$45</c:f>
              <c:numCache>
                <c:formatCode>General</c:formatCode>
                <c:ptCount val="2"/>
                <c:pt idx="0">
                  <c:v>9</c:v>
                </c:pt>
                <c:pt idx="1">
                  <c:v>13</c:v>
                </c:pt>
              </c:numCache>
            </c:numRef>
          </c:val>
        </c:ser>
        <c:ser>
          <c:idx val="1"/>
          <c:order val="1"/>
          <c:tx>
            <c:strRef>
              <c:f>Sheet2!$C$40</c:f>
              <c:strCache>
                <c:ptCount val="1"/>
                <c:pt idx="0">
                  <c:v>Sum of Years at Company</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Sheet2!$C$41:$C$45</c:f>
              <c:numCache>
                <c:formatCode>General</c:formatCode>
                <c:ptCount val="2"/>
                <c:pt idx="0">
                  <c:v>8.9</c:v>
                </c:pt>
                <c:pt idx="1">
                  <c:v>16.200000000000003</c:v>
                </c:pt>
              </c:numCache>
            </c:numRef>
          </c:val>
        </c:ser>
        <c:ser>
          <c:idx val="2"/>
          <c:order val="2"/>
          <c:tx>
            <c:strRef>
              <c:f>Sheet2!$D$40</c:f>
              <c:strCache>
                <c:ptCount val="1"/>
                <c:pt idx="0">
                  <c:v>Sum of Work-Life Balance</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Sheet2!$D$41:$D$45</c:f>
              <c:numCache>
                <c:formatCode>General</c:formatCode>
                <c:ptCount val="2"/>
                <c:pt idx="0">
                  <c:v>7</c:v>
                </c:pt>
                <c:pt idx="1">
                  <c:v>7</c:v>
                </c:pt>
              </c:numCache>
            </c:numRef>
          </c:val>
        </c:ser>
        <c:dLbls>
          <c:showLegendKey val="0"/>
          <c:showVal val="0"/>
          <c:showCatName val="0"/>
          <c:showSerName val="0"/>
          <c:showPercent val="0"/>
          <c:showBubbleSize val="0"/>
        </c:dLbls>
        <c:gapWidth val="75"/>
        <c:overlap val="-25"/>
        <c:axId val="250302848"/>
        <c:axId val="250304384"/>
      </c:barChart>
      <c:catAx>
        <c:axId val="250302848"/>
        <c:scaling>
          <c:orientation val="minMax"/>
        </c:scaling>
        <c:delete val="0"/>
        <c:axPos val="l"/>
        <c:majorTickMark val="none"/>
        <c:minorTickMark val="none"/>
        <c:tickLblPos val="nextTo"/>
        <c:crossAx val="250304384"/>
        <c:crosses val="autoZero"/>
        <c:auto val="1"/>
        <c:lblAlgn val="ctr"/>
        <c:lblOffset val="100"/>
        <c:noMultiLvlLbl val="0"/>
      </c:catAx>
      <c:valAx>
        <c:axId val="250304384"/>
        <c:scaling>
          <c:orientation val="minMax"/>
        </c:scaling>
        <c:delete val="0"/>
        <c:axPos val="b"/>
        <c:majorGridlines/>
        <c:numFmt formatCode="General" sourceLinked="1"/>
        <c:majorTickMark val="none"/>
        <c:minorTickMark val="none"/>
        <c:tickLblPos val="nextTo"/>
        <c:spPr>
          <a:ln w="9525">
            <a:noFill/>
          </a:ln>
        </c:spPr>
        <c:crossAx val="250302848"/>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Dashboard.xlsx]Sheet2!PivotTable5</c:name>
    <c:fmtId val="3"/>
  </c:pivotSource>
  <c:chart>
    <c:title>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s>
    <c:plotArea>
      <c:layout/>
      <c:doughnutChart>
        <c:varyColors val="1"/>
        <c:ser>
          <c:idx val="0"/>
          <c:order val="0"/>
          <c:tx>
            <c:strRef>
              <c:f>Sheet2!$B$80</c:f>
              <c:strCache>
                <c:ptCount val="1"/>
                <c:pt idx="0">
                  <c:v>Total</c:v>
                </c:pt>
              </c:strCache>
            </c:strRef>
          </c:tx>
          <c:explosion val="25"/>
          <c:dLbls>
            <c:spPr/>
            <c:txPr>
              <a:bodyPr/>
              <a:lstStyle/>
              <a:p>
                <a:pPr>
                  <a:defRPr/>
                </a:pPr>
                <a:endParaRPr lang="en-US"/>
              </a:p>
            </c:txPr>
            <c:showLegendKey val="0"/>
            <c:showVal val="0"/>
            <c:showCatName val="0"/>
            <c:showSerName val="0"/>
            <c:showPercent val="1"/>
            <c:showBubbleSize val="0"/>
            <c:showLeaderLines val="1"/>
          </c:dLbls>
          <c:cat>
            <c:multiLvlStrRef>
              <c:f>Sheet2!$A$81:$A$85</c:f>
              <c:multiLvlStrCache>
                <c:ptCount val="3"/>
                <c:lvl>
                  <c:pt idx="0">
                    <c:v>High</c:v>
                  </c:pt>
                  <c:pt idx="1">
                    <c:v>Low</c:v>
                  </c:pt>
                  <c:pt idx="2">
                    <c:v>Medium</c:v>
                  </c:pt>
                </c:lvl>
                <c:lvl>
                  <c:pt idx="0">
                    <c:v>AI / ML</c:v>
                  </c:pt>
                </c:lvl>
              </c:multiLvlStrCache>
            </c:multiLvlStrRef>
          </c:cat>
          <c:val>
            <c:numRef>
              <c:f>Sheet2!$B$81:$B$85</c:f>
              <c:numCache>
                <c:formatCode>General</c:formatCode>
                <c:ptCount val="3"/>
                <c:pt idx="0">
                  <c:v>10</c:v>
                </c:pt>
                <c:pt idx="1">
                  <c:v>3</c:v>
                </c:pt>
                <c:pt idx="2">
                  <c:v>5</c:v>
                </c:pt>
              </c:numCache>
            </c:numRef>
          </c:val>
        </c:ser>
        <c:dLbls>
          <c:showLegendKey val="0"/>
          <c:showVal val="0"/>
          <c:showCatName val="0"/>
          <c:showSerName val="0"/>
          <c:showPercent val="1"/>
          <c:showBubbleSize val="0"/>
          <c:showLeaderLines val="1"/>
        </c:dLbls>
        <c:firstSliceAng val="0"/>
        <c:holeSize val="50"/>
      </c:doughnutChart>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Dashboard.xlsx]Sheet2!PivotTable4</c:name>
    <c:fmtId val="7"/>
  </c:pivotSource>
  <c:chart>
    <c:title>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dLbl>
          <c:idx val="0"/>
          <c:spPr/>
          <c:txPr>
            <a:bodyPr/>
            <a:lstStyle/>
            <a:p>
              <a:pPr>
                <a:defRPr/>
              </a:pPr>
              <a:endParaRPr lang="en-US"/>
            </a:p>
          </c:txPr>
          <c:showLegendKey val="0"/>
          <c:showVal val="0"/>
          <c:showCatName val="0"/>
          <c:showSerName val="0"/>
          <c:showPercent val="1"/>
          <c:showBubbleSize val="0"/>
        </c:dLbl>
      </c:pivotFmt>
      <c:pivotFmt>
        <c:idx val="3"/>
        <c:marker>
          <c:symbol val="none"/>
        </c:marker>
        <c:dLbl>
          <c:idx val="0"/>
          <c:spPr/>
          <c:txPr>
            <a:bodyPr/>
            <a:lstStyle/>
            <a:p>
              <a:pPr>
                <a:defRPr/>
              </a:pPr>
              <a:endParaRPr lang="en-US"/>
            </a:p>
          </c:txPr>
          <c:showLegendKey val="0"/>
          <c:showVal val="0"/>
          <c:showCatName val="0"/>
          <c:showSerName val="0"/>
          <c:showPercent val="1"/>
          <c:showBubbleSize val="0"/>
        </c:dLbl>
      </c:pivotFmt>
    </c:pivotFmts>
    <c:plotArea>
      <c:layout/>
      <c:pieChart>
        <c:varyColors val="1"/>
        <c:ser>
          <c:idx val="0"/>
          <c:order val="0"/>
          <c:tx>
            <c:strRef>
              <c:f>Sheet2!$B$61</c:f>
              <c:strCache>
                <c:ptCount val="1"/>
                <c:pt idx="0">
                  <c:v>Sum of Experience (Years)</c:v>
                </c:pt>
              </c:strCache>
            </c:strRef>
          </c:tx>
          <c:dLbls>
            <c:spPr/>
            <c:txPr>
              <a:bodyPr/>
              <a:lstStyle/>
              <a:p>
                <a:pPr>
                  <a:defRPr/>
                </a:pPr>
                <a:endParaRPr lang="en-US"/>
              </a:p>
            </c:txPr>
            <c:showLegendKey val="0"/>
            <c:showVal val="0"/>
            <c:showCatName val="0"/>
            <c:showSerName val="0"/>
            <c:showPercent val="1"/>
            <c:showBubbleSize val="0"/>
            <c:showLeaderLines val="1"/>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Sheet2!$B$62:$B$67</c:f>
              <c:numCache>
                <c:formatCode>General</c:formatCode>
                <c:ptCount val="5"/>
                <c:pt idx="0">
                  <c:v>8.3000000000000007</c:v>
                </c:pt>
                <c:pt idx="1">
                  <c:v>4.5999999999999996</c:v>
                </c:pt>
                <c:pt idx="2">
                  <c:v>13.5</c:v>
                </c:pt>
                <c:pt idx="3">
                  <c:v>11.4</c:v>
                </c:pt>
                <c:pt idx="4">
                  <c:v>21.200000000000003</c:v>
                </c:pt>
              </c:numCache>
            </c:numRef>
          </c:val>
        </c:ser>
        <c:ser>
          <c:idx val="1"/>
          <c:order val="1"/>
          <c:tx>
            <c:strRef>
              <c:f>Sheet2!$C$61</c:f>
              <c:strCache>
                <c:ptCount val="1"/>
                <c:pt idx="0">
                  <c:v>Sum of Monthly Salary</c:v>
                </c:pt>
              </c:strCache>
            </c:strRef>
          </c:tx>
          <c:dLbls>
            <c:spPr/>
            <c:txPr>
              <a:bodyPr/>
              <a:lstStyle/>
              <a:p>
                <a:pPr>
                  <a:defRPr/>
                </a:pPr>
                <a:endParaRPr lang="en-US"/>
              </a:p>
            </c:txPr>
            <c:showLegendKey val="0"/>
            <c:showVal val="0"/>
            <c:showCatName val="0"/>
            <c:showSerName val="0"/>
            <c:showPercent val="1"/>
            <c:showBubbleSize val="0"/>
            <c:showLeaderLines val="1"/>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Sheet2!$C$62:$C$67</c:f>
              <c:numCache>
                <c:formatCode>General</c:formatCode>
                <c:ptCount val="5"/>
                <c:pt idx="0">
                  <c:v>196517</c:v>
                </c:pt>
                <c:pt idx="1">
                  <c:v>89524</c:v>
                </c:pt>
                <c:pt idx="2">
                  <c:v>124064</c:v>
                </c:pt>
                <c:pt idx="3">
                  <c:v>142773</c:v>
                </c:pt>
                <c:pt idx="4">
                  <c:v>390856</c:v>
                </c:pt>
              </c:numCache>
            </c:numRef>
          </c:val>
        </c:ser>
        <c:ser>
          <c:idx val="2"/>
          <c:order val="2"/>
          <c:tx>
            <c:strRef>
              <c:f>Sheet2!$D$61</c:f>
              <c:strCache>
                <c:ptCount val="1"/>
                <c:pt idx="0">
                  <c:v>Sum of Total Compensation</c:v>
                </c:pt>
              </c:strCache>
            </c:strRef>
          </c:tx>
          <c:dLbls>
            <c:spPr/>
            <c:txPr>
              <a:bodyPr/>
              <a:lstStyle/>
              <a:p>
                <a:pPr>
                  <a:defRPr/>
                </a:pPr>
                <a:endParaRPr lang="en-US"/>
              </a:p>
            </c:txPr>
            <c:showLegendKey val="0"/>
            <c:showVal val="0"/>
            <c:showCatName val="0"/>
            <c:showSerName val="0"/>
            <c:showPercent val="1"/>
            <c:showBubbleSize val="0"/>
            <c:showLeaderLines val="1"/>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Sheet2!$D$62:$D$67</c:f>
              <c:numCache>
                <c:formatCode>General</c:formatCode>
                <c:ptCount val="5"/>
                <c:pt idx="0">
                  <c:v>2637553</c:v>
                </c:pt>
                <c:pt idx="1">
                  <c:v>1137671</c:v>
                </c:pt>
                <c:pt idx="2">
                  <c:v>1699548</c:v>
                </c:pt>
                <c:pt idx="3">
                  <c:v>1990546</c:v>
                </c:pt>
                <c:pt idx="4">
                  <c:v>5198643</c:v>
                </c:pt>
              </c:numCache>
            </c:numRef>
          </c:val>
        </c:ser>
        <c:ser>
          <c:idx val="3"/>
          <c:order val="3"/>
          <c:tx>
            <c:strRef>
              <c:f>Sheet2!$E$61</c:f>
              <c:strCache>
                <c:ptCount val="1"/>
                <c:pt idx="0">
                  <c:v>Sum of Last Increment %</c:v>
                </c:pt>
              </c:strCache>
            </c:strRef>
          </c:tx>
          <c:dLbls>
            <c:spPr/>
            <c:txPr>
              <a:bodyPr/>
              <a:lstStyle/>
              <a:p>
                <a:pPr>
                  <a:defRPr/>
                </a:pPr>
                <a:endParaRPr lang="en-US"/>
              </a:p>
            </c:txPr>
            <c:showLegendKey val="0"/>
            <c:showVal val="0"/>
            <c:showCatName val="0"/>
            <c:showSerName val="0"/>
            <c:showPercent val="1"/>
            <c:showBubbleSize val="0"/>
            <c:showLeaderLines val="1"/>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Sheet2!$E$62:$E$67</c:f>
              <c:numCache>
                <c:formatCode>General</c:formatCode>
                <c:ptCount val="5"/>
                <c:pt idx="0">
                  <c:v>8.1</c:v>
                </c:pt>
                <c:pt idx="1">
                  <c:v>6.8</c:v>
                </c:pt>
                <c:pt idx="2">
                  <c:v>22.200000000000003</c:v>
                </c:pt>
                <c:pt idx="3">
                  <c:v>18.700000000000003</c:v>
                </c:pt>
                <c:pt idx="4">
                  <c:v>41.5</c:v>
                </c:pt>
              </c:numCache>
            </c:numRef>
          </c:val>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419100</xdr:colOff>
      <xdr:row>0</xdr:row>
      <xdr:rowOff>44450</xdr:rowOff>
    </xdr:from>
    <xdr:to>
      <xdr:col>38</xdr:col>
      <xdr:colOff>0</xdr:colOff>
      <xdr:row>3</xdr:row>
      <xdr:rowOff>103909</xdr:rowOff>
    </xdr:to>
    <xdr:sp macro="" textlink="">
      <xdr:nvSpPr>
        <xdr:cNvPr id="2" name="Rounded Rectangle 1"/>
        <xdr:cNvSpPr/>
      </xdr:nvSpPr>
      <xdr:spPr>
        <a:xfrm>
          <a:off x="1642918" y="44450"/>
          <a:ext cx="17326264" cy="613641"/>
        </a:xfrm>
        <a:prstGeom prst="roundRect">
          <a:avLst/>
        </a:prstGeom>
        <a:ln>
          <a:solidFill>
            <a:schemeClr val="accent2">
              <a:lumMod val="50000"/>
            </a:schemeClr>
          </a:solidFill>
        </a:ln>
        <a:effectLst>
          <a:glow rad="63500">
            <a:schemeClr val="accent2">
              <a:satMod val="175000"/>
              <a:alpha val="40000"/>
            </a:schemeClr>
          </a:glo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32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t>                                                          HR &amp; WORKFORCE ANALYTICS PLATFORM</a:t>
          </a:r>
        </a:p>
      </xdr:txBody>
    </xdr:sp>
    <xdr:clientData/>
  </xdr:twoCellAnchor>
  <xdr:twoCellAnchor editAs="oneCell">
    <xdr:from>
      <xdr:col>8</xdr:col>
      <xdr:colOff>15174</xdr:colOff>
      <xdr:row>9</xdr:row>
      <xdr:rowOff>95495</xdr:rowOff>
    </xdr:from>
    <xdr:to>
      <xdr:col>18</xdr:col>
      <xdr:colOff>35791</xdr:colOff>
      <xdr:row>27</xdr:row>
      <xdr:rowOff>120071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8</xdr:col>
      <xdr:colOff>165100</xdr:colOff>
      <xdr:row>6</xdr:row>
      <xdr:rowOff>88900</xdr:rowOff>
    </xdr:from>
    <xdr:ext cx="184731" cy="264560"/>
    <xdr:sp macro="" textlink="">
      <xdr:nvSpPr>
        <xdr:cNvPr id="3" name="TextBox 2"/>
        <xdr:cNvSpPr txBox="1"/>
      </xdr:nvSpPr>
      <xdr:spPr>
        <a:xfrm>
          <a:off x="5041900" y="1231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4</xdr:col>
      <xdr:colOff>28575</xdr:colOff>
      <xdr:row>1</xdr:row>
      <xdr:rowOff>171450</xdr:rowOff>
    </xdr:from>
    <xdr:to>
      <xdr:col>7</xdr:col>
      <xdr:colOff>28575</xdr:colOff>
      <xdr:row>15</xdr:row>
      <xdr:rowOff>28575</xdr:rowOff>
    </xdr:to>
    <mc:AlternateContent xmlns:mc="http://schemas.openxmlformats.org/markup-compatibility/2006" xmlns:a14="http://schemas.microsoft.com/office/drawing/2010/main">
      <mc:Choice Requires="a14">
        <xdr:graphicFrame macro="">
          <xdr:nvGraphicFramePr>
            <xdr:cNvPr id="31"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441575" y="361950"/>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19</xdr:col>
      <xdr:colOff>79374</xdr:colOff>
      <xdr:row>9</xdr:row>
      <xdr:rowOff>126999</xdr:rowOff>
    </xdr:from>
    <xdr:to>
      <xdr:col>29</xdr:col>
      <xdr:colOff>254000</xdr:colOff>
      <xdr:row>27</xdr:row>
      <xdr:rowOff>111124</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47625</xdr:colOff>
      <xdr:row>18</xdr:row>
      <xdr:rowOff>174625</xdr:rowOff>
    </xdr:from>
    <xdr:to>
      <xdr:col>7</xdr:col>
      <xdr:colOff>66675</xdr:colOff>
      <xdr:row>32</xdr:row>
      <xdr:rowOff>31750</xdr:rowOff>
    </xdr:to>
    <mc:AlternateContent xmlns:mc="http://schemas.openxmlformats.org/markup-compatibility/2006" xmlns:a14="http://schemas.microsoft.com/office/drawing/2010/main">
      <mc:Choice Requires="a14">
        <xdr:graphicFrame macro="">
          <xdr:nvGraphicFramePr>
            <xdr:cNvPr id="46" name="Job Satisfaction 1"/>
            <xdr:cNvGraphicFramePr/>
          </xdr:nvGraphicFramePr>
          <xdr:xfrm>
            <a:off x="0" y="0"/>
            <a:ext cx="0" cy="0"/>
          </xdr:xfrm>
          <a:graphic>
            <a:graphicData uri="http://schemas.microsoft.com/office/drawing/2010/slicer">
              <sle:slicer xmlns:sle="http://schemas.microsoft.com/office/drawing/2010/slicer" name="Job Satisfaction 1"/>
            </a:graphicData>
          </a:graphic>
        </xdr:graphicFrame>
      </mc:Choice>
      <mc:Fallback xmlns="">
        <xdr:sp macro="" textlink="">
          <xdr:nvSpPr>
            <xdr:cNvPr id="0" name=""/>
            <xdr:cNvSpPr>
              <a:spLocks noTextEdit="1"/>
            </xdr:cNvSpPr>
          </xdr:nvSpPr>
          <xdr:spPr>
            <a:xfrm>
              <a:off x="2460625" y="3603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30</xdr:col>
      <xdr:colOff>253999</xdr:colOff>
      <xdr:row>9</xdr:row>
      <xdr:rowOff>95249</xdr:rowOff>
    </xdr:from>
    <xdr:to>
      <xdr:col>40</xdr:col>
      <xdr:colOff>428624</xdr:colOff>
      <xdr:row>27</xdr:row>
      <xdr:rowOff>79374</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41</xdr:col>
      <xdr:colOff>158750</xdr:colOff>
      <xdr:row>9</xdr:row>
      <xdr:rowOff>47625</xdr:rowOff>
    </xdr:from>
    <xdr:to>
      <xdr:col>44</xdr:col>
      <xdr:colOff>200890</xdr:colOff>
      <xdr:row>22</xdr:row>
      <xdr:rowOff>95250</xdr:rowOff>
    </xdr:to>
    <mc:AlternateContent xmlns:mc="http://schemas.openxmlformats.org/markup-compatibility/2006" xmlns:a14="http://schemas.microsoft.com/office/drawing/2010/main">
      <mc:Choice Requires="a14">
        <xdr:graphicFrame macro="">
          <xdr:nvGraphicFramePr>
            <xdr:cNvPr id="16" name="Exit Reason 1"/>
            <xdr:cNvGraphicFramePr/>
          </xdr:nvGraphicFramePr>
          <xdr:xfrm>
            <a:off x="0" y="0"/>
            <a:ext cx="0" cy="0"/>
          </xdr:xfrm>
          <a:graphic>
            <a:graphicData uri="http://schemas.microsoft.com/office/drawing/2010/slicer">
              <sle:slicer xmlns:sle="http://schemas.microsoft.com/office/drawing/2010/slicer" name="Exit Reason 1"/>
            </a:graphicData>
          </a:graphic>
        </xdr:graphicFrame>
      </mc:Choice>
      <mc:Fallback xmlns="">
        <xdr:sp macro="" textlink="">
          <xdr:nvSpPr>
            <xdr:cNvPr id="0" name=""/>
            <xdr:cNvSpPr>
              <a:spLocks noTextEdit="1"/>
            </xdr:cNvSpPr>
          </xdr:nvSpPr>
          <xdr:spPr>
            <a:xfrm>
              <a:off x="24892000" y="1762125"/>
              <a:ext cx="185189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25</xdr:col>
      <xdr:colOff>555625</xdr:colOff>
      <xdr:row>31</xdr:row>
      <xdr:rowOff>127000</xdr:rowOff>
    </xdr:from>
    <xdr:to>
      <xdr:col>36</xdr:col>
      <xdr:colOff>127000</xdr:colOff>
      <xdr:row>49</xdr:row>
      <xdr:rowOff>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38</xdr:col>
      <xdr:colOff>254000</xdr:colOff>
      <xdr:row>32</xdr:row>
      <xdr:rowOff>111125</xdr:rowOff>
    </xdr:from>
    <xdr:to>
      <xdr:col>41</xdr:col>
      <xdr:colOff>273050</xdr:colOff>
      <xdr:row>45</xdr:row>
      <xdr:rowOff>158750</xdr:rowOff>
    </xdr:to>
    <mc:AlternateContent xmlns:mc="http://schemas.openxmlformats.org/markup-compatibility/2006" xmlns:a14="http://schemas.microsoft.com/office/drawing/2010/main">
      <mc:Choice Requires="a14">
        <xdr:graphicFrame macro="">
          <xdr:nvGraphicFramePr>
            <xdr:cNvPr id="22" name="Critical Skill 1"/>
            <xdr:cNvGraphicFramePr/>
          </xdr:nvGraphicFramePr>
          <xdr:xfrm>
            <a:off x="0" y="0"/>
            <a:ext cx="0" cy="0"/>
          </xdr:xfrm>
          <a:graphic>
            <a:graphicData uri="http://schemas.microsoft.com/office/drawing/2010/slicer">
              <sle:slicer xmlns:sle="http://schemas.microsoft.com/office/drawing/2010/slicer" name="Critical Skill 1"/>
            </a:graphicData>
          </a:graphic>
        </xdr:graphicFrame>
      </mc:Choice>
      <mc:Fallback xmlns="">
        <xdr:sp macro="" textlink="">
          <xdr:nvSpPr>
            <xdr:cNvPr id="0" name=""/>
            <xdr:cNvSpPr>
              <a:spLocks noTextEdit="1"/>
            </xdr:cNvSpPr>
          </xdr:nvSpPr>
          <xdr:spPr>
            <a:xfrm>
              <a:off x="23177500" y="6207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14</xdr:col>
      <xdr:colOff>111125</xdr:colOff>
      <xdr:row>31</xdr:row>
      <xdr:rowOff>95250</xdr:rowOff>
    </xdr:from>
    <xdr:to>
      <xdr:col>24</xdr:col>
      <xdr:colOff>254000</xdr:colOff>
      <xdr:row>48</xdr:row>
      <xdr:rowOff>127000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412750</xdr:colOff>
      <xdr:row>33</xdr:row>
      <xdr:rowOff>174625</xdr:rowOff>
    </xdr:from>
    <xdr:to>
      <xdr:col>11</xdr:col>
      <xdr:colOff>431800</xdr:colOff>
      <xdr:row>47</xdr:row>
      <xdr:rowOff>31750</xdr:rowOff>
    </xdr:to>
    <mc:AlternateContent xmlns:mc="http://schemas.openxmlformats.org/markup-compatibility/2006" xmlns:a14="http://schemas.microsoft.com/office/drawing/2010/main">
      <mc:Choice Requires="a14">
        <xdr:graphicFrame macro="">
          <xdr:nvGraphicFramePr>
            <xdr:cNvPr id="32" name="Salary Grade 1"/>
            <xdr:cNvGraphicFramePr/>
          </xdr:nvGraphicFramePr>
          <xdr:xfrm>
            <a:off x="0" y="0"/>
            <a:ext cx="0" cy="0"/>
          </xdr:xfrm>
          <a:graphic>
            <a:graphicData uri="http://schemas.microsoft.com/office/drawing/2010/slicer">
              <sle:slicer xmlns:sle="http://schemas.microsoft.com/office/drawing/2010/slicer" name="Salary Grade 1"/>
            </a:graphicData>
          </a:graphic>
        </xdr:graphicFrame>
      </mc:Choice>
      <mc:Fallback xmlns="">
        <xdr:sp macro="" textlink="">
          <xdr:nvSpPr>
            <xdr:cNvPr id="0" name=""/>
            <xdr:cNvSpPr>
              <a:spLocks noTextEdit="1"/>
            </xdr:cNvSpPr>
          </xdr:nvSpPr>
          <xdr:spPr>
            <a:xfrm>
              <a:off x="5238750" y="6461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oneCellAnchor>
    <xdr:from>
      <xdr:col>8</xdr:col>
      <xdr:colOff>111125</xdr:colOff>
      <xdr:row>6</xdr:row>
      <xdr:rowOff>15875</xdr:rowOff>
    </xdr:from>
    <xdr:ext cx="2778126" cy="526363"/>
    <xdr:sp macro="" textlink="">
      <xdr:nvSpPr>
        <xdr:cNvPr id="33" name="TextBox 32"/>
        <xdr:cNvSpPr txBox="1"/>
      </xdr:nvSpPr>
      <xdr:spPr>
        <a:xfrm>
          <a:off x="4937125" y="1158875"/>
          <a:ext cx="2778126"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2400">
            <a:latin typeface="Arial Black" pitchFamily="34" charset="0"/>
          </a:endParaRPr>
        </a:p>
      </xdr:txBody>
    </xdr:sp>
    <xdr:clientData/>
  </xdr:oneCellAnchor>
  <xdr:twoCellAnchor>
    <xdr:from>
      <xdr:col>8</xdr:col>
      <xdr:colOff>111125</xdr:colOff>
      <xdr:row>4</xdr:row>
      <xdr:rowOff>79375</xdr:rowOff>
    </xdr:from>
    <xdr:to>
      <xdr:col>12</xdr:col>
      <xdr:colOff>149225</xdr:colOff>
      <xdr:row>8</xdr:row>
      <xdr:rowOff>85725</xdr:rowOff>
    </xdr:to>
    <xdr:sp macro="" textlink="">
      <xdr:nvSpPr>
        <xdr:cNvPr id="34" name="TextBox 33"/>
        <xdr:cNvSpPr txBox="1"/>
      </xdr:nvSpPr>
      <xdr:spPr>
        <a:xfrm>
          <a:off x="4937125" y="841375"/>
          <a:ext cx="2451100" cy="76835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latin typeface="Algerian" pitchFamily="82" charset="0"/>
            </a:rPr>
            <a:t>Total Employee</a:t>
          </a:r>
        </a:p>
      </xdr:txBody>
    </xdr:sp>
    <xdr:clientData/>
  </xdr:twoCellAnchor>
  <xdr:oneCellAnchor>
    <xdr:from>
      <xdr:col>9</xdr:col>
      <xdr:colOff>254000</xdr:colOff>
      <xdr:row>6</xdr:row>
      <xdr:rowOff>15875</xdr:rowOff>
    </xdr:from>
    <xdr:ext cx="904875" cy="526363"/>
    <xdr:sp macro="" textlink="'KPI CARD TABLE'!E7">
      <xdr:nvSpPr>
        <xdr:cNvPr id="9" name="TextBox 8"/>
        <xdr:cNvSpPr txBox="1"/>
      </xdr:nvSpPr>
      <xdr:spPr>
        <a:xfrm>
          <a:off x="5683250" y="1158875"/>
          <a:ext cx="904875"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CB3CB47-EC47-4F63-BBE9-A816E4448037}" type="TxLink">
            <a:rPr lang="en-US" sz="2400">
              <a:solidFill>
                <a:srgbClr val="0070C0"/>
              </a:solidFill>
              <a:latin typeface="Arial Black" pitchFamily="34" charset="0"/>
            </a:rPr>
            <a:t>500</a:t>
          </a:fld>
          <a:endParaRPr lang="en-US" sz="2400">
            <a:solidFill>
              <a:srgbClr val="0070C0"/>
            </a:solidFill>
            <a:latin typeface="Arial Black" pitchFamily="34" charset="0"/>
          </a:endParaRPr>
        </a:p>
      </xdr:txBody>
    </xdr:sp>
    <xdr:clientData/>
  </xdr:oneCellAnchor>
  <xdr:twoCellAnchor>
    <xdr:from>
      <xdr:col>12</xdr:col>
      <xdr:colOff>365125</xdr:colOff>
      <xdr:row>4</xdr:row>
      <xdr:rowOff>95250</xdr:rowOff>
    </xdr:from>
    <xdr:to>
      <xdr:col>16</xdr:col>
      <xdr:colOff>403225</xdr:colOff>
      <xdr:row>8</xdr:row>
      <xdr:rowOff>101600</xdr:rowOff>
    </xdr:to>
    <xdr:sp macro="" textlink="">
      <xdr:nvSpPr>
        <xdr:cNvPr id="35" name="TextBox 34"/>
        <xdr:cNvSpPr txBox="1"/>
      </xdr:nvSpPr>
      <xdr:spPr>
        <a:xfrm>
          <a:off x="7604125" y="857250"/>
          <a:ext cx="2451100" cy="76835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latin typeface="Algerian" pitchFamily="82" charset="0"/>
            </a:rPr>
            <a:t> ATTRITION RATE</a:t>
          </a:r>
        </a:p>
      </xdr:txBody>
    </xdr:sp>
    <xdr:clientData/>
  </xdr:twoCellAnchor>
  <xdr:oneCellAnchor>
    <xdr:from>
      <xdr:col>14</xdr:col>
      <xdr:colOff>15875</xdr:colOff>
      <xdr:row>5</xdr:row>
      <xdr:rowOff>174625</xdr:rowOff>
    </xdr:from>
    <xdr:ext cx="904875" cy="526363"/>
    <xdr:sp macro="" textlink="'KPI CARD TABLE'!E8">
      <xdr:nvSpPr>
        <xdr:cNvPr id="36" name="TextBox 35"/>
        <xdr:cNvSpPr txBox="1"/>
      </xdr:nvSpPr>
      <xdr:spPr>
        <a:xfrm>
          <a:off x="8461375" y="1127125"/>
          <a:ext cx="904875"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40BAEDC-F233-4E48-91C8-15E5EB20416E}" type="TxLink">
            <a:rPr lang="en-US" sz="2400">
              <a:solidFill>
                <a:srgbClr val="0070C0"/>
              </a:solidFill>
              <a:latin typeface="Arial Black" pitchFamily="34" charset="0"/>
            </a:rPr>
            <a:t>9.8</a:t>
          </a:fld>
          <a:endParaRPr lang="en-US" sz="2400">
            <a:solidFill>
              <a:srgbClr val="0070C0"/>
            </a:solidFill>
            <a:latin typeface="Arial Black" pitchFamily="34" charset="0"/>
          </a:endParaRPr>
        </a:p>
      </xdr:txBody>
    </xdr:sp>
    <xdr:clientData/>
  </xdr:oneCellAnchor>
  <xdr:twoCellAnchor>
    <xdr:from>
      <xdr:col>3</xdr:col>
      <xdr:colOff>0</xdr:colOff>
      <xdr:row>0</xdr:row>
      <xdr:rowOff>0</xdr:rowOff>
    </xdr:from>
    <xdr:to>
      <xdr:col>3</xdr:col>
      <xdr:colOff>317500</xdr:colOff>
      <xdr:row>1</xdr:row>
      <xdr:rowOff>44450</xdr:rowOff>
    </xdr:to>
    <xdr:sp macro="" textlink="">
      <xdr:nvSpPr>
        <xdr:cNvPr id="1025" name="Text Box 1"/>
        <xdr:cNvSpPr txBox="1">
          <a:spLocks noChangeArrowheads="1"/>
        </xdr:cNvSpPr>
      </xdr:nvSpPr>
      <xdr:spPr bwMode="auto">
        <a:xfrm>
          <a:off x="1828800" y="0"/>
          <a:ext cx="317500"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sz="1100" b="0" i="0" u="none" strike="noStrike" baseline="0">
              <a:solidFill>
                <a:srgbClr val="000000"/>
              </a:solidFill>
              <a:latin typeface="Calibri"/>
              <a:cs typeface="Calibri"/>
            </a:rPr>
            <a:t>ATTRITION RATE</a:t>
          </a:r>
        </a:p>
      </xdr:txBody>
    </xdr:sp>
    <xdr:clientData/>
  </xdr:twoCellAnchor>
  <xdr:twoCellAnchor>
    <xdr:from>
      <xdr:col>17</xdr:col>
      <xdr:colOff>47624</xdr:colOff>
      <xdr:row>4</xdr:row>
      <xdr:rowOff>79375</xdr:rowOff>
    </xdr:from>
    <xdr:to>
      <xdr:col>23</xdr:col>
      <xdr:colOff>15875</xdr:colOff>
      <xdr:row>8</xdr:row>
      <xdr:rowOff>85725</xdr:rowOff>
    </xdr:to>
    <xdr:sp macro="" textlink="">
      <xdr:nvSpPr>
        <xdr:cNvPr id="37" name="TextBox 36"/>
        <xdr:cNvSpPr txBox="1"/>
      </xdr:nvSpPr>
      <xdr:spPr>
        <a:xfrm>
          <a:off x="10302874" y="841375"/>
          <a:ext cx="3587751" cy="76835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latin typeface="Algerian" pitchFamily="82" charset="0"/>
            </a:rPr>
            <a:t> AVG PERFORMANCE SCORE</a:t>
          </a:r>
        </a:p>
      </xdr:txBody>
    </xdr:sp>
    <xdr:clientData/>
  </xdr:twoCellAnchor>
  <xdr:oneCellAnchor>
    <xdr:from>
      <xdr:col>18</xdr:col>
      <xdr:colOff>492125</xdr:colOff>
      <xdr:row>5</xdr:row>
      <xdr:rowOff>142875</xdr:rowOff>
    </xdr:from>
    <xdr:ext cx="1666875" cy="526363"/>
    <xdr:sp macro="" textlink="'KPI CARD TABLE'!E9">
      <xdr:nvSpPr>
        <xdr:cNvPr id="38" name="TextBox 37"/>
        <xdr:cNvSpPr txBox="1"/>
      </xdr:nvSpPr>
      <xdr:spPr>
        <a:xfrm>
          <a:off x="11350625" y="1095375"/>
          <a:ext cx="1666875"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FCAF552-1364-425B-8B64-EF4487B4371A}" type="TxLink">
            <a:rPr lang="en-US" sz="2400">
              <a:solidFill>
                <a:srgbClr val="0070C0"/>
              </a:solidFill>
              <a:latin typeface="Arial Black" pitchFamily="34" charset="0"/>
            </a:rPr>
            <a:t>3.60552</a:t>
          </a:fld>
          <a:endParaRPr lang="en-US" sz="2400">
            <a:solidFill>
              <a:srgbClr val="0070C0"/>
            </a:solidFill>
            <a:latin typeface="Arial Black" pitchFamily="34" charset="0"/>
          </a:endParaRPr>
        </a:p>
      </xdr:txBody>
    </xdr:sp>
    <xdr:clientData/>
  </xdr:oneCellAnchor>
  <xdr:twoCellAnchor>
    <xdr:from>
      <xdr:col>23</xdr:col>
      <xdr:colOff>247650</xdr:colOff>
      <xdr:row>4</xdr:row>
      <xdr:rowOff>73025</xdr:rowOff>
    </xdr:from>
    <xdr:to>
      <xdr:col>27</xdr:col>
      <xdr:colOff>285750</xdr:colOff>
      <xdr:row>8</xdr:row>
      <xdr:rowOff>79375</xdr:rowOff>
    </xdr:to>
    <xdr:sp macro="" textlink="">
      <xdr:nvSpPr>
        <xdr:cNvPr id="39" name="TextBox 38"/>
        <xdr:cNvSpPr txBox="1"/>
      </xdr:nvSpPr>
      <xdr:spPr>
        <a:xfrm>
          <a:off x="14122400" y="835025"/>
          <a:ext cx="2451100" cy="76835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latin typeface="Algerian" pitchFamily="82" charset="0"/>
            </a:rPr>
            <a:t> AVG TIME TO HIRE</a:t>
          </a:r>
        </a:p>
      </xdr:txBody>
    </xdr:sp>
    <xdr:clientData/>
  </xdr:twoCellAnchor>
  <xdr:oneCellAnchor>
    <xdr:from>
      <xdr:col>23</xdr:col>
      <xdr:colOff>327025</xdr:colOff>
      <xdr:row>5</xdr:row>
      <xdr:rowOff>168275</xdr:rowOff>
    </xdr:from>
    <xdr:ext cx="2371725" cy="526363"/>
    <xdr:sp macro="" textlink="'KPI CARD TABLE'!E10">
      <xdr:nvSpPr>
        <xdr:cNvPr id="40" name="TextBox 39"/>
        <xdr:cNvSpPr txBox="1"/>
      </xdr:nvSpPr>
      <xdr:spPr>
        <a:xfrm>
          <a:off x="14201775" y="1120775"/>
          <a:ext cx="2371725"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2F148ED-A100-4C29-B228-77A0645C62B9}" type="TxLink">
            <a:rPr lang="en-US" sz="2400">
              <a:solidFill>
                <a:srgbClr val="0070C0"/>
              </a:solidFill>
              <a:latin typeface="Arial Black" pitchFamily="34" charset="0"/>
            </a:rPr>
            <a:t>35.45238095</a:t>
          </a:fld>
          <a:endParaRPr lang="en-US" sz="2400">
            <a:solidFill>
              <a:srgbClr val="0070C0"/>
            </a:solidFill>
            <a:latin typeface="Arial Black" pitchFamily="34" charset="0"/>
          </a:endParaRPr>
        </a:p>
      </xdr:txBody>
    </xdr:sp>
    <xdr:clientData/>
  </xdr:oneCellAnchor>
  <xdr:twoCellAnchor>
    <xdr:from>
      <xdr:col>27</xdr:col>
      <xdr:colOff>527050</xdr:colOff>
      <xdr:row>4</xdr:row>
      <xdr:rowOff>82550</xdr:rowOff>
    </xdr:from>
    <xdr:to>
      <xdr:col>31</xdr:col>
      <xdr:colOff>565150</xdr:colOff>
      <xdr:row>8</xdr:row>
      <xdr:rowOff>88900</xdr:rowOff>
    </xdr:to>
    <xdr:sp macro="" textlink="">
      <xdr:nvSpPr>
        <xdr:cNvPr id="41" name="TextBox 40"/>
        <xdr:cNvSpPr txBox="1"/>
      </xdr:nvSpPr>
      <xdr:spPr>
        <a:xfrm>
          <a:off x="16814800" y="844550"/>
          <a:ext cx="2451100" cy="76835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latin typeface="Algerian" pitchFamily="82" charset="0"/>
            </a:rPr>
            <a:t>    AVG SALARY</a:t>
          </a:r>
        </a:p>
      </xdr:txBody>
    </xdr:sp>
    <xdr:clientData/>
  </xdr:twoCellAnchor>
  <xdr:oneCellAnchor>
    <xdr:from>
      <xdr:col>28</xdr:col>
      <xdr:colOff>114300</xdr:colOff>
      <xdr:row>6</xdr:row>
      <xdr:rowOff>19050</xdr:rowOff>
    </xdr:from>
    <xdr:ext cx="2371725" cy="526363"/>
    <xdr:sp macro="" textlink="'KPI CARD TABLE'!E11">
      <xdr:nvSpPr>
        <xdr:cNvPr id="42" name="TextBox 41"/>
        <xdr:cNvSpPr txBox="1"/>
      </xdr:nvSpPr>
      <xdr:spPr>
        <a:xfrm>
          <a:off x="17005300" y="1162050"/>
          <a:ext cx="2371725"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B458875-FA7D-46D7-A5EC-482AD041B48E}" type="TxLink">
            <a:rPr lang="en-US" sz="2400">
              <a:solidFill>
                <a:srgbClr val="0070C0"/>
              </a:solidFill>
              <a:latin typeface="Arial Black" pitchFamily="34" charset="0"/>
            </a:rPr>
            <a:t>910606.392</a:t>
          </a:fld>
          <a:endParaRPr lang="en-US" sz="2400">
            <a:solidFill>
              <a:srgbClr val="0070C0"/>
            </a:solidFill>
            <a:latin typeface="Arial Black" pitchFamily="34" charset="0"/>
          </a:endParaRPr>
        </a:p>
      </xdr:txBody>
    </xdr:sp>
    <xdr:clientData/>
  </xdr:oneCellAnchor>
  <xdr:twoCellAnchor>
    <xdr:from>
      <xdr:col>32</xdr:col>
      <xdr:colOff>155575</xdr:colOff>
      <xdr:row>4</xdr:row>
      <xdr:rowOff>101600</xdr:rowOff>
    </xdr:from>
    <xdr:to>
      <xdr:col>36</xdr:col>
      <xdr:colOff>193675</xdr:colOff>
      <xdr:row>8</xdr:row>
      <xdr:rowOff>114300</xdr:rowOff>
    </xdr:to>
    <xdr:sp macro="" textlink="">
      <xdr:nvSpPr>
        <xdr:cNvPr id="43" name="TextBox 42"/>
        <xdr:cNvSpPr txBox="1"/>
      </xdr:nvSpPr>
      <xdr:spPr>
        <a:xfrm>
          <a:off x="19459575" y="863600"/>
          <a:ext cx="24511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latin typeface="Algerian" pitchFamily="82" charset="0"/>
            </a:rPr>
            <a:t> </a:t>
          </a:r>
          <a:r>
            <a:rPr lang="en-US" sz="2000" b="1" baseline="0">
              <a:solidFill>
                <a:srgbClr val="0070C0"/>
              </a:solidFill>
              <a:latin typeface="Algerian" pitchFamily="82" charset="0"/>
            </a:rPr>
            <a:t> </a:t>
          </a:r>
          <a:r>
            <a:rPr lang="en-US" sz="2000" b="1">
              <a:solidFill>
                <a:srgbClr val="0070C0"/>
              </a:solidFill>
              <a:latin typeface="Algerian" pitchFamily="82" charset="0"/>
            </a:rPr>
            <a:t>TOTAL PAYROLL</a:t>
          </a:r>
        </a:p>
      </xdr:txBody>
    </xdr:sp>
    <xdr:clientData/>
  </xdr:twoCellAnchor>
  <xdr:oneCellAnchor>
    <xdr:from>
      <xdr:col>32</xdr:col>
      <xdr:colOff>346075</xdr:colOff>
      <xdr:row>6</xdr:row>
      <xdr:rowOff>6350</xdr:rowOff>
    </xdr:from>
    <xdr:ext cx="2371725" cy="526363"/>
    <xdr:sp macro="" textlink="'KPI CARD TABLE'!E12">
      <xdr:nvSpPr>
        <xdr:cNvPr id="71" name="TextBox 70"/>
        <xdr:cNvSpPr txBox="1"/>
      </xdr:nvSpPr>
      <xdr:spPr>
        <a:xfrm>
          <a:off x="19650075" y="1149350"/>
          <a:ext cx="2371725"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37ED54F-1A48-4D2C-9425-D3543D6D32E9}" type="TxLink">
            <a:rPr lang="en-US" sz="2400">
              <a:solidFill>
                <a:srgbClr val="0070C0"/>
              </a:solidFill>
              <a:latin typeface="Arial Black" pitchFamily="34" charset="0"/>
            </a:rPr>
            <a:t>506209895</a:t>
          </a:fld>
          <a:endParaRPr lang="en-US" sz="2400">
            <a:solidFill>
              <a:srgbClr val="0070C0"/>
            </a:solidFill>
            <a:latin typeface="Arial Black" pitchFamily="34" charset="0"/>
          </a:endParaRPr>
        </a:p>
      </xdr:txBody>
    </xdr:sp>
    <xdr:clientData/>
  </xdr:oneCellAnchor>
  <xdr:twoCellAnchor>
    <xdr:from>
      <xdr:col>36</xdr:col>
      <xdr:colOff>371475</xdr:colOff>
      <xdr:row>4</xdr:row>
      <xdr:rowOff>95250</xdr:rowOff>
    </xdr:from>
    <xdr:to>
      <xdr:col>40</xdr:col>
      <xdr:colOff>409575</xdr:colOff>
      <xdr:row>8</xdr:row>
      <xdr:rowOff>101600</xdr:rowOff>
    </xdr:to>
    <xdr:sp macro="" textlink="">
      <xdr:nvSpPr>
        <xdr:cNvPr id="72" name="TextBox 71"/>
        <xdr:cNvSpPr txBox="1"/>
      </xdr:nvSpPr>
      <xdr:spPr>
        <a:xfrm>
          <a:off x="22088475" y="857250"/>
          <a:ext cx="2451100" cy="76835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latin typeface="Algerian" pitchFamily="82" charset="0"/>
            </a:rPr>
            <a:t> </a:t>
          </a:r>
          <a:r>
            <a:rPr lang="en-US" sz="2000" b="1" baseline="0">
              <a:solidFill>
                <a:srgbClr val="0070C0"/>
              </a:solidFill>
              <a:latin typeface="Algerian" pitchFamily="82" charset="0"/>
            </a:rPr>
            <a:t> WORKFORCE GAP</a:t>
          </a:r>
          <a:endParaRPr lang="en-US" sz="2000" b="1">
            <a:solidFill>
              <a:srgbClr val="0070C0"/>
            </a:solidFill>
            <a:latin typeface="Algerian" pitchFamily="82" charset="0"/>
          </a:endParaRPr>
        </a:p>
      </xdr:txBody>
    </xdr:sp>
    <xdr:clientData/>
  </xdr:twoCellAnchor>
  <xdr:oneCellAnchor>
    <xdr:from>
      <xdr:col>37</xdr:col>
      <xdr:colOff>514351</xdr:colOff>
      <xdr:row>5</xdr:row>
      <xdr:rowOff>174625</xdr:rowOff>
    </xdr:from>
    <xdr:ext cx="1073150" cy="526363"/>
    <xdr:sp macro="" textlink="'KPI CARD TABLE'!E13">
      <xdr:nvSpPr>
        <xdr:cNvPr id="73" name="TextBox 72"/>
        <xdr:cNvSpPr txBox="1"/>
      </xdr:nvSpPr>
      <xdr:spPr>
        <a:xfrm>
          <a:off x="22834601" y="1127125"/>
          <a:ext cx="1073150"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3D21215-967E-4538-903D-C715E7456108}" type="TxLink">
            <a:rPr lang="en-US" sz="2400">
              <a:solidFill>
                <a:srgbClr val="0070C0"/>
              </a:solidFill>
              <a:latin typeface="Arial Black" pitchFamily="34" charset="0"/>
            </a:rPr>
            <a:t>1866</a:t>
          </a:fld>
          <a:endParaRPr lang="en-US" sz="2400">
            <a:solidFill>
              <a:srgbClr val="0070C0"/>
            </a:solidFill>
            <a:latin typeface="Arial Black"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5</xdr:col>
      <xdr:colOff>165677</xdr:colOff>
      <xdr:row>2</xdr:row>
      <xdr:rowOff>30595</xdr:rowOff>
    </xdr:from>
    <xdr:ext cx="1835727" cy="2531629"/>
    <mc:AlternateContent xmlns:mc="http://schemas.openxmlformats.org/markup-compatibility/2006" xmlns:a14="http://schemas.microsoft.com/office/drawing/2010/main">
      <mc:Choice Requires="a14">
        <xdr:graphicFrame macro="">
          <xdr:nvGraphicFramePr>
            <xdr:cNvPr id="4"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93132" y="400050"/>
              <a:ext cx="1835727" cy="253162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twoCellAnchor>
    <xdr:from>
      <xdr:col>6</xdr:col>
      <xdr:colOff>109682</xdr:colOff>
      <xdr:row>100</xdr:row>
      <xdr:rowOff>42718</xdr:rowOff>
    </xdr:from>
    <xdr:to>
      <xdr:col>11</xdr:col>
      <xdr:colOff>432954</xdr:colOff>
      <xdr:row>115</xdr:row>
      <xdr:rowOff>15009</xdr:rowOff>
    </xdr:to>
    <xdr:graphicFrame macro="">
      <xdr:nvGraphicFramePr>
        <xdr:cNvPr id="26" name="Chart 2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392545</xdr:colOff>
      <xdr:row>22</xdr:row>
      <xdr:rowOff>35214</xdr:rowOff>
    </xdr:from>
    <xdr:to>
      <xdr:col>7</xdr:col>
      <xdr:colOff>235527</xdr:colOff>
      <xdr:row>35</xdr:row>
      <xdr:rowOff>157884</xdr:rowOff>
    </xdr:to>
    <mc:AlternateContent xmlns:mc="http://schemas.openxmlformats.org/markup-compatibility/2006" xmlns:a14="http://schemas.microsoft.com/office/drawing/2010/main">
      <mc:Choice Requires="a14">
        <xdr:graphicFrame macro="">
          <xdr:nvGraphicFramePr>
            <xdr:cNvPr id="38" name="Job Satisfaction"/>
            <xdr:cNvGraphicFramePr/>
          </xdr:nvGraphicFramePr>
          <xdr:xfrm>
            <a:off x="0" y="0"/>
            <a:ext cx="0" cy="0"/>
          </xdr:xfrm>
          <a:graphic>
            <a:graphicData uri="http://schemas.microsoft.com/office/drawing/2010/slicer">
              <sle:slicer xmlns:sle="http://schemas.microsoft.com/office/drawing/2010/slicer" name="Job Satisfaction"/>
            </a:graphicData>
          </a:graphic>
        </xdr:graphicFrame>
      </mc:Choice>
      <mc:Fallback xmlns="">
        <xdr:sp macro="" textlink="">
          <xdr:nvSpPr>
            <xdr:cNvPr id="0" name=""/>
            <xdr:cNvSpPr>
              <a:spLocks noTextEdit="1"/>
            </xdr:cNvSpPr>
          </xdr:nvSpPr>
          <xdr:spPr>
            <a:xfrm>
              <a:off x="7620000" y="409921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7</xdr:col>
      <xdr:colOff>502227</xdr:colOff>
      <xdr:row>21</xdr:row>
      <xdr:rowOff>181263</xdr:rowOff>
    </xdr:from>
    <xdr:to>
      <xdr:col>11</xdr:col>
      <xdr:colOff>1529773</xdr:colOff>
      <xdr:row>36</xdr:row>
      <xdr:rowOff>153554</xdr:rowOff>
    </xdr:to>
    <xdr:graphicFrame macro="">
      <xdr:nvGraphicFramePr>
        <xdr:cNvPr id="39" name="Chart 3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288637</xdr:colOff>
      <xdr:row>0</xdr:row>
      <xdr:rowOff>127000</xdr:rowOff>
    </xdr:from>
    <xdr:to>
      <xdr:col>11</xdr:col>
      <xdr:colOff>1316183</xdr:colOff>
      <xdr:row>14</xdr:row>
      <xdr:rowOff>103909</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236682</xdr:colOff>
      <xdr:row>37</xdr:row>
      <xdr:rowOff>42718</xdr:rowOff>
    </xdr:from>
    <xdr:to>
      <xdr:col>11</xdr:col>
      <xdr:colOff>652318</xdr:colOff>
      <xdr:row>52</xdr:row>
      <xdr:rowOff>15009</xdr:rowOff>
    </xdr:to>
    <xdr:graphicFrame macro="">
      <xdr:nvGraphicFramePr>
        <xdr:cNvPr id="42" name="Chart 4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658092</xdr:colOff>
      <xdr:row>38</xdr:row>
      <xdr:rowOff>103332</xdr:rowOff>
    </xdr:from>
    <xdr:to>
      <xdr:col>5</xdr:col>
      <xdr:colOff>1078346</xdr:colOff>
      <xdr:row>52</xdr:row>
      <xdr:rowOff>41275</xdr:rowOff>
    </xdr:to>
    <mc:AlternateContent xmlns:mc="http://schemas.openxmlformats.org/markup-compatibility/2006" xmlns:a14="http://schemas.microsoft.com/office/drawing/2010/main">
      <mc:Choice Requires="a14">
        <xdr:graphicFrame macro="">
          <xdr:nvGraphicFramePr>
            <xdr:cNvPr id="44" name="Exit Reason"/>
            <xdr:cNvGraphicFramePr/>
          </xdr:nvGraphicFramePr>
          <xdr:xfrm>
            <a:off x="0" y="0"/>
            <a:ext cx="0" cy="0"/>
          </xdr:xfrm>
          <a:graphic>
            <a:graphicData uri="http://schemas.microsoft.com/office/drawing/2010/slicer">
              <sle:slicer xmlns:sle="http://schemas.microsoft.com/office/drawing/2010/slicer" name="Exit Reason"/>
            </a:graphicData>
          </a:graphic>
        </xdr:graphicFrame>
      </mc:Choice>
      <mc:Fallback xmlns="">
        <xdr:sp macro="" textlink="">
          <xdr:nvSpPr>
            <xdr:cNvPr id="0" name=""/>
            <xdr:cNvSpPr>
              <a:spLocks noTextEdit="1"/>
            </xdr:cNvSpPr>
          </xdr:nvSpPr>
          <xdr:spPr>
            <a:xfrm>
              <a:off x="6453910" y="7122968"/>
              <a:ext cx="185189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733136</xdr:colOff>
      <xdr:row>76</xdr:row>
      <xdr:rowOff>158173</xdr:rowOff>
    </xdr:from>
    <xdr:to>
      <xdr:col>7</xdr:col>
      <xdr:colOff>86591</xdr:colOff>
      <xdr:row>91</xdr:row>
      <xdr:rowOff>130464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199160</xdr:colOff>
      <xdr:row>77</xdr:row>
      <xdr:rowOff>98713</xdr:rowOff>
    </xdr:from>
    <xdr:to>
      <xdr:col>3</xdr:col>
      <xdr:colOff>457778</xdr:colOff>
      <xdr:row>91</xdr:row>
      <xdr:rowOff>36656</xdr:rowOff>
    </xdr:to>
    <mc:AlternateContent xmlns:mc="http://schemas.openxmlformats.org/markup-compatibility/2006" xmlns:a14="http://schemas.microsoft.com/office/drawing/2010/main">
      <mc:Choice Requires="a14">
        <xdr:graphicFrame macro="">
          <xdr:nvGraphicFramePr>
            <xdr:cNvPr id="3" name="Critical Skill"/>
            <xdr:cNvGraphicFramePr/>
          </xdr:nvGraphicFramePr>
          <xdr:xfrm>
            <a:off x="0" y="0"/>
            <a:ext cx="0" cy="0"/>
          </xdr:xfrm>
          <a:graphic>
            <a:graphicData uri="http://schemas.microsoft.com/office/drawing/2010/slicer">
              <sle:slicer xmlns:sle="http://schemas.microsoft.com/office/drawing/2010/slicer" name="Critical Skill"/>
            </a:graphicData>
          </a:graphic>
        </xdr:graphicFrame>
      </mc:Choice>
      <mc:Fallback xmlns="">
        <xdr:sp macro="" textlink="">
          <xdr:nvSpPr>
            <xdr:cNvPr id="0" name=""/>
            <xdr:cNvSpPr>
              <a:spLocks noTextEdit="1"/>
            </xdr:cNvSpPr>
          </xdr:nvSpPr>
          <xdr:spPr>
            <a:xfrm>
              <a:off x="3016251" y="1432271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7</xdr:col>
      <xdr:colOff>352136</xdr:colOff>
      <xdr:row>59</xdr:row>
      <xdr:rowOff>88901</xdr:rowOff>
    </xdr:from>
    <xdr:to>
      <xdr:col>11</xdr:col>
      <xdr:colOff>1379682</xdr:colOff>
      <xdr:row>74</xdr:row>
      <xdr:rowOff>61192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129886</xdr:colOff>
      <xdr:row>59</xdr:row>
      <xdr:rowOff>156441</xdr:rowOff>
    </xdr:from>
    <xdr:to>
      <xdr:col>6</xdr:col>
      <xdr:colOff>584777</xdr:colOff>
      <xdr:row>73</xdr:row>
      <xdr:rowOff>94384</xdr:rowOff>
    </xdr:to>
    <mc:AlternateContent xmlns:mc="http://schemas.openxmlformats.org/markup-compatibility/2006" xmlns:a14="http://schemas.microsoft.com/office/drawing/2010/main">
      <mc:Choice Requires="a14">
        <xdr:graphicFrame macro="">
          <xdr:nvGraphicFramePr>
            <xdr:cNvPr id="6" name="Salary Grade"/>
            <xdr:cNvGraphicFramePr/>
          </xdr:nvGraphicFramePr>
          <xdr:xfrm>
            <a:off x="0" y="0"/>
            <a:ext cx="0" cy="0"/>
          </xdr:xfrm>
          <a:graphic>
            <a:graphicData uri="http://schemas.microsoft.com/office/drawing/2010/slicer">
              <sle:slicer xmlns:sle="http://schemas.microsoft.com/office/drawing/2010/slicer" name="Salary Grade"/>
            </a:graphicData>
          </a:graphic>
        </xdr:graphicFrame>
      </mc:Choice>
      <mc:Fallback xmlns="">
        <xdr:sp macro="" textlink="">
          <xdr:nvSpPr>
            <xdr:cNvPr id="0" name=""/>
            <xdr:cNvSpPr>
              <a:spLocks noTextEdit="1"/>
            </xdr:cNvSpPr>
          </xdr:nvSpPr>
          <xdr:spPr>
            <a:xfrm>
              <a:off x="7357341" y="11055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USER" refreshedDate="46303.807269675926" createdVersion="4" refreshedVersion="4" minRefreshableVersion="3" recordCount="500">
  <cacheSource type="worksheet">
    <worksheetSource name="Table1"/>
  </cacheSource>
  <cacheFields count="13">
    <cacheField name="Employee ID" numFmtId="0">
      <sharedItems count="500">
        <s v="EMP00001"/>
        <s v="EMP00002"/>
        <s v="EMP00003"/>
        <s v="EMP00004"/>
        <s v="EMP00005"/>
        <s v="EMP00006"/>
        <s v="EMP00007"/>
        <s v="EMP00008"/>
        <s v="EMP00009"/>
        <s v="EMP00010"/>
        <s v="EMP00011"/>
        <s v="EMP00012"/>
        <s v="EMP00013"/>
        <s v="EMP00014"/>
        <s v="EMP00015"/>
        <s v="EMP00016"/>
        <s v="EMP00017"/>
        <s v="EMP00018"/>
        <s v="EMP00019"/>
        <s v="EMP00020"/>
        <s v="EMP00021"/>
        <s v="EMP00022"/>
        <s v="EMP00023"/>
        <s v="EMP00024"/>
        <s v="EMP00025"/>
        <s v="EMP00026"/>
        <s v="EMP00027"/>
        <s v="EMP00028"/>
        <s v="EMP00029"/>
        <s v="EMP00030"/>
        <s v="EMP00031"/>
        <s v="EMP00032"/>
        <s v="EMP00033"/>
        <s v="EMP00034"/>
        <s v="EMP00035"/>
        <s v="EMP00036"/>
        <s v="EMP00037"/>
        <s v="EMP00038"/>
        <s v="EMP00039"/>
        <s v="EMP00040"/>
        <s v="EMP00041"/>
        <s v="EMP00042"/>
        <s v="EMP00043"/>
        <s v="EMP00044"/>
        <s v="EMP00045"/>
        <s v="EMP00046"/>
        <s v="EMP00047"/>
        <s v="EMP00048"/>
        <s v="EMP00049"/>
        <s v="EMP00050"/>
        <s v="EMP00051"/>
        <s v="EMP00052"/>
        <s v="EMP00053"/>
        <s v="EMP00054"/>
        <s v="EMP00055"/>
        <s v="EMP00056"/>
        <s v="EMP00057"/>
        <s v="EMP00058"/>
        <s v="EMP00059"/>
        <s v="EMP00060"/>
        <s v="EMP00061"/>
        <s v="EMP00062"/>
        <s v="EMP00063"/>
        <s v="EMP00064"/>
        <s v="EMP00065"/>
        <s v="EMP00066"/>
        <s v="EMP00067"/>
        <s v="EMP00068"/>
        <s v="EMP00069"/>
        <s v="EMP00070"/>
        <s v="EMP00071"/>
        <s v="EMP00072"/>
        <s v="EMP00073"/>
        <s v="EMP00074"/>
        <s v="EMP00075"/>
        <s v="EMP00076"/>
        <s v="EMP00077"/>
        <s v="EMP00078"/>
        <s v="EMP00079"/>
        <s v="EMP00080"/>
        <s v="EMP00081"/>
        <s v="EMP00082"/>
        <s v="EMP00083"/>
        <s v="EMP00084"/>
        <s v="EMP00085"/>
        <s v="EMP00086"/>
        <s v="EMP00087"/>
        <s v="EMP00088"/>
        <s v="EMP00089"/>
        <s v="EMP00090"/>
        <s v="EMP00091"/>
        <s v="EMP00092"/>
        <s v="EMP00093"/>
        <s v="EMP00094"/>
        <s v="EMP00095"/>
        <s v="EMP00096"/>
        <s v="EMP00097"/>
        <s v="EMP00098"/>
        <s v="EMP00099"/>
        <s v="EMP00100"/>
        <s v="EMP00101"/>
        <s v="EMP00102"/>
        <s v="EMP00103"/>
        <s v="EMP00104"/>
        <s v="EMP00105"/>
        <s v="EMP00106"/>
        <s v="EMP00107"/>
        <s v="EMP00108"/>
        <s v="EMP00109"/>
        <s v="EMP00110"/>
        <s v="EMP00111"/>
        <s v="EMP00112"/>
        <s v="EMP00113"/>
        <s v="EMP00114"/>
        <s v="EMP00115"/>
        <s v="EMP00116"/>
        <s v="EMP00117"/>
        <s v="EMP00118"/>
        <s v="EMP00119"/>
        <s v="EMP00120"/>
        <s v="EMP00121"/>
        <s v="EMP00122"/>
        <s v="EMP00123"/>
        <s v="EMP00124"/>
        <s v="EMP00125"/>
        <s v="EMP00126"/>
        <s v="EMP00127"/>
        <s v="EMP00128"/>
        <s v="EMP00129"/>
        <s v="EMP00130"/>
        <s v="EMP00131"/>
        <s v="EMP00132"/>
        <s v="EMP00133"/>
        <s v="EMP00134"/>
        <s v="EMP00135"/>
        <s v="EMP00136"/>
        <s v="EMP00137"/>
        <s v="EMP00138"/>
        <s v="EMP00139"/>
        <s v="EMP00140"/>
        <s v="EMP00141"/>
        <s v="EMP00142"/>
        <s v="EMP00143"/>
        <s v="EMP00144"/>
        <s v="EMP00145"/>
        <s v="EMP00146"/>
        <s v="EMP00147"/>
        <s v="EMP00148"/>
        <s v="EMP00149"/>
        <s v="EMP00150"/>
        <s v="EMP00151"/>
        <s v="EMP00152"/>
        <s v="EMP00153"/>
        <s v="EMP00154"/>
        <s v="EMP00155"/>
        <s v="EMP00156"/>
        <s v="EMP00157"/>
        <s v="EMP00158"/>
        <s v="EMP00159"/>
        <s v="EMP00160"/>
        <s v="EMP00161"/>
        <s v="EMP00162"/>
        <s v="EMP00163"/>
        <s v="EMP00164"/>
        <s v="EMP00165"/>
        <s v="EMP00166"/>
        <s v="EMP00167"/>
        <s v="EMP00168"/>
        <s v="EMP00169"/>
        <s v="EMP00170"/>
        <s v="EMP00171"/>
        <s v="EMP00172"/>
        <s v="EMP00173"/>
        <s v="EMP00174"/>
        <s v="EMP00175"/>
        <s v="EMP00176"/>
        <s v="EMP00177"/>
        <s v="EMP00178"/>
        <s v="EMP00179"/>
        <s v="EMP00180"/>
        <s v="EMP00181"/>
        <s v="EMP00182"/>
        <s v="EMP00183"/>
        <s v="EMP00184"/>
        <s v="EMP00185"/>
        <s v="EMP00186"/>
        <s v="EMP00187"/>
        <s v="EMP00188"/>
        <s v="EMP00189"/>
        <s v="EMP00190"/>
        <s v="EMP00191"/>
        <s v="EMP00192"/>
        <s v="EMP00193"/>
        <s v="EMP00194"/>
        <s v="EMP00195"/>
        <s v="EMP00196"/>
        <s v="EMP00197"/>
        <s v="EMP00198"/>
        <s v="EMP00199"/>
        <s v="EMP00200"/>
        <s v="EMP00201"/>
        <s v="EMP00202"/>
        <s v="EMP00203"/>
        <s v="EMP00204"/>
        <s v="EMP00205"/>
        <s v="EMP00206"/>
        <s v="EMP00207"/>
        <s v="EMP00208"/>
        <s v="EMP00209"/>
        <s v="EMP00210"/>
        <s v="EMP00211"/>
        <s v="EMP00212"/>
        <s v="EMP00213"/>
        <s v="EMP00214"/>
        <s v="EMP00215"/>
        <s v="EMP00216"/>
        <s v="EMP00217"/>
        <s v="EMP00218"/>
        <s v="EMP00219"/>
        <s v="EMP00220"/>
        <s v="EMP00221"/>
        <s v="EMP00222"/>
        <s v="EMP00223"/>
        <s v="EMP00224"/>
        <s v="EMP00225"/>
        <s v="EMP00226"/>
        <s v="EMP00227"/>
        <s v="EMP00228"/>
        <s v="EMP00229"/>
        <s v="EMP00230"/>
        <s v="EMP00231"/>
        <s v="EMP00232"/>
        <s v="EMP00233"/>
        <s v="EMP00234"/>
        <s v="EMP00235"/>
        <s v="EMP00236"/>
        <s v="EMP00237"/>
        <s v="EMP00238"/>
        <s v="EMP00239"/>
        <s v="EMP00240"/>
        <s v="EMP00241"/>
        <s v="EMP00242"/>
        <s v="EMP00243"/>
        <s v="EMP00244"/>
        <s v="EMP00245"/>
        <s v="EMP00246"/>
        <s v="EMP00247"/>
        <s v="EMP00248"/>
        <s v="EMP00249"/>
        <s v="EMP00250"/>
        <s v="EMP00251"/>
        <s v="EMP00252"/>
        <s v="EMP00253"/>
        <s v="EMP00254"/>
        <s v="EMP00255"/>
        <s v="EMP00256"/>
        <s v="EMP00257"/>
        <s v="EMP00258"/>
        <s v="EMP00259"/>
        <s v="EMP00260"/>
        <s v="EMP00261"/>
        <s v="EMP00262"/>
        <s v="EMP00263"/>
        <s v="EMP00264"/>
        <s v="EMP00265"/>
        <s v="EMP00266"/>
        <s v="EMP00267"/>
        <s v="EMP00268"/>
        <s v="EMP00269"/>
        <s v="EMP00270"/>
        <s v="EMP00271"/>
        <s v="EMP00272"/>
        <s v="EMP00273"/>
        <s v="EMP00274"/>
        <s v="EMP00275"/>
        <s v="EMP00276"/>
        <s v="EMP00277"/>
        <s v="EMP00278"/>
        <s v="EMP00279"/>
        <s v="EMP00280"/>
        <s v="EMP00281"/>
        <s v="EMP00282"/>
        <s v="EMP00283"/>
        <s v="EMP00284"/>
        <s v="EMP00285"/>
        <s v="EMP00286"/>
        <s v="EMP00287"/>
        <s v="EMP00288"/>
        <s v="EMP00289"/>
        <s v="EMP00290"/>
        <s v="EMP00291"/>
        <s v="EMP00292"/>
        <s v="EMP00293"/>
        <s v="EMP00294"/>
        <s v="EMP00295"/>
        <s v="EMP00296"/>
        <s v="EMP00297"/>
        <s v="EMP00298"/>
        <s v="EMP00299"/>
        <s v="EMP00300"/>
        <s v="EMP00301"/>
        <s v="EMP00302"/>
        <s v="EMP00303"/>
        <s v="EMP00304"/>
        <s v="EMP00305"/>
        <s v="EMP00306"/>
        <s v="EMP00307"/>
        <s v="EMP00308"/>
        <s v="EMP00309"/>
        <s v="EMP00310"/>
        <s v="EMP00311"/>
        <s v="EMP00312"/>
        <s v="EMP00313"/>
        <s v="EMP00314"/>
        <s v="EMP00315"/>
        <s v="EMP00316"/>
        <s v="EMP00317"/>
        <s v="EMP00318"/>
        <s v="EMP00319"/>
        <s v="EMP00320"/>
        <s v="EMP00321"/>
        <s v="EMP00322"/>
        <s v="EMP00323"/>
        <s v="EMP00324"/>
        <s v="EMP00325"/>
        <s v="EMP00326"/>
        <s v="EMP00327"/>
        <s v="EMP00328"/>
        <s v="EMP00329"/>
        <s v="EMP00330"/>
        <s v="EMP00331"/>
        <s v="EMP00332"/>
        <s v="EMP00333"/>
        <s v="EMP00334"/>
        <s v="EMP00335"/>
        <s v="EMP00336"/>
        <s v="EMP00337"/>
        <s v="EMP00338"/>
        <s v="EMP00339"/>
        <s v="EMP00340"/>
        <s v="EMP00341"/>
        <s v="EMP00342"/>
        <s v="EMP00343"/>
        <s v="EMP00344"/>
        <s v="EMP00345"/>
        <s v="EMP00346"/>
        <s v="EMP00347"/>
        <s v="EMP00348"/>
        <s v="EMP00349"/>
        <s v="EMP00350"/>
        <s v="EMP00351"/>
        <s v="EMP00352"/>
        <s v="EMP00353"/>
        <s v="EMP00354"/>
        <s v="EMP00355"/>
        <s v="EMP00356"/>
        <s v="EMP00357"/>
        <s v="EMP00358"/>
        <s v="EMP00359"/>
        <s v="EMP00360"/>
        <s v="EMP00361"/>
        <s v="EMP00362"/>
        <s v="EMP00363"/>
        <s v="EMP00364"/>
        <s v="EMP00365"/>
        <s v="EMP00366"/>
        <s v="EMP00367"/>
        <s v="EMP00368"/>
        <s v="EMP00369"/>
        <s v="EMP00370"/>
        <s v="EMP00371"/>
        <s v="EMP00372"/>
        <s v="EMP00373"/>
        <s v="EMP00374"/>
        <s v="EMP00375"/>
        <s v="EMP00376"/>
        <s v="EMP00377"/>
        <s v="EMP00378"/>
        <s v="EMP00379"/>
        <s v="EMP00380"/>
        <s v="EMP00381"/>
        <s v="EMP00382"/>
        <s v="EMP00383"/>
        <s v="EMP00384"/>
        <s v="EMP00385"/>
        <s v="EMP00386"/>
        <s v="EMP00387"/>
        <s v="EMP00388"/>
        <s v="EMP00389"/>
        <s v="EMP00390"/>
        <s v="EMP00391"/>
        <s v="EMP00392"/>
        <s v="EMP00393"/>
        <s v="EMP00394"/>
        <s v="EMP00395"/>
        <s v="EMP00396"/>
        <s v="EMP00397"/>
        <s v="EMP00398"/>
        <s v="EMP00399"/>
        <s v="EMP00400"/>
        <s v="EMP00401"/>
        <s v="EMP00402"/>
        <s v="EMP00403"/>
        <s v="EMP00404"/>
        <s v="EMP00405"/>
        <s v="EMP00406"/>
        <s v="EMP00407"/>
        <s v="EMP00408"/>
        <s v="EMP00409"/>
        <s v="EMP00410"/>
        <s v="EMP00411"/>
        <s v="EMP00412"/>
        <s v="EMP00413"/>
        <s v="EMP00414"/>
        <s v="EMP00415"/>
        <s v="EMP00416"/>
        <s v="EMP00417"/>
        <s v="EMP00418"/>
        <s v="EMP00419"/>
        <s v="EMP00420"/>
        <s v="EMP00421"/>
        <s v="EMP00422"/>
        <s v="EMP00423"/>
        <s v="EMP00424"/>
        <s v="EMP00425"/>
        <s v="EMP00426"/>
        <s v="EMP00427"/>
        <s v="EMP00428"/>
        <s v="EMP00429"/>
        <s v="EMP00430"/>
        <s v="EMP00431"/>
        <s v="EMP00432"/>
        <s v="EMP00433"/>
        <s v="EMP00434"/>
        <s v="EMP00435"/>
        <s v="EMP00436"/>
        <s v="EMP00437"/>
        <s v="EMP00438"/>
        <s v="EMP00439"/>
        <s v="EMP00440"/>
        <s v="EMP00441"/>
        <s v="EMP00442"/>
        <s v="EMP00443"/>
        <s v="EMP00444"/>
        <s v="EMP00445"/>
        <s v="EMP00446"/>
        <s v="EMP00447"/>
        <s v="EMP00448"/>
        <s v="EMP00449"/>
        <s v="EMP00450"/>
        <s v="EMP00451"/>
        <s v="EMP00452"/>
        <s v="EMP00453"/>
        <s v="EMP00454"/>
        <s v="EMP00455"/>
        <s v="EMP00456"/>
        <s v="EMP00457"/>
        <s v="EMP00458"/>
        <s v="EMP00459"/>
        <s v="EMP00460"/>
        <s v="EMP00461"/>
        <s v="EMP00462"/>
        <s v="EMP00463"/>
        <s v="EMP00464"/>
        <s v="EMP00465"/>
        <s v="EMP00466"/>
        <s v="EMP00467"/>
        <s v="EMP00468"/>
        <s v="EMP00469"/>
        <s v="EMP00470"/>
        <s v="EMP00471"/>
        <s v="EMP00472"/>
        <s v="EMP00473"/>
        <s v="EMP00474"/>
        <s v="EMP00475"/>
        <s v="EMP00476"/>
        <s v="EMP00477"/>
        <s v="EMP00478"/>
        <s v="EMP00479"/>
        <s v="EMP00480"/>
        <s v="EMP00481"/>
        <s v="EMP00482"/>
        <s v="EMP00483"/>
        <s v="EMP00484"/>
        <s v="EMP00485"/>
        <s v="EMP00486"/>
        <s v="EMP00487"/>
        <s v="EMP00488"/>
        <s v="EMP00489"/>
        <s v="EMP00490"/>
        <s v="EMP00491"/>
        <s v="EMP00492"/>
        <s v="EMP00493"/>
        <s v="EMP00494"/>
        <s v="EMP00495"/>
        <s v="EMP00496"/>
        <s v="EMP00497"/>
        <s v="EMP00498"/>
        <s v="EMP00499"/>
        <s v="EMP00500"/>
      </sharedItems>
    </cacheField>
    <cacheField name="Employee Name" numFmtId="0">
      <sharedItems count="343">
        <s v="Ram Gupta"/>
        <s v="Rohan Rao"/>
        <s v="Yash Upadhyay"/>
        <s v="Aryan Joshi"/>
        <s v="Karan Kapoor"/>
        <s v="Vikram Malhotra"/>
        <s v="Rinku Verma"/>
        <s v="Karan Gupta"/>
        <s v="Nisha Joshi"/>
        <s v="Yash Malhotra"/>
        <s v="Arun Singh"/>
        <s v="Neha Tiwari"/>
        <s v="Aryan Rao"/>
        <s v="Ishita Kumar"/>
        <s v="Anshul Patel"/>
        <s v="Rahul Khan"/>
        <s v="Vihaan Gupta"/>
        <s v="Neha Khan"/>
        <s v="Rohan Kumar"/>
        <s v="Ananya Kapoor"/>
        <s v="Arjun Sethi"/>
        <s v="Diya Khan"/>
        <s v="Meera Malhotra"/>
        <s v="Arjun Tiwari"/>
        <s v="Arjun Singh"/>
        <s v="Ishita Khan"/>
        <s v="Ishita Sethi"/>
        <s v="Sara Nair"/>
        <s v="Sara Patel"/>
        <s v="Ananya Singh"/>
        <s v="Pooja Sethi"/>
        <s v="Aditya Khan"/>
        <s v="Rohan Mehta"/>
        <s v="Aman Sethi"/>
        <s v="Arjun Dwivedi"/>
        <s v="Aman Dwivedi"/>
        <s v="Rahul Tiwari"/>
        <s v="Aryan Mehta"/>
        <s v="Aman Gupta"/>
        <s v="Vikram Kapoor"/>
        <s v="Arun Mishra"/>
        <s v="Ananya Kumar"/>
        <s v="Meera Dwivedi"/>
        <s v="Kabir Singh"/>
        <s v="Lakhan Kumar"/>
        <s v="Aarav Gupta"/>
        <s v="Aryan Nair"/>
        <s v="Divyansh Patel"/>
        <s v="Karan Rao"/>
        <s v="Ishita Joshi"/>
        <s v="Govind Joshi"/>
        <s v="Anshul Chauhan"/>
        <s v="Aman Khan"/>
        <s v="Satyam Chauhan"/>
        <s v="Sara Sharma"/>
        <s v="Vikram Tiwari"/>
        <s v="Govind Nair"/>
        <s v="Sara Malhotra"/>
        <s v="Meera Mehta"/>
        <s v="Govind Dwivedi"/>
        <s v="Aryan Sharma"/>
        <s v="Neha Upadhyay"/>
        <s v="Anshul Sharma"/>
        <s v="Aditi Mishra"/>
        <s v="Rahul Mishra"/>
        <s v="Yash Patel"/>
        <s v="Pooja Rao"/>
        <s v="Vihaan Tiwari"/>
        <s v="Rinku Kumar"/>
        <s v="Yash Nair"/>
        <s v="Aarav Upadhyay"/>
        <s v="Karan Nair"/>
        <s v="Pooja Sharma"/>
        <s v="Satyam Mishra"/>
        <s v="Karan Das"/>
        <s v="Yash Tiwari"/>
        <s v="Aditi Sharma"/>
        <s v="Pooja Gupta"/>
        <s v="Satyam Dwivedi"/>
        <s v="Vikram Mehta"/>
        <s v="Rinku Rao"/>
        <s v="Riya Nair"/>
        <s v="Ananya Nair"/>
        <s v="Vihaan Rao"/>
        <s v="Satyam Malhotra"/>
        <s v="Rohan Kapoor"/>
        <s v="Rahul Joshi"/>
        <s v="Rinku Sethi"/>
        <s v="Aditya Rao"/>
        <s v="Nisha Nair"/>
        <s v="Kabir Rao"/>
        <s v="Diya Joshi"/>
        <s v="Meera Gupta"/>
        <s v="Aarav Mishra"/>
        <s v="Pooja Das"/>
        <s v="Arun Verma"/>
        <s v="Aryan Upadhyay"/>
        <s v="Karan Upadhyay"/>
        <s v="Rohan Khan"/>
        <s v="Diya Sharma"/>
        <s v="Divyansh Joshi"/>
        <s v="Rinku Mehta"/>
        <s v="Aditi Nair"/>
        <s v="Arun Upadhyay"/>
        <s v="Pooja Chauhan"/>
        <s v="Arun Sethi"/>
        <s v="Govind Gupta"/>
        <s v="Aditya Mishra"/>
        <s v="Ananya Malhotra"/>
        <s v="Rahul Kapoor"/>
        <s v="Riya Kumar"/>
        <s v="Satyam Rao"/>
        <s v="Ishita Gupta"/>
        <s v="Rinku Khan"/>
        <s v="Aryan Malhotra"/>
        <s v="Vihaan Chauhan"/>
        <s v="Govind Sethi"/>
        <s v="Lakhan Mishra"/>
        <s v="Govind Kumar"/>
        <s v="Karan Kumar"/>
        <s v="Aditya Verma"/>
        <s v="Satyam Verma"/>
        <s v="Lakhan Gupta"/>
        <s v="Divyansh Singh"/>
        <s v="Rahul Nair"/>
        <s v="Karan Malhotra"/>
        <s v="Yash Khan"/>
        <s v="Riya Patel"/>
        <s v="Sara Khan"/>
        <s v="Ishita Malhotra"/>
        <s v="Satyam Kapoor"/>
        <s v="Anshul Singh"/>
        <s v="Aryan Verma"/>
        <s v="Divyansh Mishra"/>
        <s v="Ram Tiwari"/>
        <s v="Ram Malhotra"/>
        <s v="Riya Gupta"/>
        <s v="Nisha Gupta"/>
        <s v="Ishita Verma"/>
        <s v="Aditi Mehta"/>
        <s v="Aditya Das"/>
        <s v="Satyam Nair"/>
        <s v="Ishita Kapoor"/>
        <s v="Rohan Gupta"/>
        <s v="Riya Khan"/>
        <s v="Divyansh Rao"/>
        <s v="Rahul Upadhyay"/>
        <s v="Yash Sharma"/>
        <s v="Rinku Das"/>
        <s v="Kabir Dwivedi"/>
        <s v="Rahul Dwivedi"/>
        <s v="Yash Rao"/>
        <s v="Ananya Tiwari"/>
        <s v="Vikram Sethi"/>
        <s v="Ram Kapoor"/>
        <s v="Meera Kapoor"/>
        <s v="Divyansh Nair"/>
        <s v="Govind Malhotra"/>
        <s v="Aditya Nair"/>
        <s v="Vihaan Upadhyay"/>
        <s v="Aditi Verma"/>
        <s v="Meera Upadhyay"/>
        <s v="Riya Rao"/>
        <s v="Aarav Das"/>
        <s v="Anshul Nair"/>
        <s v="Divyansh Dwivedi"/>
        <s v="Sara Upadhyay"/>
        <s v="Vihaan Patel"/>
        <s v="Neha Kapoor"/>
        <s v="Rohan Patel"/>
        <s v="Lakhan Upadhyay"/>
        <s v="Rahul Verma"/>
        <s v="Arun Mehta"/>
        <s v="Aditi Das"/>
        <s v="Ishita Das"/>
        <s v="Sara Tiwari"/>
        <s v="Riya Malhotra"/>
        <s v="Arjun Mehta"/>
        <s v="Rohan Tiwari"/>
        <s v="Aryan Patel"/>
        <s v="Nisha Rao"/>
        <s v="Meera Sethi"/>
        <s v="Rahul Chauhan"/>
        <s v="Anshul Sethi"/>
        <s v="Kabir Das"/>
        <s v="Arun Tiwari"/>
        <s v="Arun Kumar"/>
        <s v="Aarav Dwivedi"/>
        <s v="Nisha Verma"/>
        <s v="Aditya Kapoor"/>
        <s v="Lakhan Das"/>
        <s v="Vihaan Mehta"/>
        <s v="Pooja Kapoor"/>
        <s v="Satyam Patel"/>
        <s v="Govind Mehta"/>
        <s v="Yash Singh"/>
        <s v="Anshul Malhotra"/>
        <s v="Divyansh Das"/>
        <s v="Aditya Upadhyay"/>
        <s v="Yash Verma"/>
        <s v="Vikram Mishra"/>
        <s v="Neha Das"/>
        <s v="Nisha Das"/>
        <s v="Vihaan Verma"/>
        <s v="Aman Patel"/>
        <s v="Meera Patel"/>
        <s v="Karan Verma"/>
        <s v="Riya Verma"/>
        <s v="Anshul Joshi"/>
        <s v="Anshul Mehta"/>
        <s v="Rinku Singh"/>
        <s v="Vihaan Dwivedi"/>
        <s v="Lakhan Kapoor"/>
        <s v="Karan Dwivedi"/>
        <s v="Vihaan Joshi"/>
        <s v="Aarav Verma"/>
        <s v="Aditi Singh"/>
        <s v="Aditi Malhotra"/>
        <s v="Arjun Malhotra"/>
        <s v="Aditya Chauhan"/>
        <s v="Rahul Das"/>
        <s v="Diya Malhotra"/>
        <s v="Pooja Upadhyay"/>
        <s v="Divyansh Upadhyay"/>
        <s v="Ananya Joshi"/>
        <s v="Rinku Joshi"/>
        <s v="Riya Tiwari"/>
        <s v="Vihaan Mishra"/>
        <s v="Riya Mehta"/>
        <s v="Ram Upadhyay"/>
        <s v="Ishita Singh"/>
        <s v="Aman Rao"/>
        <s v="Arun Malhotra"/>
        <s v="Pooja Kumar"/>
        <s v="Diya Das"/>
        <s v="Aarav Khan"/>
        <s v="Aman Upadhyay"/>
        <s v="Ananya Das"/>
        <s v="Ananya Mehta"/>
        <s v="Yash Dwivedi"/>
        <s v="Vikram Upadhyay"/>
        <s v="Diya Tiwari"/>
        <s v="Arjun Chauhan"/>
        <s v="Kabir Sharma"/>
        <s v="Govind Mishra"/>
        <s v="Aryan Khan"/>
        <s v="Rohan Singh"/>
        <s v="Sara Mehta"/>
        <s v="Aditi Kapoor"/>
        <s v="Aditya Patel"/>
        <s v="Aryan Das"/>
        <s v="Rohan Joshi"/>
        <s v="Kabir Kapoor"/>
        <s v="Vikram Joshi"/>
        <s v="Ram Kumar"/>
        <s v="Lakhan Sethi"/>
        <s v="Ram Mishra"/>
        <s v="Anshul Dwivedi"/>
        <s v="Rohan Dwivedi"/>
        <s v="Nisha Malhotra"/>
        <s v="Karan Singh"/>
        <s v="Rohan Upadhyay"/>
        <s v="Ishita Upadhyay"/>
        <s v="Aarav Mehta"/>
        <s v="Diya Nair"/>
        <s v="Kabir Mehta"/>
        <s v="Kabir Nair"/>
        <s v="Ram Sethi"/>
        <s v="Aarav Malhotra"/>
        <s v="Arun Dwivedi"/>
        <s v="Aman Malhotra"/>
        <s v="Anshul Verma"/>
        <s v="Ishita Chauhan"/>
        <s v="Meera Nair"/>
        <s v="Yash Joshi"/>
        <s v="Ram Das"/>
        <s v="Karan Tiwari"/>
        <s v="Diya Patel"/>
        <s v="Divyansh Verma"/>
        <s v="Yash Gupta"/>
        <s v="Aman Verma"/>
        <s v="Diya Kapoor"/>
        <s v="Diya Sethi"/>
        <s v="Rahul Sethi"/>
        <s v="Arjun Upadhyay"/>
        <s v="Yash Mishra"/>
        <s v="Lakhan Nair"/>
        <s v="Rinku Tiwari"/>
        <s v="Ram Khan"/>
        <s v="Sara Joshi"/>
        <s v="Aman Kumar"/>
        <s v="Anshul Das"/>
        <s v="Nisha Khan"/>
        <s v="Meera Rao"/>
        <s v="Arjun Kumar"/>
        <s v="Arjun Gupta"/>
        <s v="Ram Joshi"/>
        <s v="Aryan Gupta"/>
        <s v="Pooja Malhotra"/>
        <s v="Nisha Tiwari"/>
        <s v="Anshul Mishra"/>
        <s v="Lakhan Verma"/>
        <s v="Vikram Nair"/>
        <s v="Aarav Kumar"/>
        <s v="Divyansh Khan"/>
        <s v="Vihaan Nair"/>
        <s v="Nisha Patel"/>
        <s v="Diya Singh"/>
        <s v="Neha Singh"/>
        <s v="Karan Mehta"/>
        <s v="Aarav Rao"/>
        <s v="Aditya Mehta"/>
        <s v="Meera Khan"/>
        <s v="Yash Das"/>
        <s v="Yash Mehta"/>
        <s v="Ananya Sharma"/>
        <s v="Govind Verma"/>
        <s v="Aditi Patel"/>
        <s v="Yash Kumar"/>
        <s v="Neha Mishra"/>
        <s v="Riya Sethi"/>
        <s v="Nisha Upadhyay"/>
        <s v="Riya Singh"/>
        <s v="Aarav Tiwari"/>
        <s v="Arjun Kapoor"/>
        <s v="Ram Sharma"/>
        <s v="Vikram Dwivedi"/>
        <s v="Ram Verma"/>
        <s v="Govind Tiwari"/>
        <s v="Ram Nair"/>
        <s v="Aditya Gupta"/>
        <s v="Meera Sharma"/>
        <s v="Neha Malhotra"/>
        <s v="Neha Sethi"/>
        <s v="Pooja Khan"/>
        <s v="Nisha Mishra"/>
        <s v="Karan Mishra"/>
        <s v="Satyam Sethi"/>
        <s v="Vikram Khan"/>
        <s v="Meera Chauhan"/>
        <s v="Nisha Sethi"/>
        <s v="Nisha Kapoor"/>
        <s v="Diya Dwivedi"/>
      </sharedItems>
    </cacheField>
    <cacheField name="Department" numFmtId="0">
      <sharedItems count="10">
        <s v="HR"/>
        <s v="R&amp;D"/>
        <s v="Sales"/>
        <s v="Operations"/>
        <s v="Logistics"/>
        <s v="IT"/>
        <s v="Customer Support"/>
        <s v="Marketing"/>
        <s v="Administration"/>
        <s v="Finance"/>
      </sharedItems>
    </cacheField>
    <cacheField name="Job Role" numFmtId="0">
      <sharedItems count="46">
        <s v="HR Executive"/>
        <s v="Research Analyst"/>
        <s v="Sales Executive"/>
        <s v="Operations Executive"/>
        <s v="Warehouse Manager"/>
        <s v="Payroll Executive"/>
        <s v="System Administrator"/>
        <s v="Customer Success Analyst"/>
        <s v="Sales Analyst"/>
        <s v="Operations Analyst"/>
        <s v="Brand Manager"/>
        <s v="Product Researcher"/>
        <s v="Innovation Analyst"/>
        <s v="Support Executive"/>
        <s v="Account Manager"/>
        <s v="Research Engineer"/>
        <s v="Operations Manager"/>
        <s v="Sales Manager"/>
        <s v="UI/UX Designer"/>
        <s v="Marketing Executive"/>
        <s v="Office Manager"/>
        <s v="Support Manager"/>
        <s v="Admin Executive"/>
        <s v="SEO Specialist"/>
        <s v="Admin Assistant"/>
        <s v="Recruiter"/>
        <s v="Content Strategist"/>
        <s v="HR Manager"/>
        <s v="Financial Analyst"/>
        <s v="Training Specialist"/>
        <s v="Software Engineer"/>
        <s v="Auditor"/>
        <s v="Data Analyst"/>
        <s v="Facility Coordinator"/>
        <s v="Service Executive"/>
        <s v="DevOps Engineer"/>
        <s v="Supply Chain Analyst"/>
        <s v="Transport Coordinator"/>
        <s v="Business Development Executive"/>
        <s v="Finance Manager"/>
        <s v="Process Analyst"/>
        <s v="Logistics Executive"/>
        <s v="Digital Marketing Analyst"/>
        <s v="Payroll Analyst"/>
        <s v="Accountant"/>
        <s v="QA Engineer"/>
      </sharedItems>
    </cacheField>
    <cacheField name="Gender" numFmtId="0">
      <sharedItems count="2">
        <s v="Female"/>
        <s v="Male"/>
      </sharedItems>
    </cacheField>
    <cacheField name="Age" numFmtId="0">
      <sharedItems containsSemiMixedTypes="0" containsString="0" containsNumber="1" containsInteger="1" minValue="21" maxValue="58" count="38">
        <n v="36"/>
        <n v="23"/>
        <n v="55"/>
        <n v="48"/>
        <n v="45"/>
        <n v="50"/>
        <n v="44"/>
        <n v="39"/>
        <n v="41"/>
        <n v="25"/>
        <n v="58"/>
        <n v="24"/>
        <n v="40"/>
        <n v="29"/>
        <n v="28"/>
        <n v="42"/>
        <n v="57"/>
        <n v="27"/>
        <n v="31"/>
        <n v="56"/>
        <n v="53"/>
        <n v="47"/>
        <n v="21"/>
        <n v="37"/>
        <n v="30"/>
        <n v="35"/>
        <n v="43"/>
        <n v="46"/>
        <n v="26"/>
        <n v="32"/>
        <n v="33"/>
        <n v="38"/>
        <n v="52"/>
        <n v="51"/>
        <n v="49"/>
        <n v="22"/>
        <n v="34"/>
        <n v="54"/>
      </sharedItems>
    </cacheField>
    <cacheField name="Performance Score" numFmtId="0">
      <sharedItems containsSemiMixedTypes="0" containsString="0" containsNumber="1" minValue="2.2000000000000002" maxValue="5" count="232">
        <n v="3.44"/>
        <n v="4.8"/>
        <n v="2.97"/>
        <n v="2.34"/>
        <n v="3.81"/>
        <n v="4.67"/>
        <n v="4.51"/>
        <n v="3.98"/>
        <n v="4.74"/>
        <n v="2.39"/>
        <n v="3.53"/>
        <n v="4.0999999999999996"/>
        <n v="3.57"/>
        <n v="4.37"/>
        <n v="3.18"/>
        <n v="2.2400000000000002"/>
        <n v="2.52"/>
        <n v="4.05"/>
        <n v="4.2699999999999996"/>
        <n v="4.78"/>
        <n v="4.96"/>
        <n v="3.29"/>
        <n v="3.66"/>
        <n v="4.91"/>
        <n v="2.61"/>
        <n v="2.66"/>
        <n v="3.47"/>
        <n v="2.21"/>
        <n v="4.66"/>
        <n v="4.99"/>
        <n v="3.52"/>
        <n v="4.7"/>
        <n v="2.58"/>
        <n v="3.79"/>
        <n v="2.59"/>
        <n v="3.19"/>
        <n v="2.27"/>
        <n v="3.82"/>
        <n v="4.3099999999999996"/>
        <n v="4.46"/>
        <n v="4.5199999999999996"/>
        <n v="3.55"/>
        <n v="3.63"/>
        <n v="4.97"/>
        <n v="2.63"/>
        <n v="3.33"/>
        <n v="3.43"/>
        <n v="2.6"/>
        <n v="4.07"/>
        <n v="3.83"/>
        <n v="3.51"/>
        <n v="4.5999999999999996"/>
        <n v="3.64"/>
        <n v="3.49"/>
        <n v="3.67"/>
        <n v="4.82"/>
        <n v="4.72"/>
        <n v="2.9"/>
        <n v="3.97"/>
        <n v="2.57"/>
        <n v="4.4800000000000004"/>
        <n v="2.29"/>
        <n v="3.73"/>
        <n v="2.73"/>
        <n v="3.93"/>
        <n v="3.25"/>
        <n v="2.48"/>
        <n v="2.2599999999999998"/>
        <n v="4.6399999999999997"/>
        <n v="4.59"/>
        <n v="4.1500000000000004"/>
        <n v="3.15"/>
        <n v="2.77"/>
        <n v="4.7300000000000004"/>
        <n v="3.91"/>
        <n v="2.3199999999999998"/>
        <n v="3.54"/>
        <n v="3.9"/>
        <n v="4.34"/>
        <n v="2.87"/>
        <n v="2.99"/>
        <n v="3.31"/>
        <n v="3.59"/>
        <n v="4.38"/>
        <n v="3.72"/>
        <n v="2.98"/>
        <n v="3.75"/>
        <n v="3.28"/>
        <n v="2.78"/>
        <n v="2.81"/>
        <n v="3.5"/>
        <n v="5"/>
        <n v="3.92"/>
        <n v="2.5499999999999998"/>
        <n v="3.99"/>
        <n v="2.69"/>
        <n v="4.12"/>
        <n v="2.84"/>
        <n v="4.21"/>
        <n v="3.24"/>
        <n v="3.11"/>
        <n v="4.84"/>
        <n v="3.01"/>
        <n v="3.61"/>
        <n v="4.25"/>
        <n v="4.4400000000000004"/>
        <n v="2.41"/>
        <n v="3.84"/>
        <n v="3.08"/>
        <n v="3.58"/>
        <n v="3.37"/>
        <n v="4.1900000000000004"/>
        <n v="2.5"/>
        <n v="3.46"/>
        <n v="2.71"/>
        <n v="3.86"/>
        <n v="4.22"/>
        <n v="3.1"/>
        <n v="3.65"/>
        <n v="2.4700000000000002"/>
        <n v="4.8899999999999997"/>
        <n v="3.23"/>
        <n v="4.6900000000000004"/>
        <n v="4.26"/>
        <n v="4.42"/>
        <n v="3.96"/>
        <n v="2.75"/>
        <n v="3.42"/>
        <n v="4.88"/>
        <n v="4.55"/>
        <n v="2.93"/>
        <n v="3.32"/>
        <n v="4.6500000000000004"/>
        <n v="2.56"/>
        <n v="4.3899999999999997"/>
        <n v="2.79"/>
        <n v="4.6100000000000003"/>
        <n v="2.8"/>
        <n v="2.4900000000000002"/>
        <n v="4.03"/>
        <n v="4.7699999999999996"/>
        <n v="4.4000000000000004"/>
        <n v="2.46"/>
        <n v="3.69"/>
        <n v="4.3600000000000003"/>
        <n v="3.07"/>
        <n v="3.35"/>
        <n v="3.34"/>
        <n v="4.45"/>
        <n v="3.03"/>
        <n v="3.09"/>
        <n v="4.16"/>
        <n v="2.37"/>
        <n v="3.77"/>
        <n v="4.5"/>
        <n v="3.89"/>
        <n v="2.42"/>
        <n v="4.0599999999999996"/>
        <n v="2.54"/>
        <n v="3.27"/>
        <n v="4.3"/>
        <n v="2.36"/>
        <n v="4.95"/>
        <n v="2.67"/>
        <n v="4.24"/>
        <n v="2.76"/>
        <n v="2.44"/>
        <n v="4.54"/>
        <n v="3"/>
        <n v="2.96"/>
        <n v="3.85"/>
        <n v="2.64"/>
        <n v="4.76"/>
        <n v="2.31"/>
        <n v="4.87"/>
        <n v="3.48"/>
        <n v="3.05"/>
        <n v="2.62"/>
        <n v="2.7"/>
        <n v="3.14"/>
        <n v="2.92"/>
        <n v="4.29"/>
        <n v="2.25"/>
        <n v="4.41"/>
        <n v="3.76"/>
        <n v="3.8"/>
        <n v="4.79"/>
        <n v="2.89"/>
        <n v="3.6"/>
        <n v="4.2"/>
        <n v="4.0199999999999996"/>
        <n v="4.1399999999999997"/>
        <n v="2.82"/>
        <n v="4.8499999999999996"/>
        <n v="4.92"/>
        <n v="3.26"/>
        <n v="4.71"/>
        <n v="2.83"/>
        <n v="4.28"/>
        <n v="3.62"/>
        <n v="4.43"/>
        <n v="3.88"/>
        <n v="2.2200000000000002"/>
        <n v="4.33"/>
        <n v="2.74"/>
        <n v="3.78"/>
        <n v="4.01"/>
        <n v="4.9400000000000004"/>
        <n v="4.68"/>
        <n v="3.13"/>
        <n v="4.3499999999999996"/>
        <n v="3.95"/>
        <n v="3.06"/>
        <n v="3.71"/>
        <n v="4.83"/>
        <n v="2.2799999999999998"/>
        <n v="2.2000000000000002"/>
        <n v="2.72"/>
        <n v="4"/>
        <n v="3.22"/>
        <n v="4.1100000000000003"/>
        <n v="2.85"/>
        <n v="4.9000000000000004"/>
        <n v="3.45"/>
        <n v="4.57"/>
        <n v="2.94"/>
        <n v="3.87"/>
        <n v="2.35"/>
        <n v="2.38"/>
        <n v="3.41"/>
        <n v="4.18"/>
        <n v="3.94"/>
      </sharedItems>
    </cacheField>
    <cacheField name="Productivity %" numFmtId="0">
      <sharedItems containsSemiMixedTypes="0" containsString="0" containsNumber="1" containsInteger="1" minValue="62" maxValue="100"/>
    </cacheField>
    <cacheField name="KPI Achievement %" numFmtId="0">
      <sharedItems containsSemiMixedTypes="0" containsString="0" containsNumber="1" containsInteger="1" minValue="60" maxValue="100"/>
    </cacheField>
    <cacheField name="Goal Completion %" numFmtId="0">
      <sharedItems containsSemiMixedTypes="0" containsString="0" containsNumber="1" containsInteger="1" minValue="65" maxValue="100"/>
    </cacheField>
    <cacheField name="Training Hours" numFmtId="0">
      <sharedItems containsSemiMixedTypes="0" containsString="0" containsNumber="1" containsInteger="1" minValue="5" maxValue="60"/>
    </cacheField>
    <cacheField name="Review Rating" numFmtId="0">
      <sharedItems count="5">
        <s v="Very Good"/>
        <s v="Average"/>
        <s v="Needs Improvement"/>
        <s v="Good"/>
        <s v="Excellent"/>
      </sharedItems>
    </cacheField>
    <cacheField name="Review Year" numFmtId="0">
      <sharedItems containsSemiMixedTypes="0" containsString="0" containsNumber="1" containsInteger="1" minValue="2024" maxValue="2026"/>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303.828704398147" createdVersion="4" refreshedVersion="4" minRefreshableVersion="3" recordCount="500">
  <cacheSource type="worksheet">
    <worksheetSource name="Table3"/>
  </cacheSource>
  <cacheFields count="14">
    <cacheField name="Employee ID" numFmtId="0">
      <sharedItems count="500">
        <s v="EMP00001"/>
        <s v="EMP00002"/>
        <s v="EMP00003"/>
        <s v="EMP00004"/>
        <s v="EMP00005"/>
        <s v="EMP00006"/>
        <s v="EMP00007"/>
        <s v="EMP00008"/>
        <s v="EMP00009"/>
        <s v="EMP00010"/>
        <s v="EMP00011"/>
        <s v="EMP00012"/>
        <s v="EMP00013"/>
        <s v="EMP00014"/>
        <s v="EMP00015"/>
        <s v="EMP00016"/>
        <s v="EMP00017"/>
        <s v="EMP00018"/>
        <s v="EMP00019"/>
        <s v="EMP00020"/>
        <s v="EMP00021"/>
        <s v="EMP00022"/>
        <s v="EMP00023"/>
        <s v="EMP00024"/>
        <s v="EMP00025"/>
        <s v="EMP00026"/>
        <s v="EMP00027"/>
        <s v="EMP00028"/>
        <s v="EMP00029"/>
        <s v="EMP00030"/>
        <s v="EMP00031"/>
        <s v="EMP00032"/>
        <s v="EMP00033"/>
        <s v="EMP00034"/>
        <s v="EMP00035"/>
        <s v="EMP00036"/>
        <s v="EMP00037"/>
        <s v="EMP00038"/>
        <s v="EMP00039"/>
        <s v="EMP00040"/>
        <s v="EMP00041"/>
        <s v="EMP00042"/>
        <s v="EMP00043"/>
        <s v="EMP00044"/>
        <s v="EMP00045"/>
        <s v="EMP00046"/>
        <s v="EMP00047"/>
        <s v="EMP00048"/>
        <s v="EMP00049"/>
        <s v="EMP00050"/>
        <s v="EMP00051"/>
        <s v="EMP00052"/>
        <s v="EMP00053"/>
        <s v="EMP00054"/>
        <s v="EMP00055"/>
        <s v="EMP00056"/>
        <s v="EMP00057"/>
        <s v="EMP00058"/>
        <s v="EMP00059"/>
        <s v="EMP00060"/>
        <s v="EMP00061"/>
        <s v="EMP00062"/>
        <s v="EMP00063"/>
        <s v="EMP00064"/>
        <s v="EMP00065"/>
        <s v="EMP00066"/>
        <s v="EMP00067"/>
        <s v="EMP00068"/>
        <s v="EMP00069"/>
        <s v="EMP00070"/>
        <s v="EMP00071"/>
        <s v="EMP00072"/>
        <s v="EMP00073"/>
        <s v="EMP00074"/>
        <s v="EMP00075"/>
        <s v="EMP00076"/>
        <s v="EMP00077"/>
        <s v="EMP00078"/>
        <s v="EMP00079"/>
        <s v="EMP00080"/>
        <s v="EMP00081"/>
        <s v="EMP00082"/>
        <s v="EMP00083"/>
        <s v="EMP00084"/>
        <s v="EMP00085"/>
        <s v="EMP00086"/>
        <s v="EMP00087"/>
        <s v="EMP00088"/>
        <s v="EMP00089"/>
        <s v="EMP00090"/>
        <s v="EMP00091"/>
        <s v="EMP00092"/>
        <s v="EMP00093"/>
        <s v="EMP00094"/>
        <s v="EMP00095"/>
        <s v="EMP00096"/>
        <s v="EMP00097"/>
        <s v="EMP00098"/>
        <s v="EMP00099"/>
        <s v="EMP00100"/>
        <s v="EMP00101"/>
        <s v="EMP00102"/>
        <s v="EMP00103"/>
        <s v="EMP00104"/>
        <s v="EMP00105"/>
        <s v="EMP00106"/>
        <s v="EMP00107"/>
        <s v="EMP00108"/>
        <s v="EMP00109"/>
        <s v="EMP00110"/>
        <s v="EMP00111"/>
        <s v="EMP00112"/>
        <s v="EMP00113"/>
        <s v="EMP00114"/>
        <s v="EMP00115"/>
        <s v="EMP00116"/>
        <s v="EMP00117"/>
        <s v="EMP00118"/>
        <s v="EMP00119"/>
        <s v="EMP00120"/>
        <s v="EMP00121"/>
        <s v="EMP00122"/>
        <s v="EMP00123"/>
        <s v="EMP00124"/>
        <s v="EMP00125"/>
        <s v="EMP00126"/>
        <s v="EMP00127"/>
        <s v="EMP00128"/>
        <s v="EMP00129"/>
        <s v="EMP00130"/>
        <s v="EMP00131"/>
        <s v="EMP00132"/>
        <s v="EMP00133"/>
        <s v="EMP00134"/>
        <s v="EMP00135"/>
        <s v="EMP00136"/>
        <s v="EMP00137"/>
        <s v="EMP00138"/>
        <s v="EMP00139"/>
        <s v="EMP00140"/>
        <s v="EMP00141"/>
        <s v="EMP00142"/>
        <s v="EMP00143"/>
        <s v="EMP00144"/>
        <s v="EMP00145"/>
        <s v="EMP00146"/>
        <s v="EMP00147"/>
        <s v="EMP00148"/>
        <s v="EMP00149"/>
        <s v="EMP00150"/>
        <s v="EMP00151"/>
        <s v="EMP00152"/>
        <s v="EMP00153"/>
        <s v="EMP00154"/>
        <s v="EMP00155"/>
        <s v="EMP00156"/>
        <s v="EMP00157"/>
        <s v="EMP00158"/>
        <s v="EMP00159"/>
        <s v="EMP00160"/>
        <s v="EMP00161"/>
        <s v="EMP00162"/>
        <s v="EMP00163"/>
        <s v="EMP00164"/>
        <s v="EMP00165"/>
        <s v="EMP00166"/>
        <s v="EMP00167"/>
        <s v="EMP00168"/>
        <s v="EMP00169"/>
        <s v="EMP00170"/>
        <s v="EMP00171"/>
        <s v="EMP00172"/>
        <s v="EMP00173"/>
        <s v="EMP00174"/>
        <s v="EMP00175"/>
        <s v="EMP00176"/>
        <s v="EMP00177"/>
        <s v="EMP00178"/>
        <s v="EMP00179"/>
        <s v="EMP00180"/>
        <s v="EMP00181"/>
        <s v="EMP00182"/>
        <s v="EMP00183"/>
        <s v="EMP00184"/>
        <s v="EMP00185"/>
        <s v="EMP00186"/>
        <s v="EMP00187"/>
        <s v="EMP00188"/>
        <s v="EMP00189"/>
        <s v="EMP00190"/>
        <s v="EMP00191"/>
        <s v="EMP00192"/>
        <s v="EMP00193"/>
        <s v="EMP00194"/>
        <s v="EMP00195"/>
        <s v="EMP00196"/>
        <s v="EMP00197"/>
        <s v="EMP00198"/>
        <s v="EMP00199"/>
        <s v="EMP00200"/>
        <s v="EMP00201"/>
        <s v="EMP00202"/>
        <s v="EMP00203"/>
        <s v="EMP00204"/>
        <s v="EMP00205"/>
        <s v="EMP00206"/>
        <s v="EMP00207"/>
        <s v="EMP00208"/>
        <s v="EMP00209"/>
        <s v="EMP00210"/>
        <s v="EMP00211"/>
        <s v="EMP00212"/>
        <s v="EMP00213"/>
        <s v="EMP00214"/>
        <s v="EMP00215"/>
        <s v="EMP00216"/>
        <s v="EMP00217"/>
        <s v="EMP00218"/>
        <s v="EMP00219"/>
        <s v="EMP00220"/>
        <s v="EMP00221"/>
        <s v="EMP00222"/>
        <s v="EMP00223"/>
        <s v="EMP00224"/>
        <s v="EMP00225"/>
        <s v="EMP00226"/>
        <s v="EMP00227"/>
        <s v="EMP00228"/>
        <s v="EMP00229"/>
        <s v="EMP00230"/>
        <s v="EMP00231"/>
        <s v="EMP00232"/>
        <s v="EMP00233"/>
        <s v="EMP00234"/>
        <s v="EMP00235"/>
        <s v="EMP00236"/>
        <s v="EMP00237"/>
        <s v="EMP00238"/>
        <s v="EMP00239"/>
        <s v="EMP00240"/>
        <s v="EMP00241"/>
        <s v="EMP00242"/>
        <s v="EMP00243"/>
        <s v="EMP00244"/>
        <s v="EMP00245"/>
        <s v="EMP00246"/>
        <s v="EMP00247"/>
        <s v="EMP00248"/>
        <s v="EMP00249"/>
        <s v="EMP00250"/>
        <s v="EMP00251"/>
        <s v="EMP00252"/>
        <s v="EMP00253"/>
        <s v="EMP00254"/>
        <s v="EMP00255"/>
        <s v="EMP00256"/>
        <s v="EMP00257"/>
        <s v="EMP00258"/>
        <s v="EMP00259"/>
        <s v="EMP00260"/>
        <s v="EMP00261"/>
        <s v="EMP00262"/>
        <s v="EMP00263"/>
        <s v="EMP00264"/>
        <s v="EMP00265"/>
        <s v="EMP00266"/>
        <s v="EMP00267"/>
        <s v="EMP00268"/>
        <s v="EMP00269"/>
        <s v="EMP00270"/>
        <s v="EMP00271"/>
        <s v="EMP00272"/>
        <s v="EMP00273"/>
        <s v="EMP00274"/>
        <s v="EMP00275"/>
        <s v="EMP00276"/>
        <s v="EMP00277"/>
        <s v="EMP00278"/>
        <s v="EMP00279"/>
        <s v="EMP00280"/>
        <s v="EMP00281"/>
        <s v="EMP00282"/>
        <s v="EMP00283"/>
        <s v="EMP00284"/>
        <s v="EMP00285"/>
        <s v="EMP00286"/>
        <s v="EMP00287"/>
        <s v="EMP00288"/>
        <s v="EMP00289"/>
        <s v="EMP00290"/>
        <s v="EMP00291"/>
        <s v="EMP00292"/>
        <s v="EMP00293"/>
        <s v="EMP00294"/>
        <s v="EMP00295"/>
        <s v="EMP00296"/>
        <s v="EMP00297"/>
        <s v="EMP00298"/>
        <s v="EMP00299"/>
        <s v="EMP00300"/>
        <s v="EMP00301"/>
        <s v="EMP00302"/>
        <s v="EMP00303"/>
        <s v="EMP00304"/>
        <s v="EMP00305"/>
        <s v="EMP00306"/>
        <s v="EMP00307"/>
        <s v="EMP00308"/>
        <s v="EMP00309"/>
        <s v="EMP00310"/>
        <s v="EMP00311"/>
        <s v="EMP00312"/>
        <s v="EMP00313"/>
        <s v="EMP00314"/>
        <s v="EMP00315"/>
        <s v="EMP00316"/>
        <s v="EMP00317"/>
        <s v="EMP00318"/>
        <s v="EMP00319"/>
        <s v="EMP00320"/>
        <s v="EMP00321"/>
        <s v="EMP00322"/>
        <s v="EMP00323"/>
        <s v="EMP00324"/>
        <s v="EMP00325"/>
        <s v="EMP00326"/>
        <s v="EMP00327"/>
        <s v="EMP00328"/>
        <s v="EMP00329"/>
        <s v="EMP00330"/>
        <s v="EMP00331"/>
        <s v="EMP00332"/>
        <s v="EMP00333"/>
        <s v="EMP00334"/>
        <s v="EMP00335"/>
        <s v="EMP00336"/>
        <s v="EMP00337"/>
        <s v="EMP00338"/>
        <s v="EMP00339"/>
        <s v="EMP00340"/>
        <s v="EMP00341"/>
        <s v="EMP00342"/>
        <s v="EMP00343"/>
        <s v="EMP00344"/>
        <s v="EMP00345"/>
        <s v="EMP00346"/>
        <s v="EMP00347"/>
        <s v="EMP00348"/>
        <s v="EMP00349"/>
        <s v="EMP00350"/>
        <s v="EMP00351"/>
        <s v="EMP00352"/>
        <s v="EMP00353"/>
        <s v="EMP00354"/>
        <s v="EMP00355"/>
        <s v="EMP00356"/>
        <s v="EMP00357"/>
        <s v="EMP00358"/>
        <s v="EMP00359"/>
        <s v="EMP00360"/>
        <s v="EMP00361"/>
        <s v="EMP00362"/>
        <s v="EMP00363"/>
        <s v="EMP00364"/>
        <s v="EMP00365"/>
        <s v="EMP00366"/>
        <s v="EMP00367"/>
        <s v="EMP00368"/>
        <s v="EMP00369"/>
        <s v="EMP00370"/>
        <s v="EMP00371"/>
        <s v="EMP00372"/>
        <s v="EMP00373"/>
        <s v="EMP00374"/>
        <s v="EMP00375"/>
        <s v="EMP00376"/>
        <s v="EMP00377"/>
        <s v="EMP00378"/>
        <s v="EMP00379"/>
        <s v="EMP00380"/>
        <s v="EMP00381"/>
        <s v="EMP00382"/>
        <s v="EMP00383"/>
        <s v="EMP00384"/>
        <s v="EMP00385"/>
        <s v="EMP00386"/>
        <s v="EMP00387"/>
        <s v="EMP00388"/>
        <s v="EMP00389"/>
        <s v="EMP00390"/>
        <s v="EMP00391"/>
        <s v="EMP00392"/>
        <s v="EMP00393"/>
        <s v="EMP00394"/>
        <s v="EMP00395"/>
        <s v="EMP00396"/>
        <s v="EMP00397"/>
        <s v="EMP00398"/>
        <s v="EMP00399"/>
        <s v="EMP00400"/>
        <s v="EMP00401"/>
        <s v="EMP00402"/>
        <s v="EMP00403"/>
        <s v="EMP00404"/>
        <s v="EMP00405"/>
        <s v="EMP00406"/>
        <s v="EMP00407"/>
        <s v="EMP00408"/>
        <s v="EMP00409"/>
        <s v="EMP00410"/>
        <s v="EMP00411"/>
        <s v="EMP00412"/>
        <s v="EMP00413"/>
        <s v="EMP00414"/>
        <s v="EMP00415"/>
        <s v="EMP00416"/>
        <s v="EMP00417"/>
        <s v="EMP00418"/>
        <s v="EMP00419"/>
        <s v="EMP00420"/>
        <s v="EMP00421"/>
        <s v="EMP00422"/>
        <s v="EMP00423"/>
        <s v="EMP00424"/>
        <s v="EMP00425"/>
        <s v="EMP00426"/>
        <s v="EMP00427"/>
        <s v="EMP00428"/>
        <s v="EMP00429"/>
        <s v="EMP00430"/>
        <s v="EMP00431"/>
        <s v="EMP00432"/>
        <s v="EMP00433"/>
        <s v="EMP00434"/>
        <s v="EMP00435"/>
        <s v="EMP00436"/>
        <s v="EMP00437"/>
        <s v="EMP00438"/>
        <s v="EMP00439"/>
        <s v="EMP00440"/>
        <s v="EMP00441"/>
        <s v="EMP00442"/>
        <s v="EMP00443"/>
        <s v="EMP00444"/>
        <s v="EMP00445"/>
        <s v="EMP00446"/>
        <s v="EMP00447"/>
        <s v="EMP00448"/>
        <s v="EMP00449"/>
        <s v="EMP00450"/>
        <s v="EMP00451"/>
        <s v="EMP00452"/>
        <s v="EMP00453"/>
        <s v="EMP00454"/>
        <s v="EMP00455"/>
        <s v="EMP00456"/>
        <s v="EMP00457"/>
        <s v="EMP00458"/>
        <s v="EMP00459"/>
        <s v="EMP00460"/>
        <s v="EMP00461"/>
        <s v="EMP00462"/>
        <s v="EMP00463"/>
        <s v="EMP00464"/>
        <s v="EMP00465"/>
        <s v="EMP00466"/>
        <s v="EMP00467"/>
        <s v="EMP00468"/>
        <s v="EMP00469"/>
        <s v="EMP00470"/>
        <s v="EMP00471"/>
        <s v="EMP00472"/>
        <s v="EMP00473"/>
        <s v="EMP00474"/>
        <s v="EMP00475"/>
        <s v="EMP00476"/>
        <s v="EMP00477"/>
        <s v="EMP00478"/>
        <s v="EMP00479"/>
        <s v="EMP00480"/>
        <s v="EMP00481"/>
        <s v="EMP00482"/>
        <s v="EMP00483"/>
        <s v="EMP00484"/>
        <s v="EMP00485"/>
        <s v="EMP00486"/>
        <s v="EMP00487"/>
        <s v="EMP00488"/>
        <s v="EMP00489"/>
        <s v="EMP00490"/>
        <s v="EMP00491"/>
        <s v="EMP00492"/>
        <s v="EMP00493"/>
        <s v="EMP00494"/>
        <s v="EMP00495"/>
        <s v="EMP00496"/>
        <s v="EMP00497"/>
        <s v="EMP00498"/>
        <s v="EMP00499"/>
        <s v="EMP00500"/>
      </sharedItems>
    </cacheField>
    <cacheField name="Employee Name" numFmtId="0">
      <sharedItems count="343">
        <s v="Ram Gupta"/>
        <s v="Rohan Rao"/>
        <s v="Yash Upadhyay"/>
        <s v="Aryan Joshi"/>
        <s v="Karan Kapoor"/>
        <s v="Vikram Malhotra"/>
        <s v="Rinku Verma"/>
        <s v="Karan Gupta"/>
        <s v="Nisha Joshi"/>
        <s v="Yash Malhotra"/>
        <s v="Arun Singh"/>
        <s v="Neha Tiwari"/>
        <s v="Aryan Rao"/>
        <s v="Ishita Kumar"/>
        <s v="Anshul Patel"/>
        <s v="Rahul Khan"/>
        <s v="Vihaan Gupta"/>
        <s v="Neha Khan"/>
        <s v="Rohan Kumar"/>
        <s v="Ananya Kapoor"/>
        <s v="Arjun Sethi"/>
        <s v="Diya Khan"/>
        <s v="Meera Malhotra"/>
        <s v="Arjun Tiwari"/>
        <s v="Arjun Singh"/>
        <s v="Ishita Khan"/>
        <s v="Ishita Sethi"/>
        <s v="Sara Nair"/>
        <s v="Sara Patel"/>
        <s v="Ananya Singh"/>
        <s v="Pooja Sethi"/>
        <s v="Aditya Khan"/>
        <s v="Rohan Mehta"/>
        <s v="Aman Sethi"/>
        <s v="Arjun Dwivedi"/>
        <s v="Aman Dwivedi"/>
        <s v="Rahul Tiwari"/>
        <s v="Aryan Mehta"/>
        <s v="Aman Gupta"/>
        <s v="Vikram Kapoor"/>
        <s v="Arun Mishra"/>
        <s v="Ananya Kumar"/>
        <s v="Meera Dwivedi"/>
        <s v="Kabir Singh"/>
        <s v="Lakhan Kumar"/>
        <s v="Aarav Gupta"/>
        <s v="Aryan Nair"/>
        <s v="Divyansh Patel"/>
        <s v="Karan Rao"/>
        <s v="Ishita Joshi"/>
        <s v="Govind Joshi"/>
        <s v="Anshul Chauhan"/>
        <s v="Aman Khan"/>
        <s v="Satyam Chauhan"/>
        <s v="Sara Sharma"/>
        <s v="Vikram Tiwari"/>
        <s v="Govind Nair"/>
        <s v="Sara Malhotra"/>
        <s v="Meera Mehta"/>
        <s v="Govind Dwivedi"/>
        <s v="Aryan Sharma"/>
        <s v="Neha Upadhyay"/>
        <s v="Anshul Sharma"/>
        <s v="Aditi Mishra"/>
        <s v="Rahul Mishra"/>
        <s v="Yash Patel"/>
        <s v="Pooja Rao"/>
        <s v="Vihaan Tiwari"/>
        <s v="Rinku Kumar"/>
        <s v="Yash Nair"/>
        <s v="Aarav Upadhyay"/>
        <s v="Karan Nair"/>
        <s v="Pooja Sharma"/>
        <s v="Satyam Mishra"/>
        <s v="Karan Das"/>
        <s v="Yash Tiwari"/>
        <s v="Aditi Sharma"/>
        <s v="Pooja Gupta"/>
        <s v="Satyam Dwivedi"/>
        <s v="Vikram Mehta"/>
        <s v="Rinku Rao"/>
        <s v="Riya Nair"/>
        <s v="Ananya Nair"/>
        <s v="Vihaan Rao"/>
        <s v="Satyam Malhotra"/>
        <s v="Rohan Kapoor"/>
        <s v="Rahul Joshi"/>
        <s v="Rinku Sethi"/>
        <s v="Aditya Rao"/>
        <s v="Nisha Nair"/>
        <s v="Kabir Rao"/>
        <s v="Diya Joshi"/>
        <s v="Meera Gupta"/>
        <s v="Aarav Mishra"/>
        <s v="Pooja Das"/>
        <s v="Arun Verma"/>
        <s v="Aryan Upadhyay"/>
        <s v="Karan Upadhyay"/>
        <s v="Rohan Khan"/>
        <s v="Diya Sharma"/>
        <s v="Divyansh Joshi"/>
        <s v="Rinku Mehta"/>
        <s v="Aditi Nair"/>
        <s v="Arun Upadhyay"/>
        <s v="Pooja Chauhan"/>
        <s v="Arun Sethi"/>
        <s v="Govind Gupta"/>
        <s v="Aditya Mishra"/>
        <s v="Ananya Malhotra"/>
        <s v="Rahul Kapoor"/>
        <s v="Riya Kumar"/>
        <s v="Satyam Rao"/>
        <s v="Ishita Gupta"/>
        <s v="Rinku Khan"/>
        <s v="Aryan Malhotra"/>
        <s v="Vihaan Chauhan"/>
        <s v="Govind Sethi"/>
        <s v="Lakhan Mishra"/>
        <s v="Govind Kumar"/>
        <s v="Karan Kumar"/>
        <s v="Aditya Verma"/>
        <s v="Satyam Verma"/>
        <s v="Lakhan Gupta"/>
        <s v="Divyansh Singh"/>
        <s v="Rahul Nair"/>
        <s v="Karan Malhotra"/>
        <s v="Yash Khan"/>
        <s v="Riya Patel"/>
        <s v="Sara Khan"/>
        <s v="Ishita Malhotra"/>
        <s v="Satyam Kapoor"/>
        <s v="Anshul Singh"/>
        <s v="Aryan Verma"/>
        <s v="Divyansh Mishra"/>
        <s v="Ram Tiwari"/>
        <s v="Ram Malhotra"/>
        <s v="Riya Gupta"/>
        <s v="Nisha Gupta"/>
        <s v="Ishita Verma"/>
        <s v="Aditi Mehta"/>
        <s v="Aditya Das"/>
        <s v="Satyam Nair"/>
        <s v="Ishita Kapoor"/>
        <s v="Rohan Gupta"/>
        <s v="Riya Khan"/>
        <s v="Divyansh Rao"/>
        <s v="Rahul Upadhyay"/>
        <s v="Yash Sharma"/>
        <s v="Rinku Das"/>
        <s v="Kabir Dwivedi"/>
        <s v="Rahul Dwivedi"/>
        <s v="Yash Rao"/>
        <s v="Ananya Tiwari"/>
        <s v="Vikram Sethi"/>
        <s v="Ram Kapoor"/>
        <s v="Meera Kapoor"/>
        <s v="Divyansh Nair"/>
        <s v="Govind Malhotra"/>
        <s v="Aditya Nair"/>
        <s v="Vihaan Upadhyay"/>
        <s v="Aditi Verma"/>
        <s v="Meera Upadhyay"/>
        <s v="Riya Rao"/>
        <s v="Aarav Das"/>
        <s v="Anshul Nair"/>
        <s v="Divyansh Dwivedi"/>
        <s v="Sara Upadhyay"/>
        <s v="Vihaan Patel"/>
        <s v="Neha Kapoor"/>
        <s v="Rohan Patel"/>
        <s v="Lakhan Upadhyay"/>
        <s v="Rahul Verma"/>
        <s v="Arun Mehta"/>
        <s v="Aditi Das"/>
        <s v="Ishita Das"/>
        <s v="Sara Tiwari"/>
        <s v="Riya Malhotra"/>
        <s v="Arjun Mehta"/>
        <s v="Rohan Tiwari"/>
        <s v="Aryan Patel"/>
        <s v="Nisha Rao"/>
        <s v="Meera Sethi"/>
        <s v="Rahul Chauhan"/>
        <s v="Anshul Sethi"/>
        <s v="Kabir Das"/>
        <s v="Arun Tiwari"/>
        <s v="Arun Kumar"/>
        <s v="Aarav Dwivedi"/>
        <s v="Nisha Verma"/>
        <s v="Aditya Kapoor"/>
        <s v="Lakhan Das"/>
        <s v="Vihaan Mehta"/>
        <s v="Pooja Kapoor"/>
        <s v="Satyam Patel"/>
        <s v="Govind Mehta"/>
        <s v="Yash Singh"/>
        <s v="Anshul Malhotra"/>
        <s v="Divyansh Das"/>
        <s v="Aditya Upadhyay"/>
        <s v="Yash Verma"/>
        <s v="Vikram Mishra"/>
        <s v="Neha Das"/>
        <s v="Nisha Das"/>
        <s v="Vihaan Verma"/>
        <s v="Aman Patel"/>
        <s v="Meera Patel"/>
        <s v="Karan Verma"/>
        <s v="Riya Verma"/>
        <s v="Anshul Joshi"/>
        <s v="Anshul Mehta"/>
        <s v="Rinku Singh"/>
        <s v="Vihaan Dwivedi"/>
        <s v="Lakhan Kapoor"/>
        <s v="Karan Dwivedi"/>
        <s v="Vihaan Joshi"/>
        <s v="Aarav Verma"/>
        <s v="Aditi Singh"/>
        <s v="Aditi Malhotra"/>
        <s v="Arjun Malhotra"/>
        <s v="Aditya Chauhan"/>
        <s v="Rahul Das"/>
        <s v="Diya Malhotra"/>
        <s v="Pooja Upadhyay"/>
        <s v="Divyansh Upadhyay"/>
        <s v="Ananya Joshi"/>
        <s v="Rinku Joshi"/>
        <s v="Riya Tiwari"/>
        <s v="Vihaan Mishra"/>
        <s v="Riya Mehta"/>
        <s v="Ram Upadhyay"/>
        <s v="Ishita Singh"/>
        <s v="Aman Rao"/>
        <s v="Arun Malhotra"/>
        <s v="Pooja Kumar"/>
        <s v="Diya Das"/>
        <s v="Aarav Khan"/>
        <s v="Aman Upadhyay"/>
        <s v="Ananya Das"/>
        <s v="Ananya Mehta"/>
        <s v="Yash Dwivedi"/>
        <s v="Vikram Upadhyay"/>
        <s v="Diya Tiwari"/>
        <s v="Arjun Chauhan"/>
        <s v="Kabir Sharma"/>
        <s v="Govind Mishra"/>
        <s v="Aryan Khan"/>
        <s v="Rohan Singh"/>
        <s v="Sara Mehta"/>
        <s v="Aditi Kapoor"/>
        <s v="Aditya Patel"/>
        <s v="Aryan Das"/>
        <s v="Rohan Joshi"/>
        <s v="Kabir Kapoor"/>
        <s v="Vikram Joshi"/>
        <s v="Ram Kumar"/>
        <s v="Lakhan Sethi"/>
        <s v="Ram Mishra"/>
        <s v="Anshul Dwivedi"/>
        <s v="Rohan Dwivedi"/>
        <s v="Nisha Malhotra"/>
        <s v="Karan Singh"/>
        <s v="Rohan Upadhyay"/>
        <s v="Ishita Upadhyay"/>
        <s v="Aarav Mehta"/>
        <s v="Diya Nair"/>
        <s v="Kabir Mehta"/>
        <s v="Kabir Nair"/>
        <s v="Ram Sethi"/>
        <s v="Aarav Malhotra"/>
        <s v="Arun Dwivedi"/>
        <s v="Aman Malhotra"/>
        <s v="Anshul Verma"/>
        <s v="Ishita Chauhan"/>
        <s v="Meera Nair"/>
        <s v="Yash Joshi"/>
        <s v="Ram Das"/>
        <s v="Karan Tiwari"/>
        <s v="Diya Patel"/>
        <s v="Divyansh Verma"/>
        <s v="Yash Gupta"/>
        <s v="Aman Verma"/>
        <s v="Diya Kapoor"/>
        <s v="Diya Sethi"/>
        <s v="Rahul Sethi"/>
        <s v="Arjun Upadhyay"/>
        <s v="Yash Mishra"/>
        <s v="Lakhan Nair"/>
        <s v="Rinku Tiwari"/>
        <s v="Ram Khan"/>
        <s v="Sara Joshi"/>
        <s v="Aman Kumar"/>
        <s v="Anshul Das"/>
        <s v="Nisha Khan"/>
        <s v="Meera Rao"/>
        <s v="Arjun Kumar"/>
        <s v="Arjun Gupta"/>
        <s v="Ram Joshi"/>
        <s v="Aryan Gupta"/>
        <s v="Pooja Malhotra"/>
        <s v="Nisha Tiwari"/>
        <s v="Anshul Mishra"/>
        <s v="Lakhan Verma"/>
        <s v="Vikram Nair"/>
        <s v="Aarav Kumar"/>
        <s v="Divyansh Khan"/>
        <s v="Vihaan Nair"/>
        <s v="Nisha Patel"/>
        <s v="Diya Singh"/>
        <s v="Neha Singh"/>
        <s v="Karan Mehta"/>
        <s v="Aarav Rao"/>
        <s v="Aditya Mehta"/>
        <s v="Meera Khan"/>
        <s v="Yash Das"/>
        <s v="Yash Mehta"/>
        <s v="Ananya Sharma"/>
        <s v="Govind Verma"/>
        <s v="Aditi Patel"/>
        <s v="Yash Kumar"/>
        <s v="Neha Mishra"/>
        <s v="Riya Sethi"/>
        <s v="Nisha Upadhyay"/>
        <s v="Riya Singh"/>
        <s v="Aarav Tiwari"/>
        <s v="Arjun Kapoor"/>
        <s v="Ram Sharma"/>
        <s v="Vikram Dwivedi"/>
        <s v="Ram Verma"/>
        <s v="Govind Tiwari"/>
        <s v="Ram Nair"/>
        <s v="Aditya Gupta"/>
        <s v="Meera Sharma"/>
        <s v="Neha Malhotra"/>
        <s v="Neha Sethi"/>
        <s v="Pooja Khan"/>
        <s v="Nisha Mishra"/>
        <s v="Karan Mishra"/>
        <s v="Satyam Sethi"/>
        <s v="Vikram Khan"/>
        <s v="Meera Chauhan"/>
        <s v="Nisha Sethi"/>
        <s v="Nisha Kapoor"/>
        <s v="Diya Dwivedi"/>
      </sharedItems>
    </cacheField>
    <cacheField name="Department" numFmtId="0">
      <sharedItems count="10">
        <s v="HR"/>
        <s v="R&amp;D"/>
        <s v="Sales"/>
        <s v="Operations"/>
        <s v="Logistics"/>
        <s v="IT"/>
        <s v="Customer Support"/>
        <s v="Marketing"/>
        <s v="Administration"/>
        <s v="Finance"/>
      </sharedItems>
    </cacheField>
    <cacheField name="Job Role" numFmtId="0">
      <sharedItems count="46">
        <s v="HR Executive"/>
        <s v="Research Analyst"/>
        <s v="Sales Executive"/>
        <s v="Operations Executive"/>
        <s v="Warehouse Manager"/>
        <s v="Payroll Executive"/>
        <s v="System Administrator"/>
        <s v="Customer Success Analyst"/>
        <s v="Sales Analyst"/>
        <s v="Operations Analyst"/>
        <s v="Brand Manager"/>
        <s v="Product Researcher"/>
        <s v="Innovation Analyst"/>
        <s v="Support Executive"/>
        <s v="Account Manager"/>
        <s v="Research Engineer"/>
        <s v="Operations Manager"/>
        <s v="Sales Manager"/>
        <s v="UI/UX Designer"/>
        <s v="Marketing Executive"/>
        <s v="Office Manager"/>
        <s v="Support Manager"/>
        <s v="Admin Executive"/>
        <s v="SEO Specialist"/>
        <s v="Admin Assistant"/>
        <s v="Recruiter"/>
        <s v="Content Strategist"/>
        <s v="HR Manager"/>
        <s v="Financial Analyst"/>
        <s v="Training Specialist"/>
        <s v="Software Engineer"/>
        <s v="Auditor"/>
        <s v="Data Analyst"/>
        <s v="Facility Coordinator"/>
        <s v="Service Executive"/>
        <s v="DevOps Engineer"/>
        <s v="Supply Chain Analyst"/>
        <s v="Transport Coordinator"/>
        <s v="Business Development Executive"/>
        <s v="Finance Manager"/>
        <s v="Process Analyst"/>
        <s v="Logistics Executive"/>
        <s v="Digital Marketing Analyst"/>
        <s v="Payroll Analyst"/>
        <s v="Accountant"/>
        <s v="QA Engineer"/>
      </sharedItems>
    </cacheField>
    <cacheField name="Gender" numFmtId="0">
      <sharedItems count="2">
        <s v="Female"/>
        <s v="Male"/>
      </sharedItems>
    </cacheField>
    <cacheField name="Age" numFmtId="0">
      <sharedItems containsSemiMixedTypes="0" containsString="0" containsNumber="1" containsInteger="1" minValue="21" maxValue="58"/>
    </cacheField>
    <cacheField name="Monthly Salary" numFmtId="0">
      <sharedItems containsSemiMixedTypes="0" containsString="0" containsNumber="1" containsInteger="1" minValue="28053" maxValue="124180" count="499">
        <n v="46289"/>
        <n v="40280"/>
        <n v="56893"/>
        <n v="64421"/>
        <n v="75052"/>
        <n v="44361"/>
        <n v="53203"/>
        <n v="58512"/>
        <n v="76520"/>
        <n v="49417"/>
        <n v="58021"/>
        <n v="102341"/>
        <n v="62718"/>
        <n v="75447"/>
        <n v="48033"/>
        <n v="89348"/>
        <n v="112012"/>
        <n v="122646"/>
        <n v="107818"/>
        <n v="30552"/>
        <n v="38322"/>
        <n v="100063"/>
        <n v="121447"/>
        <n v="57451"/>
        <n v="28942"/>
        <n v="95391"/>
        <n v="89953"/>
        <n v="74438"/>
        <n v="123448"/>
        <n v="46373"/>
        <n v="100132"/>
        <n v="81269"/>
        <n v="28282"/>
        <n v="48289"/>
        <n v="34572"/>
        <n v="52356"/>
        <n v="60271"/>
        <n v="102085"/>
        <n v="79876"/>
        <n v="109416"/>
        <n v="45361"/>
        <n v="85433"/>
        <n v="114951"/>
        <n v="63697"/>
        <n v="92032"/>
        <n v="71719"/>
        <n v="101519"/>
        <n v="100420"/>
        <n v="74898"/>
        <n v="49299"/>
        <n v="115806"/>
        <n v="89694"/>
        <n v="31101"/>
        <n v="74025"/>
        <n v="51405"/>
        <n v="85199"/>
        <n v="120901"/>
        <n v="115062"/>
        <n v="68538"/>
        <n v="53144"/>
        <n v="28053"/>
        <n v="85954"/>
        <n v="95561"/>
        <n v="54100"/>
        <n v="82321"/>
        <n v="47342"/>
        <n v="88889"/>
        <n v="115500"/>
        <n v="99810"/>
        <n v="96327"/>
        <n v="63614"/>
        <n v="78205"/>
        <n v="99121"/>
        <n v="119163"/>
        <n v="79116"/>
        <n v="85125"/>
        <n v="44728"/>
        <n v="45786"/>
        <n v="55742"/>
        <n v="38735"/>
        <n v="113426"/>
        <n v="44544"/>
        <n v="49992"/>
        <n v="31365"/>
        <n v="105607"/>
        <n v="73508"/>
        <n v="92251"/>
        <n v="124180"/>
        <n v="63179"/>
        <n v="102691"/>
        <n v="91904"/>
        <n v="29330"/>
        <n v="59499"/>
        <n v="57045"/>
        <n v="97588"/>
        <n v="68189"/>
        <n v="118461"/>
        <n v="106222"/>
        <n v="67618"/>
        <n v="66290"/>
        <n v="89524"/>
        <n v="42953"/>
        <n v="47887"/>
        <n v="82548"/>
        <n v="66974"/>
        <n v="109987"/>
        <n v="37838"/>
        <n v="58340"/>
        <n v="114662"/>
        <n v="46643"/>
        <n v="89433"/>
        <n v="106385"/>
        <n v="116381"/>
        <n v="50962"/>
        <n v="111202"/>
        <n v="70081"/>
        <n v="114846"/>
        <n v="70372"/>
        <n v="52586"/>
        <n v="63003"/>
        <n v="110578"/>
        <n v="40217"/>
        <n v="94698"/>
        <n v="100255"/>
        <n v="82387"/>
        <n v="104011"/>
        <n v="100340"/>
        <n v="102946"/>
        <n v="78604"/>
        <n v="71515"/>
        <n v="81736"/>
        <n v="118794"/>
        <n v="32705"/>
        <n v="40903"/>
        <n v="70516"/>
        <n v="60007"/>
        <n v="107887"/>
        <n v="58433"/>
        <n v="116815"/>
        <n v="111746"/>
        <n v="41979"/>
        <n v="114275"/>
        <n v="58162"/>
        <n v="110242"/>
        <n v="123991"/>
        <n v="45322"/>
        <n v="66684"/>
        <n v="116647"/>
        <n v="62663"/>
        <n v="111695"/>
        <n v="107964"/>
        <n v="33943"/>
        <n v="45781"/>
        <n v="92139"/>
        <n v="86287"/>
        <n v="64160"/>
        <n v="71713"/>
        <n v="104858"/>
        <n v="45038"/>
        <n v="74955"/>
        <n v="34868"/>
        <n v="75453"/>
        <n v="67535"/>
        <n v="92260"/>
        <n v="44540"/>
        <n v="87469"/>
        <n v="84370"/>
        <n v="123631"/>
        <n v="118023"/>
        <n v="40656"/>
        <n v="101620"/>
        <n v="106696"/>
        <n v="57392"/>
        <n v="57643"/>
        <n v="63818"/>
        <n v="102228"/>
        <n v="56197"/>
        <n v="122581"/>
        <n v="108981"/>
        <n v="85939"/>
        <n v="42534"/>
        <n v="106554"/>
        <n v="65938"/>
        <n v="77834"/>
        <n v="85176"/>
        <n v="120995"/>
        <n v="50527"/>
        <n v="59891"/>
        <n v="57041"/>
        <n v="53415"/>
        <n v="61550"/>
        <n v="88811"/>
        <n v="85640"/>
        <n v="74129"/>
        <n v="76331"/>
        <n v="100655"/>
        <n v="47773"/>
        <n v="33130"/>
        <n v="78779"/>
        <n v="40387"/>
        <n v="104380"/>
        <n v="120908"/>
        <n v="40249"/>
        <n v="51627"/>
        <n v="38114"/>
        <n v="77377"/>
        <n v="81852"/>
        <n v="59348"/>
        <n v="78052"/>
        <n v="34839"/>
        <n v="49012"/>
        <n v="87130"/>
        <n v="77015"/>
        <n v="40987"/>
        <n v="119235"/>
        <n v="61544"/>
        <n v="67472"/>
        <n v="93513"/>
        <n v="84261"/>
        <n v="96614"/>
        <n v="111318"/>
        <n v="59604"/>
        <n v="99567"/>
        <n v="121853"/>
        <n v="33492"/>
        <n v="112790"/>
        <n v="76237"/>
        <n v="118710"/>
        <n v="84440"/>
        <n v="70981"/>
        <n v="74077"/>
        <n v="115973"/>
        <n v="116878"/>
        <n v="75467"/>
        <n v="76760"/>
        <n v="113139"/>
        <n v="78723"/>
        <n v="108199"/>
        <n v="50630"/>
        <n v="99063"/>
        <n v="43907"/>
        <n v="103009"/>
        <n v="80187"/>
        <n v="44426"/>
        <n v="111859"/>
        <n v="48056"/>
        <n v="65230"/>
        <n v="108534"/>
        <n v="72252"/>
        <n v="62688"/>
        <n v="65967"/>
        <n v="37564"/>
        <n v="54741"/>
        <n v="45139"/>
        <n v="44059"/>
        <n v="78351"/>
        <n v="122519"/>
        <n v="93191"/>
        <n v="74254"/>
        <n v="29071"/>
        <n v="75964"/>
        <n v="65827"/>
        <n v="40672"/>
        <n v="94731"/>
        <n v="90094"/>
        <n v="69750"/>
        <n v="97774"/>
        <n v="116317"/>
        <n v="113929"/>
        <n v="50349"/>
        <n v="119818"/>
        <n v="82127"/>
        <n v="55176"/>
        <n v="97878"/>
        <n v="64569"/>
        <n v="69555"/>
        <n v="116686"/>
        <n v="65700"/>
        <n v="54485"/>
        <n v="108698"/>
        <n v="111616"/>
        <n v="117285"/>
        <n v="90580"/>
        <n v="113498"/>
        <n v="32763"/>
        <n v="67110"/>
        <n v="96723"/>
        <n v="71343"/>
        <n v="102420"/>
        <n v="70982"/>
        <n v="60512"/>
        <n v="67576"/>
        <n v="115528"/>
        <n v="118477"/>
        <n v="48078"/>
        <n v="60435"/>
        <n v="38237"/>
        <n v="47641"/>
        <n v="92071"/>
        <n v="82450"/>
        <n v="79897"/>
        <n v="73158"/>
        <n v="65629"/>
        <n v="77479"/>
        <n v="98419"/>
        <n v="88686"/>
        <n v="73371"/>
        <n v="30050"/>
        <n v="116083"/>
        <n v="98747"/>
        <n v="69799"/>
        <n v="56972"/>
        <n v="92962"/>
        <n v="67306"/>
        <n v="120743"/>
        <n v="97467"/>
        <n v="86954"/>
        <n v="77436"/>
        <n v="122936"/>
        <n v="30009"/>
        <n v="59369"/>
        <n v="68425"/>
        <n v="69973"/>
        <n v="57002"/>
        <n v="53715"/>
        <n v="61728"/>
        <n v="46344"/>
        <n v="37742"/>
        <n v="120690"/>
        <n v="108980"/>
        <n v="100305"/>
        <n v="30246"/>
        <n v="59584"/>
        <n v="38357"/>
        <n v="113686"/>
        <n v="90390"/>
        <n v="102167"/>
        <n v="90324"/>
        <n v="30052"/>
        <n v="101919"/>
        <n v="93639"/>
        <n v="72642"/>
        <n v="87054"/>
        <n v="114595"/>
        <n v="63123"/>
        <n v="39995"/>
        <n v="39442"/>
        <n v="74388"/>
        <n v="82238"/>
        <n v="46198"/>
        <n v="84973"/>
        <n v="60321"/>
        <n v="67932"/>
        <n v="84441"/>
        <n v="69180"/>
        <n v="70714"/>
        <n v="105624"/>
        <n v="66185"/>
        <n v="61119"/>
        <n v="90814"/>
        <n v="105833"/>
        <n v="33806"/>
        <n v="61913"/>
        <n v="88694"/>
        <n v="41703"/>
        <n v="72966"/>
        <n v="85431"/>
        <n v="30960"/>
        <n v="100339"/>
        <n v="110543"/>
        <n v="105621"/>
        <n v="120243"/>
        <n v="53830"/>
        <n v="79451"/>
        <n v="108541"/>
        <n v="43328"/>
        <n v="46070"/>
        <n v="100733"/>
        <n v="109187"/>
        <n v="101607"/>
        <n v="49922"/>
        <n v="57470"/>
        <n v="42838"/>
        <n v="122238"/>
        <n v="32224"/>
        <n v="55509"/>
        <n v="55124"/>
        <n v="70421"/>
        <n v="45771"/>
        <n v="47168"/>
        <n v="110890"/>
        <n v="95582"/>
        <n v="28324"/>
        <n v="56551"/>
        <n v="99737"/>
        <n v="41051"/>
        <n v="28088"/>
        <n v="113798"/>
        <n v="109999"/>
        <n v="90496"/>
        <n v="119173"/>
        <n v="78209"/>
        <n v="78164"/>
        <n v="74030"/>
        <n v="41168"/>
        <n v="46327"/>
        <n v="54928"/>
        <n v="59370"/>
        <n v="29581"/>
        <n v="117514"/>
        <n v="56277"/>
        <n v="38803"/>
        <n v="111138"/>
        <n v="39300"/>
        <n v="43655"/>
        <n v="95793"/>
        <n v="31847"/>
        <n v="110251"/>
        <n v="49873"/>
        <n v="28336"/>
        <n v="47671"/>
        <n v="82559"/>
        <n v="116254"/>
        <n v="88960"/>
        <n v="29044"/>
        <n v="76270"/>
        <n v="81744"/>
        <n v="114154"/>
        <n v="35850"/>
        <n v="119861"/>
        <n v="111521"/>
        <n v="59034"/>
        <n v="63645"/>
        <n v="49544"/>
        <n v="55215"/>
        <n v="117922"/>
        <n v="121212"/>
        <n v="32073"/>
        <n v="46322"/>
        <n v="76790"/>
        <n v="53919"/>
        <n v="88423"/>
        <n v="78165"/>
        <n v="64681"/>
        <n v="82000"/>
        <n v="45987"/>
        <n v="90873"/>
        <n v="31416"/>
        <n v="97393"/>
        <n v="62934"/>
        <n v="51081"/>
        <n v="101873"/>
        <n v="32975"/>
        <n v="90650"/>
        <n v="70413"/>
        <n v="75826"/>
        <n v="45884"/>
        <n v="74769"/>
        <n v="51292"/>
        <n v="69709"/>
        <n v="71406"/>
        <n v="120925"/>
        <n v="118855"/>
        <n v="85438"/>
        <n v="99568"/>
        <n v="32379"/>
        <n v="50296"/>
        <n v="108431"/>
        <n v="35019"/>
        <n v="62768"/>
        <n v="102943"/>
        <n v="39485"/>
        <n v="50391"/>
        <n v="89727"/>
        <n v="77996"/>
        <n v="62524"/>
        <n v="115574"/>
        <n v="82870"/>
        <n v="79747"/>
        <n v="49910"/>
        <n v="54465"/>
        <n v="78868"/>
        <n v="29620"/>
        <n v="47424"/>
        <n v="65498"/>
        <n v="102976"/>
        <n v="109034"/>
        <n v="90287"/>
        <n v="64745"/>
        <n v="70056"/>
        <n v="81368"/>
        <n v="36600"/>
        <n v="54309"/>
        <n v="120357"/>
        <n v="59711"/>
        <n v="100264"/>
        <n v="78667"/>
        <n v="63269"/>
        <n v="112852"/>
      </sharedItems>
    </cacheField>
    <cacheField name="Years at Company" numFmtId="0">
      <sharedItems containsSemiMixedTypes="0" containsString="0" containsNumber="1" minValue="0.8" maxValue="7.7" count="70">
        <n v="5.2"/>
        <n v="7.4"/>
        <n v="3"/>
        <n v="3.9"/>
        <n v="6.7"/>
        <n v="1.7"/>
        <n v="1.3"/>
        <n v="6.9"/>
        <n v="5.9"/>
        <n v="5"/>
        <n v="7.1"/>
        <n v="5.4"/>
        <n v="6.1"/>
        <n v="3.3"/>
        <n v="6.5"/>
        <n v="1.1000000000000001"/>
        <n v="4.8"/>
        <n v="7.7"/>
        <n v="2.1"/>
        <n v="2.2999999999999998"/>
        <n v="1.4"/>
        <n v="2.4"/>
        <n v="5.5"/>
        <n v="5.3"/>
        <n v="7"/>
        <n v="2.9"/>
        <n v="3.2"/>
        <n v="2.7"/>
        <n v="2.8"/>
        <n v="3.5"/>
        <n v="6.8"/>
        <n v="1.2"/>
        <n v="2.6"/>
        <n v="6"/>
        <n v="4.4000000000000004"/>
        <n v="7.3"/>
        <n v="5.0999999999999996"/>
        <n v="3.1"/>
        <n v="4.5999999999999996"/>
        <n v="4.2"/>
        <n v="7.2"/>
        <n v="6.3"/>
        <n v="1.6"/>
        <n v="1.9"/>
        <n v="2.5"/>
        <n v="4"/>
        <n v="4.7"/>
        <n v="4.0999999999999996"/>
        <n v="4.9000000000000004"/>
        <n v="3.6"/>
        <n v="5.8"/>
        <n v="5.7"/>
        <n v="1.5"/>
        <n v="6.4"/>
        <n v="4.5"/>
        <n v="0.8"/>
        <n v="7.5"/>
        <n v="3.7"/>
        <n v="7.6"/>
        <n v="6.2"/>
        <n v="6.6"/>
        <n v="1.8"/>
        <n v="4.3"/>
        <n v="0.9"/>
        <n v="2"/>
        <n v="2.2000000000000002"/>
        <n v="1"/>
        <n v="3.8"/>
        <n v="3.4"/>
        <n v="5.6"/>
      </sharedItems>
    </cacheField>
    <cacheField name="Job Satisfaction" numFmtId="0">
      <sharedItems containsSemiMixedTypes="0" containsString="0" containsNumber="1" containsInteger="1" minValue="1" maxValue="5" count="5">
        <n v="2"/>
        <n v="5"/>
        <n v="4"/>
        <n v="3"/>
        <n v="1"/>
      </sharedItems>
    </cacheField>
    <cacheField name="Work-Life Balance" numFmtId="0">
      <sharedItems containsSemiMixedTypes="0" containsString="0" containsNumber="1" containsInteger="1" minValue="1" maxValue="5" count="5">
        <n v="2"/>
        <n v="4"/>
        <n v="1"/>
        <n v="3"/>
        <n v="5"/>
      </sharedItems>
    </cacheField>
    <cacheField name="Overtime" numFmtId="0">
      <sharedItems count="2">
        <s v="Yes"/>
        <s v="No"/>
      </sharedItems>
    </cacheField>
    <cacheField name="Attrition Status" numFmtId="0">
      <sharedItems count="2">
        <s v="Active"/>
        <s v="Exited"/>
      </sharedItems>
    </cacheField>
    <cacheField name="Exit Reason" numFmtId="0">
      <sharedItems containsBlank="1" count="9">
        <m/>
        <s v="Better Opportunity"/>
        <s v="Career Growth"/>
        <s v="Relocation"/>
        <s v="Work Pressure"/>
        <s v="Compensation"/>
        <s v="Personal Reasons"/>
        <s v="Higher Studies"/>
        <s v="Management"/>
      </sharedItems>
    </cacheField>
    <cacheField name="Exit Date" numFmtId="0">
      <sharedItems containsNonDate="0" containsDate="1" containsString="0" containsBlank="1" minDate="2024-01-11T00:00:00" maxDate="2026-09-19T00:00:00" count="49">
        <m/>
        <d v="2024-06-26T00:00:00"/>
        <d v="2024-01-11T00:00:00"/>
        <d v="2024-07-28T00:00:00"/>
        <d v="2026-03-21T00:00:00"/>
        <d v="2024-01-17T00:00:00"/>
        <d v="2026-07-14T00:00:00"/>
        <d v="2025-01-03T00:00:00"/>
        <d v="2024-02-18T00:00:00"/>
        <d v="2025-04-20T00:00:00"/>
        <d v="2024-03-23T00:00:00"/>
        <d v="2025-08-10T00:00:00"/>
        <d v="2025-02-01T00:00:00"/>
        <d v="2024-05-24T00:00:00"/>
        <d v="2024-06-16T00:00:00"/>
        <d v="2026-06-15T00:00:00"/>
        <d v="2026-08-16T00:00:00"/>
        <d v="2025-10-08T00:00:00"/>
        <d v="2025-02-11T00:00:00"/>
        <d v="2025-07-11T00:00:00"/>
        <d v="2024-08-05T00:00:00"/>
        <d v="2026-09-18T00:00:00"/>
        <d v="2025-12-09T00:00:00"/>
        <d v="2025-08-01T00:00:00"/>
        <d v="2025-08-24T00:00:00"/>
        <d v="2026-09-08T00:00:00"/>
        <d v="2026-07-25T00:00:00"/>
        <d v="2026-05-17T00:00:00"/>
        <d v="2025-12-25T00:00:00"/>
        <d v="2025-05-09T00:00:00"/>
        <d v="2024-11-08T00:00:00"/>
        <d v="2025-07-13T00:00:00"/>
        <d v="2025-04-21T00:00:00"/>
        <d v="2025-05-21T00:00:00"/>
        <d v="2025-04-17T00:00:00"/>
        <d v="2025-11-14T00:00:00"/>
        <d v="2025-07-15T00:00:00"/>
        <d v="2025-06-17T00:00:00"/>
        <d v="2026-03-25T00:00:00"/>
        <d v="2026-08-01T00:00:00"/>
        <d v="2024-04-08T00:00:00"/>
        <d v="2024-10-28T00:00:00"/>
        <d v="2025-09-08T00:00:00"/>
        <d v="2024-04-01T00:00:00"/>
        <d v="2026-01-23T00:00:00"/>
        <d v="2025-02-13T00:00:00"/>
        <d v="2025-09-17T00:00:00"/>
        <d v="2026-04-06T00:00:00"/>
        <d v="2025-12-07T00:00:00"/>
      </sharedItems>
    </cacheField>
  </cacheFields>
  <extLst>
    <ext xmlns:x14="http://schemas.microsoft.com/office/spreadsheetml/2009/9/main" uri="{725AE2AE-9491-48be-B2B4-4EB974FC3084}">
      <x14:pivotCacheDefinition pivotCacheId="3"/>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6303.905070023146" createdVersion="4" refreshedVersion="4" minRefreshableVersion="3" recordCount="500">
  <cacheSource type="worksheet">
    <worksheetSource name="Table2"/>
  </cacheSource>
  <cacheFields count="12">
    <cacheField name="Employee ID" numFmtId="0">
      <sharedItems/>
    </cacheField>
    <cacheField name="Employee Name" numFmtId="0">
      <sharedItems/>
    </cacheField>
    <cacheField name="Department" numFmtId="0">
      <sharedItems count="10">
        <s v="HR"/>
        <s v="R&amp;D"/>
        <s v="Sales"/>
        <s v="Operations"/>
        <s v="Logistics"/>
        <s v="IT"/>
        <s v="Customer Support"/>
        <s v="Marketing"/>
        <s v="Administration"/>
        <s v="Finance"/>
      </sharedItems>
    </cacheField>
    <cacheField name="Job Role" numFmtId="0">
      <sharedItems count="46">
        <s v="HR Executive"/>
        <s v="Research Analyst"/>
        <s v="Sales Executive"/>
        <s v="Operations Executive"/>
        <s v="Warehouse Manager"/>
        <s v="Payroll Executive"/>
        <s v="System Administrator"/>
        <s v="Customer Success Analyst"/>
        <s v="Sales Analyst"/>
        <s v="Operations Analyst"/>
        <s v="Brand Manager"/>
        <s v="Product Researcher"/>
        <s v="Innovation Analyst"/>
        <s v="Support Executive"/>
        <s v="Account Manager"/>
        <s v="Research Engineer"/>
        <s v="Operations Manager"/>
        <s v="Sales Manager"/>
        <s v="UI/UX Designer"/>
        <s v="Marketing Executive"/>
        <s v="Office Manager"/>
        <s v="Support Manager"/>
        <s v="Admin Executive"/>
        <s v="SEO Specialist"/>
        <s v="Admin Assistant"/>
        <s v="Recruiter"/>
        <s v="Content Strategist"/>
        <s v="HR Manager"/>
        <s v="Financial Analyst"/>
        <s v="Training Specialist"/>
        <s v="Software Engineer"/>
        <s v="Auditor"/>
        <s v="Data Analyst"/>
        <s v="Facility Coordinator"/>
        <s v="Service Executive"/>
        <s v="DevOps Engineer"/>
        <s v="Supply Chain Analyst"/>
        <s v="Transport Coordinator"/>
        <s v="Business Development Executive"/>
        <s v="Finance Manager"/>
        <s v="Process Analyst"/>
        <s v="Logistics Executive"/>
        <s v="Digital Marketing Analyst"/>
        <s v="Payroll Analyst"/>
        <s v="Accountant"/>
        <s v="QA Engineer"/>
      </sharedItems>
    </cacheField>
    <cacheField name="Experience (Years)" numFmtId="0">
      <sharedItems containsSemiMixedTypes="0" containsString="0" containsNumber="1" minValue="0.8" maxValue="7.7"/>
    </cacheField>
    <cacheField name="Monthly Salary" numFmtId="0">
      <sharedItems containsSemiMixedTypes="0" containsString="0" containsNumber="1" containsInteger="1" minValue="28053" maxValue="124180"/>
    </cacheField>
    <cacheField name="Annual Salary" numFmtId="0">
      <sharedItems containsSemiMixedTypes="0" containsString="0" containsNumber="1" containsInteger="1" minValue="336636" maxValue="1490160"/>
    </cacheField>
    <cacheField name="Bonus %" numFmtId="0">
      <sharedItems containsSemiMixedTypes="0" containsString="0" containsNumber="1" minValue="4.0999999999999996" maxValue="18"/>
    </cacheField>
    <cacheField name="Annual Bonus" numFmtId="0">
      <sharedItems containsSemiMixedTypes="0" containsString="0" containsNumber="1" containsInteger="1" minValue="15134" maxValue="264034"/>
    </cacheField>
    <cacheField name="Total Compensation" numFmtId="0">
      <sharedItems containsSemiMixedTypes="0" containsString="0" containsNumber="1" containsInteger="1" minValue="367094" maxValue="1730890"/>
    </cacheField>
    <cacheField name="Salary Grade" numFmtId="0">
      <sharedItems count="6">
        <s v="G6"/>
        <s v="G4"/>
        <s v="G2"/>
        <s v="G5"/>
        <s v="G1"/>
        <s v="G3"/>
      </sharedItems>
    </cacheField>
    <cacheField name="Last Increment %" numFmtId="0">
      <sharedItems containsSemiMixedTypes="0" containsString="0" containsNumber="1" minValue="3" maxValue="15"/>
    </cacheField>
  </cacheFields>
  <extLst>
    <ext xmlns:x14="http://schemas.microsoft.com/office/spreadsheetml/2009/9/main" uri="{725AE2AE-9491-48be-B2B4-4EB974FC3084}">
      <x14:pivotCacheDefinition pivotCacheId="4"/>
    </ext>
  </extLst>
</pivotCacheDefinition>
</file>

<file path=xl/pivotCache/pivotCacheDefinition4.xml><?xml version="1.0" encoding="utf-8"?>
<pivotCacheDefinition xmlns="http://schemas.openxmlformats.org/spreadsheetml/2006/main" xmlns:r="http://schemas.openxmlformats.org/officeDocument/2006/relationships" r:id="rId1" refreshedBy="USER" refreshedDate="46303.913022916669" createdVersion="4" refreshedVersion="4" minRefreshableVersion="3" recordCount="500">
  <cacheSource type="worksheet">
    <worksheetSource name="Table5"/>
  </cacheSource>
  <cacheFields count="14">
    <cacheField name="Plan ID" numFmtId="0">
      <sharedItems containsBlank="1"/>
    </cacheField>
    <cacheField name="Year" numFmtId="0">
      <sharedItems containsString="0" containsBlank="1" containsNumber="1" containsInteger="1" minValue="2026" maxValue="2030"/>
    </cacheField>
    <cacheField name="Department" numFmtId="0">
      <sharedItems containsBlank="1" count="11">
        <s v="R&amp;D"/>
        <s v="Sales"/>
        <s v="Finance"/>
        <s v="Customer Support"/>
        <s v="IT"/>
        <s v="HR"/>
        <s v="Marketing"/>
        <s v="Operations"/>
        <s v="Administration"/>
        <s v="Logistics"/>
        <m/>
      </sharedItems>
    </cacheField>
    <cacheField name="Job Role" numFmtId="0">
      <sharedItems containsBlank="1" count="46">
        <s v="Innovation Analyst"/>
        <s v="Sales Analyst"/>
        <s v="Finance Manager"/>
        <s v="Customer Success Analyst"/>
        <s v="Data Analyst"/>
        <s v="Recruiter"/>
        <s v="Training Specialist"/>
        <s v="Digital Marketing Analyst"/>
        <s v="Service Executive"/>
        <s v="SEO Specialist"/>
        <s v="Research Engineer"/>
        <s v="Operations Analyst"/>
        <s v="Facility Coordinator"/>
        <s v="HR Manager"/>
        <s v="Process Analyst"/>
        <s v="Support Executive"/>
        <s v="Account Manager"/>
        <s v="Office Manager"/>
        <s v="Financial Analyst"/>
        <s v="Sales Executive"/>
        <s v="Admin Executive"/>
        <s v="Supply Chain Analyst"/>
        <s v="Warehouse Manager"/>
        <s v="System Administrator"/>
        <s v="Research Analyst"/>
        <s v="Transport Coordinator"/>
        <s v="Admin Assistant"/>
        <s v="Auditor"/>
        <s v="Content Strategist"/>
        <s v="Payroll Analyst"/>
        <s v="Product Researcher"/>
        <s v="UI/UX Designer"/>
        <s v="HR Executive"/>
        <s v="Operations Executive"/>
        <s v="Operations Manager"/>
        <s v="Business Development Executive"/>
        <s v="Software Engineer"/>
        <s v="Accountant"/>
        <s v="Marketing Executive"/>
        <s v="Support Manager"/>
        <s v="QA Engineer"/>
        <s v="DevOps Engineer"/>
        <s v="Brand Manager"/>
        <s v="Logistics Executive"/>
        <s v="Sales Manager"/>
        <m/>
      </sharedItems>
    </cacheField>
    <cacheField name="Current Headcount" numFmtId="0">
      <sharedItems containsString="0" containsBlank="1" containsNumber="1" containsInteger="1" minValue="5" maxValue="80" count="76">
        <n v="22"/>
        <n v="68"/>
        <n v="51"/>
        <n v="58"/>
        <n v="61"/>
        <n v="15"/>
        <n v="50"/>
        <n v="53"/>
        <n v="27"/>
        <n v="57"/>
        <n v="59"/>
        <n v="19"/>
        <n v="10"/>
        <n v="79"/>
        <n v="65"/>
        <n v="73"/>
        <n v="66"/>
        <n v="48"/>
        <n v="40"/>
        <n v="62"/>
        <n v="70"/>
        <n v="76"/>
        <n v="49"/>
        <n v="35"/>
        <n v="14"/>
        <n v="20"/>
        <n v="12"/>
        <n v="33"/>
        <n v="69"/>
        <n v="32"/>
        <n v="44"/>
        <n v="78"/>
        <n v="52"/>
        <n v="38"/>
        <n v="64"/>
        <n v="16"/>
        <n v="37"/>
        <n v="18"/>
        <n v="21"/>
        <n v="55"/>
        <n v="54"/>
        <n v="30"/>
        <n v="25"/>
        <n v="67"/>
        <n v="8"/>
        <n v="6"/>
        <n v="56"/>
        <n v="77"/>
        <n v="72"/>
        <n v="60"/>
        <n v="29"/>
        <n v="39"/>
        <n v="9"/>
        <n v="46"/>
        <n v="7"/>
        <n v="5"/>
        <n v="75"/>
        <n v="13"/>
        <n v="43"/>
        <n v="23"/>
        <n v="74"/>
        <n v="63"/>
        <n v="42"/>
        <n v="24"/>
        <n v="80"/>
        <n v="71"/>
        <n v="41"/>
        <n v="31"/>
        <n v="34"/>
        <n v="28"/>
        <n v="11"/>
        <n v="47"/>
        <n v="26"/>
        <n v="36"/>
        <n v="17"/>
        <m/>
      </sharedItems>
    </cacheField>
    <cacheField name="Required Headcount" numFmtId="0">
      <sharedItems containsString="0" containsBlank="1" containsNumber="1" containsInteger="1" minValue="5" maxValue="94" count="86">
        <n v="24"/>
        <n v="81"/>
        <n v="55"/>
        <n v="25"/>
        <n v="67"/>
        <n v="18"/>
        <n v="63"/>
        <n v="30"/>
        <n v="68"/>
        <n v="72"/>
        <n v="27"/>
        <n v="16"/>
        <n v="86"/>
        <n v="66"/>
        <n v="74"/>
        <n v="47"/>
        <n v="51"/>
        <n v="61"/>
        <n v="70"/>
        <n v="85"/>
        <n v="52"/>
        <n v="43"/>
        <n v="23"/>
        <n v="22"/>
        <n v="46"/>
        <n v="42"/>
        <n v="35"/>
        <n v="50"/>
        <n v="80"/>
        <n v="53"/>
        <n v="21"/>
        <n v="69"/>
        <n v="77"/>
        <n v="31"/>
        <n v="64"/>
        <n v="56"/>
        <n v="12"/>
        <n v="15"/>
        <n v="78"/>
        <n v="33"/>
        <n v="19"/>
        <n v="90"/>
        <n v="39"/>
        <n v="36"/>
        <n v="71"/>
        <n v="60"/>
        <n v="83"/>
        <n v="65"/>
        <n v="87"/>
        <n v="48"/>
        <n v="54"/>
        <n v="32"/>
        <n v="28"/>
        <n v="57"/>
        <n v="10"/>
        <n v="58"/>
        <n v="76"/>
        <n v="13"/>
        <n v="14"/>
        <n v="79"/>
        <n v="91"/>
        <n v="5"/>
        <n v="17"/>
        <n v="49"/>
        <n v="93"/>
        <n v="82"/>
        <n v="73"/>
        <n v="20"/>
        <n v="37"/>
        <n v="94"/>
        <n v="45"/>
        <n v="59"/>
        <n v="88"/>
        <n v="29"/>
        <n v="34"/>
        <n v="44"/>
        <n v="38"/>
        <n v="9"/>
        <n v="62"/>
        <n v="8"/>
        <n v="11"/>
        <n v="26"/>
        <n v="41"/>
        <n v="40"/>
        <n v="84"/>
        <m/>
      </sharedItems>
    </cacheField>
    <cacheField name="Projected Demand" numFmtId="0">
      <sharedItems containsString="0" containsBlank="1" containsNumber="1" containsInteger="1" minValue="10" maxValue="109" count="91">
        <n v="32"/>
        <n v="101"/>
        <n v="57"/>
        <n v="39"/>
        <n v="84"/>
        <n v="85"/>
        <n v="27"/>
        <n v="67"/>
        <n v="74"/>
        <n v="30"/>
        <n v="87"/>
        <n v="38"/>
        <n v="18"/>
        <n v="94"/>
        <n v="71"/>
        <n v="80"/>
        <n v="58"/>
        <n v="60"/>
        <n v="61"/>
        <n v="70"/>
        <n v="86"/>
        <n v="29"/>
        <n v="33"/>
        <n v="51"/>
        <n v="52"/>
        <n v="89"/>
        <n v="59"/>
        <n v="54"/>
        <n v="83"/>
        <n v="40"/>
        <n v="66"/>
        <n v="25"/>
        <n v="24"/>
        <n v="82"/>
        <n v="81"/>
        <n v="95"/>
        <n v="44"/>
        <n v="19"/>
        <n v="69"/>
        <n v="91"/>
        <n v="106"/>
        <n v="43"/>
        <n v="35"/>
        <n v="37"/>
        <n v="31"/>
        <n v="79"/>
        <n v="99"/>
        <n v="73"/>
        <n v="105"/>
        <n v="65"/>
        <n v="88"/>
        <n v="47"/>
        <n v="36"/>
        <n v="20"/>
        <n v="49"/>
        <n v="62"/>
        <n v="10"/>
        <n v="46"/>
        <n v="23"/>
        <n v="48"/>
        <n v="26"/>
        <n v="21"/>
        <n v="93"/>
        <n v="72"/>
        <n v="75"/>
        <n v="56"/>
        <n v="109"/>
        <n v="96"/>
        <n v="98"/>
        <n v="63"/>
        <n v="42"/>
        <n v="53"/>
        <n v="28"/>
        <n v="97"/>
        <n v="92"/>
        <n v="45"/>
        <n v="78"/>
        <n v="102"/>
        <n v="77"/>
        <n v="76"/>
        <n v="55"/>
        <n v="68"/>
        <n v="50"/>
        <n v="16"/>
        <n v="41"/>
        <n v="34"/>
        <n v="103"/>
        <n v="100"/>
        <n v="64"/>
        <n v="15"/>
        <m/>
      </sharedItems>
    </cacheField>
    <cacheField name="Current Gap" numFmtId="0">
      <sharedItems containsString="0" containsBlank="1" containsNumber="1" containsInteger="1" minValue="-2" maxValue="15" count="19">
        <n v="2"/>
        <n v="13"/>
        <n v="4"/>
        <n v="3"/>
        <n v="9"/>
        <n v="6"/>
        <n v="14"/>
        <n v="11"/>
        <n v="8"/>
        <n v="7"/>
        <n v="-1"/>
        <n v="1"/>
        <n v="0"/>
        <n v="5"/>
        <n v="15"/>
        <n v="10"/>
        <n v="-2"/>
        <n v="12"/>
        <m/>
      </sharedItems>
    </cacheField>
    <cacheField name="Projected Gap" numFmtId="0">
      <sharedItems containsString="0" containsBlank="1" containsNumber="1" containsInteger="1" minValue="-2" maxValue="35" count="38">
        <n v="10"/>
        <n v="33"/>
        <n v="6"/>
        <n v="17"/>
        <n v="26"/>
        <n v="24"/>
        <n v="12"/>
        <n v="21"/>
        <n v="3"/>
        <n v="27"/>
        <n v="28"/>
        <n v="19"/>
        <n v="8"/>
        <n v="15"/>
        <n v="-1"/>
        <n v="11"/>
        <n v="14"/>
        <n v="20"/>
        <n v="0"/>
        <n v="22"/>
        <n v="16"/>
        <n v="9"/>
        <n v="25"/>
        <n v="7"/>
        <n v="23"/>
        <n v="18"/>
        <n v="30"/>
        <n v="1"/>
        <n v="2"/>
        <n v="32"/>
        <n v="4"/>
        <n v="-2"/>
        <n v="13"/>
        <n v="34"/>
        <n v="5"/>
        <n v="31"/>
        <n v="35"/>
        <m/>
      </sharedItems>
    </cacheField>
    <cacheField name="Critical Skill" numFmtId="0">
      <sharedItems containsBlank="1" count="11">
        <s v="Digital Marketing"/>
        <s v="Cloud Computing"/>
        <s v="Sales Strategy"/>
        <s v="Project Management"/>
        <s v="Cyber Security"/>
        <s v="Communication"/>
        <s v="Automation"/>
        <s v="Leadership"/>
        <s v="Data Analytics"/>
        <s v="AI / ML"/>
        <m/>
      </sharedItems>
    </cacheField>
    <cacheField name="Skill Gap %" numFmtId="0">
      <sharedItems containsString="0" containsBlank="1" containsNumber="1" containsInteger="1" minValue="5" maxValue="45" count="42">
        <n v="41"/>
        <n v="29"/>
        <n v="12"/>
        <n v="21"/>
        <n v="33"/>
        <n v="43"/>
        <n v="42"/>
        <n v="36"/>
        <n v="22"/>
        <n v="16"/>
        <n v="24"/>
        <n v="8"/>
        <n v="40"/>
        <n v="13"/>
        <n v="37"/>
        <n v="32"/>
        <n v="30"/>
        <n v="23"/>
        <n v="17"/>
        <n v="19"/>
        <n v="7"/>
        <n v="35"/>
        <n v="20"/>
        <n v="14"/>
        <n v="34"/>
        <n v="6"/>
        <n v="26"/>
        <n v="44"/>
        <n v="28"/>
        <n v="45"/>
        <n v="10"/>
        <n v="39"/>
        <n v="15"/>
        <n v="5"/>
        <n v="31"/>
        <n v="18"/>
        <n v="38"/>
        <n v="9"/>
        <n v="25"/>
        <n v="11"/>
        <n v="27"/>
        <m/>
      </sharedItems>
    </cacheField>
    <cacheField name="Hiring Priority" numFmtId="0">
      <sharedItems containsBlank="1" count="4">
        <s v="High"/>
        <s v="Low"/>
        <s v="Medium"/>
        <m/>
      </sharedItems>
    </cacheField>
    <cacheField name="Attrition Forecast %" numFmtId="0">
      <sharedItems containsString="0" containsBlank="1" containsNumber="1" minValue="3" maxValue="18" count="135">
        <n v="17.3"/>
        <n v="4.5"/>
        <n v="11.2"/>
        <n v="6.9"/>
        <n v="12.5"/>
        <n v="8.4"/>
        <n v="12.6"/>
        <n v="17.7"/>
        <n v="5.4"/>
        <n v="17.2"/>
        <n v="12.1"/>
        <n v="5.5"/>
        <n v="6.8"/>
        <n v="10.5"/>
        <n v="11.7"/>
        <n v="12.9"/>
        <n v="6.7"/>
        <n v="11"/>
        <n v="11.8"/>
        <n v="3.1"/>
        <n v="6.2"/>
        <n v="17"/>
        <n v="4"/>
        <n v="17.899999999999999"/>
        <n v="8.5"/>
        <n v="5.3"/>
        <n v="16.899999999999999"/>
        <n v="11.3"/>
        <n v="10.1"/>
        <n v="16.5"/>
        <n v="6.5"/>
        <n v="15.2"/>
        <n v="12"/>
        <n v="3.5"/>
        <n v="7.3"/>
        <n v="9.6999999999999993"/>
        <n v="7.9"/>
        <n v="15.6"/>
        <n v="11.1"/>
        <n v="4.8"/>
        <n v="9.6"/>
        <n v="18"/>
        <n v="14.2"/>
        <n v="11.6"/>
        <n v="7.8"/>
        <n v="15.7"/>
        <n v="6"/>
        <n v="14.5"/>
        <n v="5.9"/>
        <n v="3.2"/>
        <n v="10.6"/>
        <n v="16.2"/>
        <n v="12.3"/>
        <n v="15.1"/>
        <n v="13.1"/>
        <n v="17.600000000000001"/>
        <n v="10.4"/>
        <n v="10.7"/>
        <n v="8.6"/>
        <n v="15.3"/>
        <n v="17.8"/>
        <n v="5"/>
        <n v="7.1"/>
        <n v="4.9000000000000004"/>
        <n v="13.6"/>
        <n v="13"/>
        <n v="8.6999999999999993"/>
        <n v="10"/>
        <n v="16.3"/>
        <n v="17.399999999999999"/>
        <n v="16.7"/>
        <n v="5.2"/>
        <n v="6.1"/>
        <n v="14.1"/>
        <n v="8"/>
        <n v="12.7"/>
        <n v="7.2"/>
        <n v="16.100000000000001"/>
        <n v="14.3"/>
        <n v="13.8"/>
        <n v="10.3"/>
        <n v="8.1"/>
        <n v="14.8"/>
        <n v="10.8"/>
        <n v="12.2"/>
        <n v="15.8"/>
        <n v="10.199999999999999"/>
        <n v="8.1999999999999993"/>
        <n v="5.7"/>
        <n v="3.9"/>
        <n v="5.6"/>
        <n v="15"/>
        <n v="15.5"/>
        <n v="9.1999999999999993"/>
        <n v="8.8000000000000007"/>
        <n v="17.100000000000001"/>
        <n v="6.3"/>
        <n v="4.3"/>
        <n v="13.4"/>
        <n v="16.399999999999999"/>
        <n v="9.1"/>
        <n v="4.7"/>
        <n v="15.9"/>
        <n v="4.0999999999999996"/>
        <n v="4.2"/>
        <n v="14.4"/>
        <n v="11.4"/>
        <n v="13.5"/>
        <n v="9.8000000000000007"/>
        <n v="9.9"/>
        <n v="13.7"/>
        <n v="5.0999999999999996"/>
        <n v="9.5"/>
        <n v="6.4"/>
        <n v="7.6"/>
        <n v="3"/>
        <n v="12.4"/>
        <n v="4.5999999999999996"/>
        <n v="13.2"/>
        <n v="11.9"/>
        <n v="8.9"/>
        <n v="16.8"/>
        <n v="3.4"/>
        <n v="4.4000000000000004"/>
        <n v="16"/>
        <n v="14.6"/>
        <n v="6.6"/>
        <n v="12.8"/>
        <n v="16.600000000000001"/>
        <n v="9.4"/>
        <n v="7.5"/>
        <n v="5.8"/>
        <n v="13.3"/>
        <n v="7.4"/>
        <m/>
      </sharedItems>
    </cacheField>
    <cacheField name="Training Need" numFmtId="0">
      <sharedItems containsBlank="1" count="5">
        <s v="Medium"/>
        <s v="Critical"/>
        <s v="Low"/>
        <s v="High"/>
        <m/>
      </sharedItems>
    </cacheField>
  </cacheFields>
  <extLst>
    <ext xmlns:x14="http://schemas.microsoft.com/office/spreadsheetml/2009/9/main" uri="{725AE2AE-9491-48be-B2B4-4EB974FC3084}">
      <x14:pivotCacheDefinition pivotCacheId="5"/>
    </ext>
  </extLst>
</pivotCacheDefinition>
</file>

<file path=xl/pivotCache/pivotCacheRecords1.xml><?xml version="1.0" encoding="utf-8"?>
<pivotCacheRecords xmlns="http://schemas.openxmlformats.org/spreadsheetml/2006/main" xmlns:r="http://schemas.openxmlformats.org/officeDocument/2006/relationships" count="500">
  <r>
    <x v="0"/>
    <x v="0"/>
    <x v="0"/>
    <x v="0"/>
    <x v="0"/>
    <x v="0"/>
    <x v="0"/>
    <n v="85"/>
    <n v="66"/>
    <n v="68"/>
    <n v="46"/>
    <x v="0"/>
    <n v="2026"/>
  </r>
  <r>
    <x v="1"/>
    <x v="1"/>
    <x v="1"/>
    <x v="1"/>
    <x v="0"/>
    <x v="1"/>
    <x v="1"/>
    <n v="74"/>
    <n v="78"/>
    <n v="77"/>
    <n v="30"/>
    <x v="1"/>
    <n v="2026"/>
  </r>
  <r>
    <x v="2"/>
    <x v="2"/>
    <x v="1"/>
    <x v="1"/>
    <x v="1"/>
    <x v="2"/>
    <x v="2"/>
    <n v="100"/>
    <n v="91"/>
    <n v="98"/>
    <n v="32"/>
    <x v="2"/>
    <n v="2026"/>
  </r>
  <r>
    <x v="3"/>
    <x v="3"/>
    <x v="2"/>
    <x v="2"/>
    <x v="1"/>
    <x v="3"/>
    <x v="3"/>
    <n v="77"/>
    <n v="67"/>
    <n v="79"/>
    <n v="12"/>
    <x v="2"/>
    <n v="2024"/>
  </r>
  <r>
    <x v="4"/>
    <x v="4"/>
    <x v="3"/>
    <x v="3"/>
    <x v="1"/>
    <x v="4"/>
    <x v="4"/>
    <n v="77"/>
    <n v="64"/>
    <n v="99"/>
    <n v="11"/>
    <x v="3"/>
    <n v="2024"/>
  </r>
  <r>
    <x v="5"/>
    <x v="5"/>
    <x v="4"/>
    <x v="4"/>
    <x v="1"/>
    <x v="5"/>
    <x v="5"/>
    <n v="87"/>
    <n v="85"/>
    <n v="90"/>
    <n v="11"/>
    <x v="1"/>
    <n v="2026"/>
  </r>
  <r>
    <x v="6"/>
    <x v="6"/>
    <x v="0"/>
    <x v="5"/>
    <x v="0"/>
    <x v="6"/>
    <x v="6"/>
    <n v="79"/>
    <n v="91"/>
    <n v="78"/>
    <n v="15"/>
    <x v="1"/>
    <n v="2025"/>
  </r>
  <r>
    <x v="7"/>
    <x v="7"/>
    <x v="5"/>
    <x v="6"/>
    <x v="1"/>
    <x v="7"/>
    <x v="7"/>
    <n v="100"/>
    <n v="78"/>
    <n v="65"/>
    <n v="11"/>
    <x v="1"/>
    <n v="2026"/>
  </r>
  <r>
    <x v="8"/>
    <x v="8"/>
    <x v="6"/>
    <x v="7"/>
    <x v="0"/>
    <x v="6"/>
    <x v="8"/>
    <n v="92"/>
    <n v="79"/>
    <n v="80"/>
    <n v="15"/>
    <x v="3"/>
    <n v="2026"/>
  </r>
  <r>
    <x v="9"/>
    <x v="9"/>
    <x v="2"/>
    <x v="2"/>
    <x v="1"/>
    <x v="2"/>
    <x v="9"/>
    <n v="73"/>
    <n v="81"/>
    <n v="94"/>
    <n v="14"/>
    <x v="2"/>
    <n v="2026"/>
  </r>
  <r>
    <x v="10"/>
    <x v="10"/>
    <x v="2"/>
    <x v="8"/>
    <x v="1"/>
    <x v="8"/>
    <x v="10"/>
    <n v="83"/>
    <n v="61"/>
    <n v="76"/>
    <n v="21"/>
    <x v="2"/>
    <n v="2024"/>
  </r>
  <r>
    <x v="11"/>
    <x v="11"/>
    <x v="3"/>
    <x v="9"/>
    <x v="0"/>
    <x v="9"/>
    <x v="11"/>
    <n v="62"/>
    <n v="98"/>
    <n v="87"/>
    <n v="35"/>
    <x v="4"/>
    <n v="2024"/>
  </r>
  <r>
    <x v="12"/>
    <x v="12"/>
    <x v="7"/>
    <x v="10"/>
    <x v="0"/>
    <x v="5"/>
    <x v="12"/>
    <n v="77"/>
    <n v="90"/>
    <n v="72"/>
    <n v="7"/>
    <x v="2"/>
    <n v="2026"/>
  </r>
  <r>
    <x v="13"/>
    <x v="13"/>
    <x v="1"/>
    <x v="11"/>
    <x v="0"/>
    <x v="10"/>
    <x v="11"/>
    <n v="80"/>
    <n v="74"/>
    <n v="98"/>
    <n v="37"/>
    <x v="1"/>
    <n v="2024"/>
  </r>
  <r>
    <x v="14"/>
    <x v="14"/>
    <x v="1"/>
    <x v="12"/>
    <x v="1"/>
    <x v="11"/>
    <x v="13"/>
    <n v="68"/>
    <n v="79"/>
    <n v="86"/>
    <n v="33"/>
    <x v="0"/>
    <n v="2026"/>
  </r>
  <r>
    <x v="15"/>
    <x v="15"/>
    <x v="6"/>
    <x v="13"/>
    <x v="0"/>
    <x v="4"/>
    <x v="14"/>
    <n v="96"/>
    <n v="76"/>
    <n v="96"/>
    <n v="21"/>
    <x v="3"/>
    <n v="2025"/>
  </r>
  <r>
    <x v="16"/>
    <x v="16"/>
    <x v="1"/>
    <x v="1"/>
    <x v="1"/>
    <x v="2"/>
    <x v="15"/>
    <n v="84"/>
    <n v="79"/>
    <n v="86"/>
    <n v="38"/>
    <x v="4"/>
    <n v="2025"/>
  </r>
  <r>
    <x v="17"/>
    <x v="17"/>
    <x v="2"/>
    <x v="14"/>
    <x v="1"/>
    <x v="5"/>
    <x v="16"/>
    <n v="95"/>
    <n v="100"/>
    <n v="66"/>
    <n v="14"/>
    <x v="0"/>
    <n v="2024"/>
  </r>
  <r>
    <x v="18"/>
    <x v="18"/>
    <x v="1"/>
    <x v="15"/>
    <x v="1"/>
    <x v="12"/>
    <x v="17"/>
    <n v="71"/>
    <n v="82"/>
    <n v="96"/>
    <n v="6"/>
    <x v="1"/>
    <n v="2026"/>
  </r>
  <r>
    <x v="19"/>
    <x v="19"/>
    <x v="3"/>
    <x v="16"/>
    <x v="1"/>
    <x v="8"/>
    <x v="18"/>
    <n v="89"/>
    <n v="83"/>
    <n v="78"/>
    <n v="52"/>
    <x v="2"/>
    <n v="2024"/>
  </r>
  <r>
    <x v="20"/>
    <x v="20"/>
    <x v="2"/>
    <x v="17"/>
    <x v="1"/>
    <x v="0"/>
    <x v="19"/>
    <n v="86"/>
    <n v="100"/>
    <n v="71"/>
    <n v="22"/>
    <x v="4"/>
    <n v="2025"/>
  </r>
  <r>
    <x v="21"/>
    <x v="21"/>
    <x v="0"/>
    <x v="5"/>
    <x v="1"/>
    <x v="13"/>
    <x v="20"/>
    <n v="95"/>
    <n v="71"/>
    <n v="81"/>
    <n v="48"/>
    <x v="3"/>
    <n v="2025"/>
  </r>
  <r>
    <x v="22"/>
    <x v="22"/>
    <x v="1"/>
    <x v="12"/>
    <x v="1"/>
    <x v="2"/>
    <x v="21"/>
    <n v="88"/>
    <n v="77"/>
    <n v="84"/>
    <n v="17"/>
    <x v="2"/>
    <n v="2026"/>
  </r>
  <r>
    <x v="23"/>
    <x v="23"/>
    <x v="3"/>
    <x v="9"/>
    <x v="0"/>
    <x v="14"/>
    <x v="22"/>
    <n v="83"/>
    <n v="99"/>
    <n v="72"/>
    <n v="32"/>
    <x v="0"/>
    <n v="2026"/>
  </r>
  <r>
    <x v="24"/>
    <x v="24"/>
    <x v="5"/>
    <x v="18"/>
    <x v="1"/>
    <x v="10"/>
    <x v="23"/>
    <n v="84"/>
    <n v="78"/>
    <n v="72"/>
    <n v="5"/>
    <x v="0"/>
    <n v="2026"/>
  </r>
  <r>
    <x v="25"/>
    <x v="25"/>
    <x v="7"/>
    <x v="19"/>
    <x v="1"/>
    <x v="15"/>
    <x v="24"/>
    <n v="71"/>
    <n v="93"/>
    <n v="83"/>
    <n v="44"/>
    <x v="4"/>
    <n v="2026"/>
  </r>
  <r>
    <x v="26"/>
    <x v="26"/>
    <x v="8"/>
    <x v="20"/>
    <x v="1"/>
    <x v="16"/>
    <x v="25"/>
    <n v="93"/>
    <n v="78"/>
    <n v="69"/>
    <n v="56"/>
    <x v="3"/>
    <n v="2024"/>
  </r>
  <r>
    <x v="27"/>
    <x v="27"/>
    <x v="6"/>
    <x v="21"/>
    <x v="1"/>
    <x v="17"/>
    <x v="26"/>
    <n v="75"/>
    <n v="78"/>
    <n v="72"/>
    <n v="8"/>
    <x v="0"/>
    <n v="2025"/>
  </r>
  <r>
    <x v="28"/>
    <x v="16"/>
    <x v="8"/>
    <x v="22"/>
    <x v="1"/>
    <x v="11"/>
    <x v="27"/>
    <n v="84"/>
    <n v="60"/>
    <n v="68"/>
    <n v="21"/>
    <x v="1"/>
    <n v="2025"/>
  </r>
  <r>
    <x v="29"/>
    <x v="28"/>
    <x v="7"/>
    <x v="23"/>
    <x v="1"/>
    <x v="2"/>
    <x v="28"/>
    <n v="94"/>
    <n v="95"/>
    <n v="74"/>
    <n v="10"/>
    <x v="3"/>
    <n v="2024"/>
  </r>
  <r>
    <x v="30"/>
    <x v="29"/>
    <x v="2"/>
    <x v="14"/>
    <x v="1"/>
    <x v="9"/>
    <x v="29"/>
    <n v="74"/>
    <n v="87"/>
    <n v="70"/>
    <n v="23"/>
    <x v="1"/>
    <n v="2024"/>
  </r>
  <r>
    <x v="31"/>
    <x v="30"/>
    <x v="1"/>
    <x v="1"/>
    <x v="1"/>
    <x v="0"/>
    <x v="30"/>
    <n v="84"/>
    <n v="75"/>
    <n v="89"/>
    <n v="32"/>
    <x v="0"/>
    <n v="2024"/>
  </r>
  <r>
    <x v="32"/>
    <x v="31"/>
    <x v="7"/>
    <x v="10"/>
    <x v="1"/>
    <x v="18"/>
    <x v="31"/>
    <n v="81"/>
    <n v="98"/>
    <n v="84"/>
    <n v="16"/>
    <x v="4"/>
    <n v="2025"/>
  </r>
  <r>
    <x v="33"/>
    <x v="32"/>
    <x v="8"/>
    <x v="24"/>
    <x v="0"/>
    <x v="19"/>
    <x v="11"/>
    <n v="82"/>
    <n v="97"/>
    <n v="73"/>
    <n v="48"/>
    <x v="1"/>
    <n v="2025"/>
  </r>
  <r>
    <x v="34"/>
    <x v="33"/>
    <x v="7"/>
    <x v="19"/>
    <x v="1"/>
    <x v="8"/>
    <x v="32"/>
    <n v="97"/>
    <n v="72"/>
    <n v="84"/>
    <n v="24"/>
    <x v="2"/>
    <n v="2025"/>
  </r>
  <r>
    <x v="35"/>
    <x v="34"/>
    <x v="1"/>
    <x v="15"/>
    <x v="1"/>
    <x v="20"/>
    <x v="33"/>
    <n v="91"/>
    <n v="94"/>
    <n v="76"/>
    <n v="29"/>
    <x v="0"/>
    <n v="2024"/>
  </r>
  <r>
    <x v="36"/>
    <x v="35"/>
    <x v="0"/>
    <x v="25"/>
    <x v="0"/>
    <x v="14"/>
    <x v="34"/>
    <n v="90"/>
    <n v="80"/>
    <n v="97"/>
    <n v="48"/>
    <x v="3"/>
    <n v="2025"/>
  </r>
  <r>
    <x v="37"/>
    <x v="36"/>
    <x v="5"/>
    <x v="18"/>
    <x v="1"/>
    <x v="21"/>
    <x v="35"/>
    <n v="91"/>
    <n v="86"/>
    <n v="91"/>
    <n v="34"/>
    <x v="2"/>
    <n v="2026"/>
  </r>
  <r>
    <x v="38"/>
    <x v="37"/>
    <x v="2"/>
    <x v="17"/>
    <x v="0"/>
    <x v="0"/>
    <x v="36"/>
    <n v="88"/>
    <n v="65"/>
    <n v="73"/>
    <n v="44"/>
    <x v="3"/>
    <n v="2024"/>
  </r>
  <r>
    <x v="39"/>
    <x v="38"/>
    <x v="8"/>
    <x v="24"/>
    <x v="1"/>
    <x v="22"/>
    <x v="37"/>
    <n v="85"/>
    <n v="68"/>
    <n v="99"/>
    <n v="41"/>
    <x v="3"/>
    <n v="2024"/>
  </r>
  <r>
    <x v="40"/>
    <x v="39"/>
    <x v="0"/>
    <x v="5"/>
    <x v="1"/>
    <x v="20"/>
    <x v="38"/>
    <n v="87"/>
    <n v="68"/>
    <n v="90"/>
    <n v="47"/>
    <x v="2"/>
    <n v="2025"/>
  </r>
  <r>
    <x v="41"/>
    <x v="40"/>
    <x v="0"/>
    <x v="25"/>
    <x v="0"/>
    <x v="7"/>
    <x v="39"/>
    <n v="95"/>
    <n v="89"/>
    <n v="68"/>
    <n v="10"/>
    <x v="2"/>
    <n v="2025"/>
  </r>
  <r>
    <x v="42"/>
    <x v="41"/>
    <x v="2"/>
    <x v="8"/>
    <x v="1"/>
    <x v="19"/>
    <x v="40"/>
    <n v="68"/>
    <n v="81"/>
    <n v="71"/>
    <n v="57"/>
    <x v="3"/>
    <n v="2026"/>
  </r>
  <r>
    <x v="43"/>
    <x v="42"/>
    <x v="2"/>
    <x v="2"/>
    <x v="1"/>
    <x v="19"/>
    <x v="41"/>
    <n v="83"/>
    <n v="63"/>
    <n v="72"/>
    <n v="52"/>
    <x v="4"/>
    <n v="2026"/>
  </r>
  <r>
    <x v="44"/>
    <x v="43"/>
    <x v="7"/>
    <x v="26"/>
    <x v="1"/>
    <x v="23"/>
    <x v="42"/>
    <n v="65"/>
    <n v="73"/>
    <n v="98"/>
    <n v="14"/>
    <x v="4"/>
    <n v="2026"/>
  </r>
  <r>
    <x v="45"/>
    <x v="44"/>
    <x v="0"/>
    <x v="27"/>
    <x v="0"/>
    <x v="1"/>
    <x v="23"/>
    <n v="70"/>
    <n v="74"/>
    <n v="74"/>
    <n v="24"/>
    <x v="3"/>
    <n v="2026"/>
  </r>
  <r>
    <x v="46"/>
    <x v="45"/>
    <x v="2"/>
    <x v="17"/>
    <x v="0"/>
    <x v="19"/>
    <x v="43"/>
    <n v="62"/>
    <n v="91"/>
    <n v="77"/>
    <n v="12"/>
    <x v="2"/>
    <n v="2024"/>
  </r>
  <r>
    <x v="47"/>
    <x v="46"/>
    <x v="0"/>
    <x v="25"/>
    <x v="1"/>
    <x v="6"/>
    <x v="44"/>
    <n v="69"/>
    <n v="93"/>
    <n v="71"/>
    <n v="20"/>
    <x v="1"/>
    <n v="2024"/>
  </r>
  <r>
    <x v="48"/>
    <x v="1"/>
    <x v="9"/>
    <x v="28"/>
    <x v="0"/>
    <x v="6"/>
    <x v="10"/>
    <n v="94"/>
    <n v="88"/>
    <n v="90"/>
    <n v="8"/>
    <x v="2"/>
    <n v="2025"/>
  </r>
  <r>
    <x v="49"/>
    <x v="47"/>
    <x v="0"/>
    <x v="29"/>
    <x v="0"/>
    <x v="24"/>
    <x v="45"/>
    <n v="73"/>
    <n v="75"/>
    <n v="99"/>
    <n v="21"/>
    <x v="4"/>
    <n v="2026"/>
  </r>
  <r>
    <x v="50"/>
    <x v="48"/>
    <x v="6"/>
    <x v="13"/>
    <x v="1"/>
    <x v="15"/>
    <x v="46"/>
    <n v="69"/>
    <n v="87"/>
    <n v="74"/>
    <n v="45"/>
    <x v="2"/>
    <n v="2024"/>
  </r>
  <r>
    <x v="51"/>
    <x v="49"/>
    <x v="2"/>
    <x v="17"/>
    <x v="1"/>
    <x v="4"/>
    <x v="47"/>
    <n v="77"/>
    <n v="70"/>
    <n v="97"/>
    <n v="52"/>
    <x v="4"/>
    <n v="2024"/>
  </r>
  <r>
    <x v="52"/>
    <x v="50"/>
    <x v="8"/>
    <x v="24"/>
    <x v="0"/>
    <x v="25"/>
    <x v="10"/>
    <n v="80"/>
    <n v="78"/>
    <n v="71"/>
    <n v="42"/>
    <x v="0"/>
    <n v="2025"/>
  </r>
  <r>
    <x v="53"/>
    <x v="51"/>
    <x v="6"/>
    <x v="7"/>
    <x v="0"/>
    <x v="9"/>
    <x v="48"/>
    <n v="87"/>
    <n v="84"/>
    <n v="71"/>
    <n v="34"/>
    <x v="0"/>
    <n v="2025"/>
  </r>
  <r>
    <x v="54"/>
    <x v="52"/>
    <x v="6"/>
    <x v="7"/>
    <x v="1"/>
    <x v="14"/>
    <x v="24"/>
    <n v="80"/>
    <n v="89"/>
    <n v="72"/>
    <n v="41"/>
    <x v="0"/>
    <n v="2024"/>
  </r>
  <r>
    <x v="55"/>
    <x v="53"/>
    <x v="5"/>
    <x v="30"/>
    <x v="0"/>
    <x v="26"/>
    <x v="49"/>
    <n v="64"/>
    <n v="99"/>
    <n v="93"/>
    <n v="7"/>
    <x v="3"/>
    <n v="2024"/>
  </r>
  <r>
    <x v="56"/>
    <x v="54"/>
    <x v="0"/>
    <x v="27"/>
    <x v="1"/>
    <x v="23"/>
    <x v="50"/>
    <n v="91"/>
    <n v="77"/>
    <n v="65"/>
    <n v="15"/>
    <x v="3"/>
    <n v="2026"/>
  </r>
  <r>
    <x v="57"/>
    <x v="55"/>
    <x v="1"/>
    <x v="15"/>
    <x v="0"/>
    <x v="3"/>
    <x v="51"/>
    <n v="94"/>
    <n v="73"/>
    <n v="87"/>
    <n v="50"/>
    <x v="4"/>
    <n v="2025"/>
  </r>
  <r>
    <x v="58"/>
    <x v="56"/>
    <x v="4"/>
    <x v="4"/>
    <x v="1"/>
    <x v="12"/>
    <x v="52"/>
    <n v="73"/>
    <n v="69"/>
    <n v="87"/>
    <n v="46"/>
    <x v="4"/>
    <n v="2025"/>
  </r>
  <r>
    <x v="59"/>
    <x v="57"/>
    <x v="3"/>
    <x v="9"/>
    <x v="0"/>
    <x v="19"/>
    <x v="53"/>
    <n v="70"/>
    <n v="77"/>
    <n v="84"/>
    <n v="30"/>
    <x v="2"/>
    <n v="2026"/>
  </r>
  <r>
    <x v="60"/>
    <x v="58"/>
    <x v="9"/>
    <x v="31"/>
    <x v="0"/>
    <x v="27"/>
    <x v="41"/>
    <n v="92"/>
    <n v="98"/>
    <n v="76"/>
    <n v="41"/>
    <x v="4"/>
    <n v="2026"/>
  </r>
  <r>
    <x v="61"/>
    <x v="50"/>
    <x v="7"/>
    <x v="10"/>
    <x v="0"/>
    <x v="5"/>
    <x v="54"/>
    <n v="70"/>
    <n v="80"/>
    <n v="87"/>
    <n v="42"/>
    <x v="4"/>
    <n v="2025"/>
  </r>
  <r>
    <x v="62"/>
    <x v="59"/>
    <x v="1"/>
    <x v="12"/>
    <x v="1"/>
    <x v="28"/>
    <x v="9"/>
    <n v="63"/>
    <n v="70"/>
    <n v="79"/>
    <n v="11"/>
    <x v="2"/>
    <n v="2025"/>
  </r>
  <r>
    <x v="63"/>
    <x v="60"/>
    <x v="3"/>
    <x v="3"/>
    <x v="1"/>
    <x v="12"/>
    <x v="55"/>
    <n v="92"/>
    <n v="80"/>
    <n v="79"/>
    <n v="54"/>
    <x v="1"/>
    <n v="2024"/>
  </r>
  <r>
    <x v="64"/>
    <x v="61"/>
    <x v="5"/>
    <x v="32"/>
    <x v="0"/>
    <x v="9"/>
    <x v="56"/>
    <n v="73"/>
    <n v="84"/>
    <n v="91"/>
    <n v="9"/>
    <x v="2"/>
    <n v="2026"/>
  </r>
  <r>
    <x v="65"/>
    <x v="62"/>
    <x v="7"/>
    <x v="10"/>
    <x v="0"/>
    <x v="27"/>
    <x v="57"/>
    <n v="64"/>
    <n v="64"/>
    <n v="93"/>
    <n v="53"/>
    <x v="3"/>
    <n v="2026"/>
  </r>
  <r>
    <x v="66"/>
    <x v="63"/>
    <x v="0"/>
    <x v="27"/>
    <x v="1"/>
    <x v="29"/>
    <x v="58"/>
    <n v="63"/>
    <n v="71"/>
    <n v="85"/>
    <n v="11"/>
    <x v="0"/>
    <n v="2025"/>
  </r>
  <r>
    <x v="67"/>
    <x v="64"/>
    <x v="7"/>
    <x v="19"/>
    <x v="0"/>
    <x v="13"/>
    <x v="59"/>
    <n v="98"/>
    <n v="95"/>
    <n v="77"/>
    <n v="17"/>
    <x v="3"/>
    <n v="2025"/>
  </r>
  <r>
    <x v="68"/>
    <x v="65"/>
    <x v="4"/>
    <x v="4"/>
    <x v="0"/>
    <x v="20"/>
    <x v="46"/>
    <n v="80"/>
    <n v="74"/>
    <n v="77"/>
    <n v="52"/>
    <x v="1"/>
    <n v="2025"/>
  </r>
  <r>
    <x v="69"/>
    <x v="66"/>
    <x v="8"/>
    <x v="33"/>
    <x v="0"/>
    <x v="0"/>
    <x v="60"/>
    <n v="74"/>
    <n v="65"/>
    <n v="66"/>
    <n v="45"/>
    <x v="2"/>
    <n v="2024"/>
  </r>
  <r>
    <x v="70"/>
    <x v="67"/>
    <x v="2"/>
    <x v="14"/>
    <x v="1"/>
    <x v="7"/>
    <x v="61"/>
    <n v="70"/>
    <n v="60"/>
    <n v="88"/>
    <n v="54"/>
    <x v="0"/>
    <n v="2026"/>
  </r>
  <r>
    <x v="71"/>
    <x v="68"/>
    <x v="1"/>
    <x v="1"/>
    <x v="1"/>
    <x v="24"/>
    <x v="62"/>
    <n v="66"/>
    <n v="81"/>
    <n v="76"/>
    <n v="48"/>
    <x v="4"/>
    <n v="2025"/>
  </r>
  <r>
    <x v="72"/>
    <x v="69"/>
    <x v="7"/>
    <x v="19"/>
    <x v="0"/>
    <x v="21"/>
    <x v="63"/>
    <n v="75"/>
    <n v="96"/>
    <n v="95"/>
    <n v="37"/>
    <x v="3"/>
    <n v="2025"/>
  </r>
  <r>
    <x v="73"/>
    <x v="70"/>
    <x v="5"/>
    <x v="32"/>
    <x v="0"/>
    <x v="4"/>
    <x v="64"/>
    <n v="97"/>
    <n v="68"/>
    <n v="69"/>
    <n v="33"/>
    <x v="0"/>
    <n v="2026"/>
  </r>
  <r>
    <x v="74"/>
    <x v="71"/>
    <x v="6"/>
    <x v="34"/>
    <x v="1"/>
    <x v="26"/>
    <x v="65"/>
    <n v="66"/>
    <n v="96"/>
    <n v="70"/>
    <n v="13"/>
    <x v="4"/>
    <n v="2025"/>
  </r>
  <r>
    <x v="75"/>
    <x v="72"/>
    <x v="1"/>
    <x v="15"/>
    <x v="0"/>
    <x v="25"/>
    <x v="66"/>
    <n v="93"/>
    <n v="74"/>
    <n v="68"/>
    <n v="43"/>
    <x v="4"/>
    <n v="2025"/>
  </r>
  <r>
    <x v="76"/>
    <x v="73"/>
    <x v="6"/>
    <x v="7"/>
    <x v="0"/>
    <x v="18"/>
    <x v="67"/>
    <n v="80"/>
    <n v="76"/>
    <n v="89"/>
    <n v="50"/>
    <x v="3"/>
    <n v="2024"/>
  </r>
  <r>
    <x v="77"/>
    <x v="74"/>
    <x v="5"/>
    <x v="35"/>
    <x v="1"/>
    <x v="28"/>
    <x v="68"/>
    <n v="72"/>
    <n v="78"/>
    <n v="69"/>
    <n v="39"/>
    <x v="4"/>
    <n v="2024"/>
  </r>
  <r>
    <x v="78"/>
    <x v="75"/>
    <x v="9"/>
    <x v="28"/>
    <x v="0"/>
    <x v="4"/>
    <x v="69"/>
    <n v="94"/>
    <n v="79"/>
    <n v="90"/>
    <n v="44"/>
    <x v="2"/>
    <n v="2026"/>
  </r>
  <r>
    <x v="79"/>
    <x v="72"/>
    <x v="3"/>
    <x v="9"/>
    <x v="0"/>
    <x v="21"/>
    <x v="70"/>
    <n v="69"/>
    <n v="97"/>
    <n v="95"/>
    <n v="21"/>
    <x v="2"/>
    <n v="2024"/>
  </r>
  <r>
    <x v="80"/>
    <x v="76"/>
    <x v="1"/>
    <x v="1"/>
    <x v="0"/>
    <x v="25"/>
    <x v="71"/>
    <n v="78"/>
    <n v="72"/>
    <n v="86"/>
    <n v="53"/>
    <x v="2"/>
    <n v="2024"/>
  </r>
  <r>
    <x v="81"/>
    <x v="77"/>
    <x v="7"/>
    <x v="23"/>
    <x v="1"/>
    <x v="24"/>
    <x v="72"/>
    <n v="83"/>
    <n v="63"/>
    <n v="80"/>
    <n v="36"/>
    <x v="2"/>
    <n v="2026"/>
  </r>
  <r>
    <x v="82"/>
    <x v="78"/>
    <x v="4"/>
    <x v="36"/>
    <x v="0"/>
    <x v="23"/>
    <x v="73"/>
    <n v="64"/>
    <n v="82"/>
    <n v="69"/>
    <n v="31"/>
    <x v="4"/>
    <n v="2026"/>
  </r>
  <r>
    <x v="83"/>
    <x v="79"/>
    <x v="0"/>
    <x v="25"/>
    <x v="0"/>
    <x v="17"/>
    <x v="74"/>
    <n v="67"/>
    <n v="95"/>
    <n v="95"/>
    <n v="13"/>
    <x v="3"/>
    <n v="2026"/>
  </r>
  <r>
    <x v="84"/>
    <x v="80"/>
    <x v="4"/>
    <x v="37"/>
    <x v="0"/>
    <x v="30"/>
    <x v="75"/>
    <n v="64"/>
    <n v="91"/>
    <n v="97"/>
    <n v="19"/>
    <x v="3"/>
    <n v="2025"/>
  </r>
  <r>
    <x v="85"/>
    <x v="81"/>
    <x v="0"/>
    <x v="29"/>
    <x v="1"/>
    <x v="16"/>
    <x v="76"/>
    <n v="76"/>
    <n v="61"/>
    <n v="68"/>
    <n v="6"/>
    <x v="1"/>
    <n v="2026"/>
  </r>
  <r>
    <x v="86"/>
    <x v="82"/>
    <x v="3"/>
    <x v="3"/>
    <x v="0"/>
    <x v="22"/>
    <x v="77"/>
    <n v="86"/>
    <n v="61"/>
    <n v="100"/>
    <n v="35"/>
    <x v="2"/>
    <n v="2025"/>
  </r>
  <r>
    <x v="87"/>
    <x v="15"/>
    <x v="3"/>
    <x v="9"/>
    <x v="1"/>
    <x v="3"/>
    <x v="78"/>
    <n v="70"/>
    <n v="87"/>
    <n v="92"/>
    <n v="40"/>
    <x v="1"/>
    <n v="2024"/>
  </r>
  <r>
    <x v="88"/>
    <x v="83"/>
    <x v="4"/>
    <x v="37"/>
    <x v="0"/>
    <x v="3"/>
    <x v="46"/>
    <n v="85"/>
    <n v="82"/>
    <n v="77"/>
    <n v="26"/>
    <x v="0"/>
    <n v="2024"/>
  </r>
  <r>
    <x v="89"/>
    <x v="84"/>
    <x v="0"/>
    <x v="29"/>
    <x v="0"/>
    <x v="0"/>
    <x v="79"/>
    <n v="67"/>
    <n v="97"/>
    <n v="65"/>
    <n v="19"/>
    <x v="0"/>
    <n v="2026"/>
  </r>
  <r>
    <x v="90"/>
    <x v="85"/>
    <x v="3"/>
    <x v="3"/>
    <x v="0"/>
    <x v="8"/>
    <x v="38"/>
    <n v="96"/>
    <n v="96"/>
    <n v="67"/>
    <n v="56"/>
    <x v="2"/>
    <n v="2026"/>
  </r>
  <r>
    <x v="91"/>
    <x v="86"/>
    <x v="2"/>
    <x v="38"/>
    <x v="0"/>
    <x v="31"/>
    <x v="57"/>
    <n v="65"/>
    <n v="64"/>
    <n v="68"/>
    <n v="13"/>
    <x v="0"/>
    <n v="2024"/>
  </r>
  <r>
    <x v="92"/>
    <x v="87"/>
    <x v="0"/>
    <x v="25"/>
    <x v="0"/>
    <x v="32"/>
    <x v="80"/>
    <n v="82"/>
    <n v="82"/>
    <n v="80"/>
    <n v="23"/>
    <x v="1"/>
    <n v="2026"/>
  </r>
  <r>
    <x v="93"/>
    <x v="88"/>
    <x v="8"/>
    <x v="33"/>
    <x v="1"/>
    <x v="28"/>
    <x v="81"/>
    <n v="69"/>
    <n v="64"/>
    <n v="69"/>
    <n v="21"/>
    <x v="4"/>
    <n v="2024"/>
  </r>
  <r>
    <x v="94"/>
    <x v="89"/>
    <x v="2"/>
    <x v="8"/>
    <x v="0"/>
    <x v="33"/>
    <x v="82"/>
    <n v="84"/>
    <n v="74"/>
    <n v="93"/>
    <n v="50"/>
    <x v="3"/>
    <n v="2025"/>
  </r>
  <r>
    <x v="95"/>
    <x v="90"/>
    <x v="1"/>
    <x v="11"/>
    <x v="0"/>
    <x v="5"/>
    <x v="83"/>
    <n v="80"/>
    <n v="75"/>
    <n v="98"/>
    <n v="22"/>
    <x v="3"/>
    <n v="2026"/>
  </r>
  <r>
    <x v="96"/>
    <x v="91"/>
    <x v="0"/>
    <x v="25"/>
    <x v="0"/>
    <x v="14"/>
    <x v="84"/>
    <n v="68"/>
    <n v="63"/>
    <n v="87"/>
    <n v="31"/>
    <x v="4"/>
    <n v="2025"/>
  </r>
  <r>
    <x v="97"/>
    <x v="92"/>
    <x v="7"/>
    <x v="10"/>
    <x v="0"/>
    <x v="10"/>
    <x v="85"/>
    <n v="75"/>
    <n v="68"/>
    <n v="98"/>
    <n v="19"/>
    <x v="3"/>
    <n v="2026"/>
  </r>
  <r>
    <x v="98"/>
    <x v="93"/>
    <x v="7"/>
    <x v="26"/>
    <x v="1"/>
    <x v="6"/>
    <x v="86"/>
    <n v="69"/>
    <n v="83"/>
    <n v="74"/>
    <n v="7"/>
    <x v="1"/>
    <n v="2026"/>
  </r>
  <r>
    <x v="99"/>
    <x v="68"/>
    <x v="9"/>
    <x v="39"/>
    <x v="1"/>
    <x v="11"/>
    <x v="46"/>
    <n v="91"/>
    <n v="67"/>
    <n v="66"/>
    <n v="36"/>
    <x v="2"/>
    <n v="2025"/>
  </r>
  <r>
    <x v="100"/>
    <x v="94"/>
    <x v="8"/>
    <x v="22"/>
    <x v="1"/>
    <x v="16"/>
    <x v="85"/>
    <n v="86"/>
    <n v="79"/>
    <n v="70"/>
    <n v="8"/>
    <x v="3"/>
    <n v="2026"/>
  </r>
  <r>
    <x v="101"/>
    <x v="95"/>
    <x v="3"/>
    <x v="16"/>
    <x v="1"/>
    <x v="23"/>
    <x v="87"/>
    <n v="63"/>
    <n v="84"/>
    <n v="89"/>
    <n v="33"/>
    <x v="2"/>
    <n v="2024"/>
  </r>
  <r>
    <x v="102"/>
    <x v="96"/>
    <x v="6"/>
    <x v="34"/>
    <x v="1"/>
    <x v="16"/>
    <x v="88"/>
    <n v="73"/>
    <n v="87"/>
    <n v="99"/>
    <n v="8"/>
    <x v="3"/>
    <n v="2024"/>
  </r>
  <r>
    <x v="103"/>
    <x v="78"/>
    <x v="2"/>
    <x v="2"/>
    <x v="1"/>
    <x v="14"/>
    <x v="84"/>
    <n v="84"/>
    <n v="61"/>
    <n v="86"/>
    <n v="58"/>
    <x v="3"/>
    <n v="2026"/>
  </r>
  <r>
    <x v="104"/>
    <x v="97"/>
    <x v="4"/>
    <x v="36"/>
    <x v="0"/>
    <x v="34"/>
    <x v="89"/>
    <n v="63"/>
    <n v="81"/>
    <n v="92"/>
    <n v="60"/>
    <x v="0"/>
    <n v="2026"/>
  </r>
  <r>
    <x v="105"/>
    <x v="98"/>
    <x v="6"/>
    <x v="7"/>
    <x v="1"/>
    <x v="17"/>
    <x v="1"/>
    <n v="65"/>
    <n v="66"/>
    <n v="100"/>
    <n v="29"/>
    <x v="3"/>
    <n v="2026"/>
  </r>
  <r>
    <x v="106"/>
    <x v="99"/>
    <x v="0"/>
    <x v="25"/>
    <x v="1"/>
    <x v="29"/>
    <x v="90"/>
    <n v="98"/>
    <n v="96"/>
    <n v="98"/>
    <n v="21"/>
    <x v="1"/>
    <n v="2025"/>
  </r>
  <r>
    <x v="107"/>
    <x v="58"/>
    <x v="6"/>
    <x v="34"/>
    <x v="0"/>
    <x v="7"/>
    <x v="50"/>
    <n v="77"/>
    <n v="68"/>
    <n v="65"/>
    <n v="22"/>
    <x v="3"/>
    <n v="2024"/>
  </r>
  <r>
    <x v="108"/>
    <x v="100"/>
    <x v="8"/>
    <x v="22"/>
    <x v="1"/>
    <x v="23"/>
    <x v="91"/>
    <n v="96"/>
    <n v="78"/>
    <n v="86"/>
    <n v="41"/>
    <x v="0"/>
    <n v="2024"/>
  </r>
  <r>
    <x v="109"/>
    <x v="24"/>
    <x v="6"/>
    <x v="13"/>
    <x v="1"/>
    <x v="24"/>
    <x v="92"/>
    <n v="85"/>
    <n v="77"/>
    <n v="81"/>
    <n v="55"/>
    <x v="4"/>
    <n v="2024"/>
  </r>
  <r>
    <x v="110"/>
    <x v="101"/>
    <x v="9"/>
    <x v="39"/>
    <x v="0"/>
    <x v="34"/>
    <x v="93"/>
    <n v="98"/>
    <n v="80"/>
    <n v="81"/>
    <n v="59"/>
    <x v="1"/>
    <n v="2025"/>
  </r>
  <r>
    <x v="111"/>
    <x v="102"/>
    <x v="6"/>
    <x v="7"/>
    <x v="0"/>
    <x v="34"/>
    <x v="90"/>
    <n v="90"/>
    <n v="60"/>
    <n v="94"/>
    <n v="7"/>
    <x v="3"/>
    <n v="2025"/>
  </r>
  <r>
    <x v="112"/>
    <x v="103"/>
    <x v="3"/>
    <x v="40"/>
    <x v="1"/>
    <x v="28"/>
    <x v="94"/>
    <n v="97"/>
    <n v="73"/>
    <n v="91"/>
    <n v="8"/>
    <x v="4"/>
    <n v="2024"/>
  </r>
  <r>
    <x v="113"/>
    <x v="104"/>
    <x v="4"/>
    <x v="41"/>
    <x v="0"/>
    <x v="16"/>
    <x v="2"/>
    <n v="97"/>
    <n v="80"/>
    <n v="69"/>
    <n v="33"/>
    <x v="1"/>
    <n v="2025"/>
  </r>
  <r>
    <x v="114"/>
    <x v="105"/>
    <x v="8"/>
    <x v="24"/>
    <x v="1"/>
    <x v="10"/>
    <x v="78"/>
    <n v="79"/>
    <n v="76"/>
    <n v="96"/>
    <n v="13"/>
    <x v="1"/>
    <n v="2026"/>
  </r>
  <r>
    <x v="115"/>
    <x v="106"/>
    <x v="0"/>
    <x v="27"/>
    <x v="0"/>
    <x v="21"/>
    <x v="95"/>
    <n v="65"/>
    <n v="74"/>
    <n v="72"/>
    <n v="46"/>
    <x v="2"/>
    <n v="2024"/>
  </r>
  <r>
    <x v="116"/>
    <x v="107"/>
    <x v="9"/>
    <x v="39"/>
    <x v="0"/>
    <x v="32"/>
    <x v="96"/>
    <n v="90"/>
    <n v="97"/>
    <n v="85"/>
    <n v="7"/>
    <x v="4"/>
    <n v="2026"/>
  </r>
  <r>
    <x v="117"/>
    <x v="108"/>
    <x v="5"/>
    <x v="35"/>
    <x v="1"/>
    <x v="8"/>
    <x v="97"/>
    <n v="78"/>
    <n v="76"/>
    <n v="66"/>
    <n v="48"/>
    <x v="3"/>
    <n v="2026"/>
  </r>
  <r>
    <x v="118"/>
    <x v="109"/>
    <x v="1"/>
    <x v="1"/>
    <x v="0"/>
    <x v="21"/>
    <x v="98"/>
    <n v="100"/>
    <n v="75"/>
    <n v="87"/>
    <n v="11"/>
    <x v="2"/>
    <n v="2026"/>
  </r>
  <r>
    <x v="119"/>
    <x v="110"/>
    <x v="4"/>
    <x v="37"/>
    <x v="0"/>
    <x v="11"/>
    <x v="0"/>
    <n v="94"/>
    <n v="64"/>
    <n v="80"/>
    <n v="18"/>
    <x v="3"/>
    <n v="2026"/>
  </r>
  <r>
    <x v="120"/>
    <x v="111"/>
    <x v="2"/>
    <x v="14"/>
    <x v="0"/>
    <x v="14"/>
    <x v="99"/>
    <n v="88"/>
    <n v="64"/>
    <n v="92"/>
    <n v="23"/>
    <x v="1"/>
    <n v="2024"/>
  </r>
  <r>
    <x v="121"/>
    <x v="112"/>
    <x v="9"/>
    <x v="39"/>
    <x v="1"/>
    <x v="19"/>
    <x v="100"/>
    <n v="85"/>
    <n v="81"/>
    <n v="91"/>
    <n v="46"/>
    <x v="3"/>
    <n v="2025"/>
  </r>
  <r>
    <x v="122"/>
    <x v="113"/>
    <x v="8"/>
    <x v="22"/>
    <x v="1"/>
    <x v="32"/>
    <x v="101"/>
    <n v="80"/>
    <n v="99"/>
    <n v="66"/>
    <n v="15"/>
    <x v="3"/>
    <n v="2024"/>
  </r>
  <r>
    <x v="123"/>
    <x v="114"/>
    <x v="6"/>
    <x v="34"/>
    <x v="0"/>
    <x v="0"/>
    <x v="102"/>
    <n v="71"/>
    <n v="97"/>
    <n v="66"/>
    <n v="11"/>
    <x v="4"/>
    <n v="2024"/>
  </r>
  <r>
    <x v="124"/>
    <x v="115"/>
    <x v="7"/>
    <x v="42"/>
    <x v="1"/>
    <x v="9"/>
    <x v="39"/>
    <n v="94"/>
    <n v="92"/>
    <n v="87"/>
    <n v="18"/>
    <x v="0"/>
    <n v="2026"/>
  </r>
  <r>
    <x v="125"/>
    <x v="116"/>
    <x v="2"/>
    <x v="2"/>
    <x v="0"/>
    <x v="12"/>
    <x v="61"/>
    <n v="71"/>
    <n v="84"/>
    <n v="70"/>
    <n v="9"/>
    <x v="1"/>
    <n v="2026"/>
  </r>
  <r>
    <x v="126"/>
    <x v="117"/>
    <x v="9"/>
    <x v="43"/>
    <x v="0"/>
    <x v="26"/>
    <x v="103"/>
    <n v="98"/>
    <n v="100"/>
    <n v="100"/>
    <n v="51"/>
    <x v="0"/>
    <n v="2026"/>
  </r>
  <r>
    <x v="127"/>
    <x v="88"/>
    <x v="6"/>
    <x v="34"/>
    <x v="0"/>
    <x v="30"/>
    <x v="104"/>
    <n v="95"/>
    <n v="63"/>
    <n v="95"/>
    <n v="47"/>
    <x v="4"/>
    <n v="2026"/>
  </r>
  <r>
    <x v="128"/>
    <x v="118"/>
    <x v="6"/>
    <x v="13"/>
    <x v="0"/>
    <x v="33"/>
    <x v="46"/>
    <n v="79"/>
    <n v="72"/>
    <n v="83"/>
    <n v="20"/>
    <x v="3"/>
    <n v="2024"/>
  </r>
  <r>
    <x v="129"/>
    <x v="7"/>
    <x v="8"/>
    <x v="22"/>
    <x v="1"/>
    <x v="20"/>
    <x v="105"/>
    <n v="85"/>
    <n v="74"/>
    <n v="94"/>
    <n v="25"/>
    <x v="2"/>
    <n v="2026"/>
  </r>
  <r>
    <x v="130"/>
    <x v="119"/>
    <x v="8"/>
    <x v="22"/>
    <x v="0"/>
    <x v="22"/>
    <x v="79"/>
    <n v="88"/>
    <n v="83"/>
    <n v="70"/>
    <n v="27"/>
    <x v="4"/>
    <n v="2026"/>
  </r>
  <r>
    <x v="131"/>
    <x v="120"/>
    <x v="0"/>
    <x v="27"/>
    <x v="0"/>
    <x v="15"/>
    <x v="106"/>
    <n v="85"/>
    <n v="90"/>
    <n v="79"/>
    <n v="33"/>
    <x v="0"/>
    <n v="2024"/>
  </r>
  <r>
    <x v="132"/>
    <x v="121"/>
    <x v="3"/>
    <x v="9"/>
    <x v="0"/>
    <x v="32"/>
    <x v="33"/>
    <n v="70"/>
    <n v="94"/>
    <n v="80"/>
    <n v="54"/>
    <x v="0"/>
    <n v="2026"/>
  </r>
  <r>
    <x v="133"/>
    <x v="122"/>
    <x v="7"/>
    <x v="26"/>
    <x v="1"/>
    <x v="28"/>
    <x v="107"/>
    <n v="70"/>
    <n v="98"/>
    <n v="81"/>
    <n v="55"/>
    <x v="3"/>
    <n v="2025"/>
  </r>
  <r>
    <x v="134"/>
    <x v="123"/>
    <x v="8"/>
    <x v="20"/>
    <x v="0"/>
    <x v="35"/>
    <x v="108"/>
    <n v="67"/>
    <n v="86"/>
    <n v="91"/>
    <n v="37"/>
    <x v="1"/>
    <n v="2026"/>
  </r>
  <r>
    <x v="135"/>
    <x v="124"/>
    <x v="2"/>
    <x v="38"/>
    <x v="0"/>
    <x v="3"/>
    <x v="109"/>
    <n v="74"/>
    <n v="71"/>
    <n v="94"/>
    <n v="5"/>
    <x v="1"/>
    <n v="2024"/>
  </r>
  <r>
    <x v="136"/>
    <x v="125"/>
    <x v="4"/>
    <x v="36"/>
    <x v="1"/>
    <x v="29"/>
    <x v="110"/>
    <n v="97"/>
    <n v="90"/>
    <n v="71"/>
    <n v="13"/>
    <x v="2"/>
    <n v="2025"/>
  </r>
  <r>
    <x v="137"/>
    <x v="126"/>
    <x v="4"/>
    <x v="36"/>
    <x v="0"/>
    <x v="10"/>
    <x v="36"/>
    <n v="72"/>
    <n v="64"/>
    <n v="73"/>
    <n v="37"/>
    <x v="4"/>
    <n v="2025"/>
  </r>
  <r>
    <x v="138"/>
    <x v="127"/>
    <x v="8"/>
    <x v="24"/>
    <x v="1"/>
    <x v="5"/>
    <x v="73"/>
    <n v="84"/>
    <n v="68"/>
    <n v="90"/>
    <n v="49"/>
    <x v="4"/>
    <n v="2024"/>
  </r>
  <r>
    <x v="139"/>
    <x v="128"/>
    <x v="0"/>
    <x v="27"/>
    <x v="0"/>
    <x v="10"/>
    <x v="111"/>
    <n v="69"/>
    <n v="81"/>
    <n v="86"/>
    <n v="42"/>
    <x v="4"/>
    <n v="2026"/>
  </r>
  <r>
    <x v="140"/>
    <x v="129"/>
    <x v="8"/>
    <x v="24"/>
    <x v="1"/>
    <x v="4"/>
    <x v="112"/>
    <n v="64"/>
    <n v="64"/>
    <n v="87"/>
    <n v="33"/>
    <x v="0"/>
    <n v="2026"/>
  </r>
  <r>
    <x v="141"/>
    <x v="31"/>
    <x v="4"/>
    <x v="4"/>
    <x v="0"/>
    <x v="7"/>
    <x v="113"/>
    <n v="89"/>
    <n v="78"/>
    <n v="95"/>
    <n v="49"/>
    <x v="1"/>
    <n v="2026"/>
  </r>
  <r>
    <x v="142"/>
    <x v="130"/>
    <x v="5"/>
    <x v="18"/>
    <x v="1"/>
    <x v="32"/>
    <x v="114"/>
    <n v="99"/>
    <n v="92"/>
    <n v="70"/>
    <n v="14"/>
    <x v="2"/>
    <n v="2026"/>
  </r>
  <r>
    <x v="143"/>
    <x v="131"/>
    <x v="7"/>
    <x v="23"/>
    <x v="0"/>
    <x v="13"/>
    <x v="115"/>
    <n v="91"/>
    <n v="84"/>
    <n v="85"/>
    <n v="33"/>
    <x v="1"/>
    <n v="2026"/>
  </r>
  <r>
    <x v="144"/>
    <x v="132"/>
    <x v="2"/>
    <x v="14"/>
    <x v="1"/>
    <x v="10"/>
    <x v="116"/>
    <n v="79"/>
    <n v="66"/>
    <n v="79"/>
    <n v="24"/>
    <x v="0"/>
    <n v="2025"/>
  </r>
  <r>
    <x v="145"/>
    <x v="133"/>
    <x v="2"/>
    <x v="38"/>
    <x v="0"/>
    <x v="29"/>
    <x v="3"/>
    <n v="95"/>
    <n v="93"/>
    <n v="97"/>
    <n v="59"/>
    <x v="0"/>
    <n v="2025"/>
  </r>
  <r>
    <x v="146"/>
    <x v="134"/>
    <x v="3"/>
    <x v="40"/>
    <x v="1"/>
    <x v="23"/>
    <x v="117"/>
    <n v="82"/>
    <n v="71"/>
    <n v="74"/>
    <n v="7"/>
    <x v="1"/>
    <n v="2025"/>
  </r>
  <r>
    <x v="147"/>
    <x v="135"/>
    <x v="0"/>
    <x v="27"/>
    <x v="1"/>
    <x v="24"/>
    <x v="118"/>
    <n v="98"/>
    <n v="99"/>
    <n v="85"/>
    <n v="11"/>
    <x v="3"/>
    <n v="2025"/>
  </r>
  <r>
    <x v="148"/>
    <x v="136"/>
    <x v="1"/>
    <x v="11"/>
    <x v="1"/>
    <x v="27"/>
    <x v="25"/>
    <n v="80"/>
    <n v="77"/>
    <n v="96"/>
    <n v="33"/>
    <x v="1"/>
    <n v="2024"/>
  </r>
  <r>
    <x v="149"/>
    <x v="137"/>
    <x v="8"/>
    <x v="24"/>
    <x v="0"/>
    <x v="10"/>
    <x v="102"/>
    <n v="78"/>
    <n v="98"/>
    <n v="71"/>
    <n v="19"/>
    <x v="3"/>
    <n v="2024"/>
  </r>
  <r>
    <x v="150"/>
    <x v="138"/>
    <x v="7"/>
    <x v="10"/>
    <x v="1"/>
    <x v="19"/>
    <x v="119"/>
    <n v="97"/>
    <n v="92"/>
    <n v="75"/>
    <n v="6"/>
    <x v="4"/>
    <n v="2024"/>
  </r>
  <r>
    <x v="151"/>
    <x v="139"/>
    <x v="8"/>
    <x v="24"/>
    <x v="0"/>
    <x v="14"/>
    <x v="120"/>
    <n v="96"/>
    <n v="94"/>
    <n v="77"/>
    <n v="5"/>
    <x v="0"/>
    <n v="2024"/>
  </r>
  <r>
    <x v="152"/>
    <x v="140"/>
    <x v="8"/>
    <x v="22"/>
    <x v="1"/>
    <x v="0"/>
    <x v="121"/>
    <n v="80"/>
    <n v="96"/>
    <n v="92"/>
    <n v="51"/>
    <x v="0"/>
    <n v="2026"/>
  </r>
  <r>
    <x v="153"/>
    <x v="141"/>
    <x v="3"/>
    <x v="9"/>
    <x v="1"/>
    <x v="21"/>
    <x v="93"/>
    <n v="91"/>
    <n v="78"/>
    <n v="72"/>
    <n v="50"/>
    <x v="2"/>
    <n v="2025"/>
  </r>
  <r>
    <x v="154"/>
    <x v="142"/>
    <x v="2"/>
    <x v="2"/>
    <x v="0"/>
    <x v="36"/>
    <x v="122"/>
    <n v="93"/>
    <n v="76"/>
    <n v="70"/>
    <n v="60"/>
    <x v="1"/>
    <n v="2025"/>
  </r>
  <r>
    <x v="155"/>
    <x v="143"/>
    <x v="0"/>
    <x v="29"/>
    <x v="0"/>
    <x v="11"/>
    <x v="104"/>
    <n v="69"/>
    <n v="82"/>
    <n v="70"/>
    <n v="52"/>
    <x v="1"/>
    <n v="2026"/>
  </r>
  <r>
    <x v="156"/>
    <x v="13"/>
    <x v="8"/>
    <x v="22"/>
    <x v="1"/>
    <x v="35"/>
    <x v="106"/>
    <n v="72"/>
    <n v="92"/>
    <n v="86"/>
    <n v="22"/>
    <x v="0"/>
    <n v="2026"/>
  </r>
  <r>
    <x v="157"/>
    <x v="1"/>
    <x v="4"/>
    <x v="36"/>
    <x v="1"/>
    <x v="19"/>
    <x v="123"/>
    <n v="66"/>
    <n v="80"/>
    <n v="67"/>
    <n v="32"/>
    <x v="2"/>
    <n v="2026"/>
  </r>
  <r>
    <x v="158"/>
    <x v="144"/>
    <x v="3"/>
    <x v="16"/>
    <x v="1"/>
    <x v="31"/>
    <x v="124"/>
    <n v="82"/>
    <n v="72"/>
    <n v="100"/>
    <n v="47"/>
    <x v="2"/>
    <n v="2026"/>
  </r>
  <r>
    <x v="159"/>
    <x v="145"/>
    <x v="9"/>
    <x v="28"/>
    <x v="1"/>
    <x v="13"/>
    <x v="125"/>
    <n v="77"/>
    <n v="68"/>
    <n v="89"/>
    <n v="60"/>
    <x v="1"/>
    <n v="2026"/>
  </r>
  <r>
    <x v="160"/>
    <x v="46"/>
    <x v="4"/>
    <x v="4"/>
    <x v="1"/>
    <x v="29"/>
    <x v="126"/>
    <n v="92"/>
    <n v="69"/>
    <n v="96"/>
    <n v="57"/>
    <x v="1"/>
    <n v="2026"/>
  </r>
  <r>
    <x v="161"/>
    <x v="146"/>
    <x v="1"/>
    <x v="1"/>
    <x v="1"/>
    <x v="33"/>
    <x v="82"/>
    <n v="70"/>
    <n v="72"/>
    <n v="70"/>
    <n v="38"/>
    <x v="1"/>
    <n v="2024"/>
  </r>
  <r>
    <x v="162"/>
    <x v="147"/>
    <x v="0"/>
    <x v="27"/>
    <x v="1"/>
    <x v="1"/>
    <x v="127"/>
    <n v="93"/>
    <n v="95"/>
    <n v="78"/>
    <n v="50"/>
    <x v="1"/>
    <n v="2024"/>
  </r>
  <r>
    <x v="163"/>
    <x v="148"/>
    <x v="5"/>
    <x v="35"/>
    <x v="0"/>
    <x v="3"/>
    <x v="110"/>
    <n v="78"/>
    <n v="99"/>
    <n v="89"/>
    <n v="45"/>
    <x v="4"/>
    <n v="2024"/>
  </r>
  <r>
    <x v="164"/>
    <x v="149"/>
    <x v="0"/>
    <x v="0"/>
    <x v="0"/>
    <x v="24"/>
    <x v="94"/>
    <n v="92"/>
    <n v="93"/>
    <n v="76"/>
    <n v="24"/>
    <x v="1"/>
    <n v="2025"/>
  </r>
  <r>
    <x v="165"/>
    <x v="150"/>
    <x v="4"/>
    <x v="4"/>
    <x v="0"/>
    <x v="37"/>
    <x v="48"/>
    <n v="93"/>
    <n v="100"/>
    <n v="90"/>
    <n v="43"/>
    <x v="3"/>
    <n v="2026"/>
  </r>
  <r>
    <x v="166"/>
    <x v="151"/>
    <x v="6"/>
    <x v="13"/>
    <x v="1"/>
    <x v="19"/>
    <x v="41"/>
    <n v="68"/>
    <n v="74"/>
    <n v="72"/>
    <n v="53"/>
    <x v="3"/>
    <n v="2025"/>
  </r>
  <r>
    <x v="167"/>
    <x v="152"/>
    <x v="6"/>
    <x v="7"/>
    <x v="0"/>
    <x v="27"/>
    <x v="23"/>
    <n v="82"/>
    <n v="75"/>
    <n v="92"/>
    <n v="12"/>
    <x v="1"/>
    <n v="2025"/>
  </r>
  <r>
    <x v="168"/>
    <x v="153"/>
    <x v="6"/>
    <x v="7"/>
    <x v="0"/>
    <x v="6"/>
    <x v="128"/>
    <n v="69"/>
    <n v="82"/>
    <n v="90"/>
    <n v="50"/>
    <x v="1"/>
    <n v="2025"/>
  </r>
  <r>
    <x v="169"/>
    <x v="154"/>
    <x v="0"/>
    <x v="0"/>
    <x v="1"/>
    <x v="28"/>
    <x v="129"/>
    <n v="93"/>
    <n v="98"/>
    <n v="91"/>
    <n v="48"/>
    <x v="1"/>
    <n v="2024"/>
  </r>
  <r>
    <x v="170"/>
    <x v="16"/>
    <x v="9"/>
    <x v="31"/>
    <x v="1"/>
    <x v="10"/>
    <x v="102"/>
    <n v="94"/>
    <n v="73"/>
    <n v="91"/>
    <n v="8"/>
    <x v="4"/>
    <n v="2025"/>
  </r>
  <r>
    <x v="171"/>
    <x v="155"/>
    <x v="6"/>
    <x v="7"/>
    <x v="0"/>
    <x v="11"/>
    <x v="130"/>
    <n v="82"/>
    <n v="86"/>
    <n v="90"/>
    <n v="56"/>
    <x v="0"/>
    <n v="2025"/>
  </r>
  <r>
    <x v="172"/>
    <x v="7"/>
    <x v="0"/>
    <x v="5"/>
    <x v="1"/>
    <x v="24"/>
    <x v="131"/>
    <n v="65"/>
    <n v="77"/>
    <n v="96"/>
    <n v="51"/>
    <x v="1"/>
    <n v="2025"/>
  </r>
  <r>
    <x v="173"/>
    <x v="156"/>
    <x v="3"/>
    <x v="40"/>
    <x v="1"/>
    <x v="31"/>
    <x v="7"/>
    <n v="64"/>
    <n v="79"/>
    <n v="93"/>
    <n v="31"/>
    <x v="1"/>
    <n v="2026"/>
  </r>
  <r>
    <x v="174"/>
    <x v="101"/>
    <x v="1"/>
    <x v="1"/>
    <x v="0"/>
    <x v="35"/>
    <x v="132"/>
    <n v="96"/>
    <n v="73"/>
    <n v="72"/>
    <n v="44"/>
    <x v="4"/>
    <n v="2025"/>
  </r>
  <r>
    <x v="175"/>
    <x v="157"/>
    <x v="3"/>
    <x v="40"/>
    <x v="1"/>
    <x v="29"/>
    <x v="133"/>
    <n v="96"/>
    <n v="61"/>
    <n v="66"/>
    <n v="56"/>
    <x v="0"/>
    <n v="2024"/>
  </r>
  <r>
    <x v="176"/>
    <x v="158"/>
    <x v="0"/>
    <x v="25"/>
    <x v="1"/>
    <x v="28"/>
    <x v="134"/>
    <n v="83"/>
    <n v="82"/>
    <n v="100"/>
    <n v="9"/>
    <x v="2"/>
    <n v="2026"/>
  </r>
  <r>
    <x v="177"/>
    <x v="159"/>
    <x v="8"/>
    <x v="24"/>
    <x v="1"/>
    <x v="6"/>
    <x v="135"/>
    <n v="96"/>
    <n v="72"/>
    <n v="75"/>
    <n v="58"/>
    <x v="4"/>
    <n v="2025"/>
  </r>
  <r>
    <x v="178"/>
    <x v="160"/>
    <x v="4"/>
    <x v="41"/>
    <x v="1"/>
    <x v="24"/>
    <x v="136"/>
    <n v="76"/>
    <n v="78"/>
    <n v="75"/>
    <n v="28"/>
    <x v="3"/>
    <n v="2025"/>
  </r>
  <r>
    <x v="179"/>
    <x v="128"/>
    <x v="2"/>
    <x v="14"/>
    <x v="0"/>
    <x v="32"/>
    <x v="137"/>
    <n v="77"/>
    <n v="60"/>
    <n v="67"/>
    <n v="59"/>
    <x v="2"/>
    <n v="2026"/>
  </r>
  <r>
    <x v="180"/>
    <x v="161"/>
    <x v="7"/>
    <x v="42"/>
    <x v="1"/>
    <x v="26"/>
    <x v="138"/>
    <n v="87"/>
    <n v="91"/>
    <n v="67"/>
    <n v="15"/>
    <x v="3"/>
    <n v="2025"/>
  </r>
  <r>
    <x v="181"/>
    <x v="76"/>
    <x v="8"/>
    <x v="24"/>
    <x v="1"/>
    <x v="25"/>
    <x v="36"/>
    <n v="77"/>
    <n v="62"/>
    <n v="82"/>
    <n v="52"/>
    <x v="2"/>
    <n v="2025"/>
  </r>
  <r>
    <x v="182"/>
    <x v="16"/>
    <x v="7"/>
    <x v="26"/>
    <x v="1"/>
    <x v="13"/>
    <x v="139"/>
    <n v="70"/>
    <n v="77"/>
    <n v="70"/>
    <n v="9"/>
    <x v="2"/>
    <n v="2026"/>
  </r>
  <r>
    <x v="183"/>
    <x v="162"/>
    <x v="5"/>
    <x v="35"/>
    <x v="0"/>
    <x v="29"/>
    <x v="116"/>
    <n v="88"/>
    <n v="61"/>
    <n v="65"/>
    <n v="52"/>
    <x v="4"/>
    <n v="2026"/>
  </r>
  <r>
    <x v="184"/>
    <x v="163"/>
    <x v="1"/>
    <x v="11"/>
    <x v="1"/>
    <x v="27"/>
    <x v="140"/>
    <n v="68"/>
    <n v="97"/>
    <n v="90"/>
    <n v="17"/>
    <x v="4"/>
    <n v="2025"/>
  </r>
  <r>
    <x v="185"/>
    <x v="164"/>
    <x v="0"/>
    <x v="29"/>
    <x v="0"/>
    <x v="16"/>
    <x v="141"/>
    <n v="89"/>
    <n v="92"/>
    <n v="66"/>
    <n v="24"/>
    <x v="3"/>
    <n v="2025"/>
  </r>
  <r>
    <x v="186"/>
    <x v="165"/>
    <x v="2"/>
    <x v="2"/>
    <x v="0"/>
    <x v="35"/>
    <x v="72"/>
    <n v="78"/>
    <n v="96"/>
    <n v="95"/>
    <n v="29"/>
    <x v="3"/>
    <n v="2025"/>
  </r>
  <r>
    <x v="187"/>
    <x v="166"/>
    <x v="8"/>
    <x v="24"/>
    <x v="1"/>
    <x v="3"/>
    <x v="142"/>
    <n v="88"/>
    <n v="95"/>
    <n v="82"/>
    <n v="35"/>
    <x v="3"/>
    <n v="2026"/>
  </r>
  <r>
    <x v="188"/>
    <x v="167"/>
    <x v="6"/>
    <x v="13"/>
    <x v="0"/>
    <x v="12"/>
    <x v="143"/>
    <n v="77"/>
    <n v="84"/>
    <n v="66"/>
    <n v="36"/>
    <x v="0"/>
    <n v="2025"/>
  </r>
  <r>
    <x v="189"/>
    <x v="168"/>
    <x v="0"/>
    <x v="5"/>
    <x v="1"/>
    <x v="37"/>
    <x v="78"/>
    <n v="68"/>
    <n v="88"/>
    <n v="79"/>
    <n v="41"/>
    <x v="2"/>
    <n v="2025"/>
  </r>
  <r>
    <x v="190"/>
    <x v="169"/>
    <x v="3"/>
    <x v="16"/>
    <x v="1"/>
    <x v="17"/>
    <x v="144"/>
    <n v="90"/>
    <n v="83"/>
    <n v="95"/>
    <n v="41"/>
    <x v="2"/>
    <n v="2026"/>
  </r>
  <r>
    <x v="191"/>
    <x v="170"/>
    <x v="4"/>
    <x v="36"/>
    <x v="1"/>
    <x v="29"/>
    <x v="145"/>
    <n v="71"/>
    <n v="100"/>
    <n v="70"/>
    <n v="11"/>
    <x v="4"/>
    <n v="2024"/>
  </r>
  <r>
    <x v="192"/>
    <x v="20"/>
    <x v="4"/>
    <x v="37"/>
    <x v="0"/>
    <x v="8"/>
    <x v="88"/>
    <n v="93"/>
    <n v="97"/>
    <n v="80"/>
    <n v="10"/>
    <x v="1"/>
    <n v="2025"/>
  </r>
  <r>
    <x v="193"/>
    <x v="171"/>
    <x v="8"/>
    <x v="24"/>
    <x v="0"/>
    <x v="10"/>
    <x v="64"/>
    <n v="92"/>
    <n v="93"/>
    <n v="79"/>
    <n v="8"/>
    <x v="0"/>
    <n v="2025"/>
  </r>
  <r>
    <x v="194"/>
    <x v="172"/>
    <x v="2"/>
    <x v="14"/>
    <x v="0"/>
    <x v="1"/>
    <x v="146"/>
    <n v="83"/>
    <n v="69"/>
    <n v="67"/>
    <n v="25"/>
    <x v="4"/>
    <n v="2026"/>
  </r>
  <r>
    <x v="195"/>
    <x v="123"/>
    <x v="0"/>
    <x v="0"/>
    <x v="0"/>
    <x v="5"/>
    <x v="147"/>
    <n v="62"/>
    <n v="77"/>
    <n v="78"/>
    <n v="53"/>
    <x v="4"/>
    <n v="2025"/>
  </r>
  <r>
    <x v="196"/>
    <x v="173"/>
    <x v="8"/>
    <x v="20"/>
    <x v="0"/>
    <x v="33"/>
    <x v="62"/>
    <n v="82"/>
    <n v="75"/>
    <n v="85"/>
    <n v="34"/>
    <x v="0"/>
    <n v="2026"/>
  </r>
  <r>
    <x v="197"/>
    <x v="174"/>
    <x v="0"/>
    <x v="29"/>
    <x v="1"/>
    <x v="20"/>
    <x v="86"/>
    <n v="67"/>
    <n v="66"/>
    <n v="92"/>
    <n v="49"/>
    <x v="2"/>
    <n v="2025"/>
  </r>
  <r>
    <x v="198"/>
    <x v="175"/>
    <x v="8"/>
    <x v="20"/>
    <x v="0"/>
    <x v="6"/>
    <x v="133"/>
    <n v="62"/>
    <n v="70"/>
    <n v="98"/>
    <n v="52"/>
    <x v="2"/>
    <n v="2024"/>
  </r>
  <r>
    <x v="199"/>
    <x v="176"/>
    <x v="4"/>
    <x v="41"/>
    <x v="0"/>
    <x v="9"/>
    <x v="126"/>
    <n v="69"/>
    <n v="62"/>
    <n v="92"/>
    <n v="36"/>
    <x v="1"/>
    <n v="2026"/>
  </r>
  <r>
    <x v="200"/>
    <x v="118"/>
    <x v="2"/>
    <x v="38"/>
    <x v="1"/>
    <x v="15"/>
    <x v="148"/>
    <n v="93"/>
    <n v="68"/>
    <n v="100"/>
    <n v="31"/>
    <x v="0"/>
    <n v="2024"/>
  </r>
  <r>
    <x v="201"/>
    <x v="177"/>
    <x v="3"/>
    <x v="40"/>
    <x v="0"/>
    <x v="13"/>
    <x v="149"/>
    <n v="89"/>
    <n v="78"/>
    <n v="82"/>
    <n v="38"/>
    <x v="3"/>
    <n v="2026"/>
  </r>
  <r>
    <x v="202"/>
    <x v="164"/>
    <x v="1"/>
    <x v="12"/>
    <x v="0"/>
    <x v="13"/>
    <x v="122"/>
    <n v="98"/>
    <n v="70"/>
    <n v="74"/>
    <n v="23"/>
    <x v="4"/>
    <n v="2026"/>
  </r>
  <r>
    <x v="203"/>
    <x v="178"/>
    <x v="1"/>
    <x v="11"/>
    <x v="1"/>
    <x v="6"/>
    <x v="72"/>
    <n v="85"/>
    <n v="93"/>
    <n v="81"/>
    <n v="35"/>
    <x v="0"/>
    <n v="2024"/>
  </r>
  <r>
    <x v="204"/>
    <x v="92"/>
    <x v="8"/>
    <x v="20"/>
    <x v="1"/>
    <x v="13"/>
    <x v="55"/>
    <n v="70"/>
    <n v="70"/>
    <n v="98"/>
    <n v="50"/>
    <x v="0"/>
    <n v="2024"/>
  </r>
  <r>
    <x v="205"/>
    <x v="179"/>
    <x v="1"/>
    <x v="1"/>
    <x v="0"/>
    <x v="13"/>
    <x v="150"/>
    <n v="73"/>
    <n v="69"/>
    <n v="95"/>
    <n v="9"/>
    <x v="2"/>
    <n v="2025"/>
  </r>
  <r>
    <x v="206"/>
    <x v="180"/>
    <x v="9"/>
    <x v="31"/>
    <x v="1"/>
    <x v="34"/>
    <x v="151"/>
    <n v="74"/>
    <n v="66"/>
    <n v="99"/>
    <n v="34"/>
    <x v="3"/>
    <n v="2024"/>
  </r>
  <r>
    <x v="207"/>
    <x v="181"/>
    <x v="8"/>
    <x v="24"/>
    <x v="0"/>
    <x v="25"/>
    <x v="152"/>
    <n v="91"/>
    <n v="98"/>
    <n v="75"/>
    <n v="9"/>
    <x v="3"/>
    <n v="2026"/>
  </r>
  <r>
    <x v="208"/>
    <x v="182"/>
    <x v="7"/>
    <x v="26"/>
    <x v="0"/>
    <x v="5"/>
    <x v="153"/>
    <n v="76"/>
    <n v="82"/>
    <n v="65"/>
    <n v="17"/>
    <x v="3"/>
    <n v="2025"/>
  </r>
  <r>
    <x v="209"/>
    <x v="183"/>
    <x v="6"/>
    <x v="21"/>
    <x v="1"/>
    <x v="13"/>
    <x v="154"/>
    <n v="89"/>
    <n v="97"/>
    <n v="84"/>
    <n v="28"/>
    <x v="4"/>
    <n v="2025"/>
  </r>
  <r>
    <x v="210"/>
    <x v="184"/>
    <x v="3"/>
    <x v="3"/>
    <x v="1"/>
    <x v="7"/>
    <x v="55"/>
    <n v="97"/>
    <n v="94"/>
    <n v="77"/>
    <n v="9"/>
    <x v="4"/>
    <n v="2024"/>
  </r>
  <r>
    <x v="211"/>
    <x v="168"/>
    <x v="1"/>
    <x v="15"/>
    <x v="0"/>
    <x v="28"/>
    <x v="138"/>
    <n v="75"/>
    <n v="77"/>
    <n v="76"/>
    <n v="21"/>
    <x v="4"/>
    <n v="2024"/>
  </r>
  <r>
    <x v="212"/>
    <x v="129"/>
    <x v="5"/>
    <x v="35"/>
    <x v="1"/>
    <x v="27"/>
    <x v="93"/>
    <n v="95"/>
    <n v="97"/>
    <n v="89"/>
    <n v="26"/>
    <x v="4"/>
    <n v="2026"/>
  </r>
  <r>
    <x v="213"/>
    <x v="185"/>
    <x v="0"/>
    <x v="29"/>
    <x v="1"/>
    <x v="35"/>
    <x v="155"/>
    <n v="92"/>
    <n v="73"/>
    <n v="75"/>
    <n v="5"/>
    <x v="1"/>
    <n v="2024"/>
  </r>
  <r>
    <x v="214"/>
    <x v="186"/>
    <x v="9"/>
    <x v="44"/>
    <x v="1"/>
    <x v="7"/>
    <x v="142"/>
    <n v="71"/>
    <n v="69"/>
    <n v="75"/>
    <n v="35"/>
    <x v="2"/>
    <n v="2025"/>
  </r>
  <r>
    <x v="215"/>
    <x v="18"/>
    <x v="8"/>
    <x v="33"/>
    <x v="1"/>
    <x v="28"/>
    <x v="156"/>
    <n v="65"/>
    <n v="68"/>
    <n v="97"/>
    <n v="56"/>
    <x v="0"/>
    <n v="2025"/>
  </r>
  <r>
    <x v="216"/>
    <x v="29"/>
    <x v="1"/>
    <x v="12"/>
    <x v="1"/>
    <x v="7"/>
    <x v="157"/>
    <n v="82"/>
    <n v="79"/>
    <n v="97"/>
    <n v="53"/>
    <x v="2"/>
    <n v="2024"/>
  </r>
  <r>
    <x v="217"/>
    <x v="73"/>
    <x v="7"/>
    <x v="10"/>
    <x v="0"/>
    <x v="9"/>
    <x v="153"/>
    <n v="86"/>
    <n v="84"/>
    <n v="95"/>
    <n v="27"/>
    <x v="3"/>
    <n v="2026"/>
  </r>
  <r>
    <x v="218"/>
    <x v="187"/>
    <x v="5"/>
    <x v="6"/>
    <x v="1"/>
    <x v="24"/>
    <x v="150"/>
    <n v="67"/>
    <n v="98"/>
    <n v="78"/>
    <n v="15"/>
    <x v="3"/>
    <n v="2026"/>
  </r>
  <r>
    <x v="219"/>
    <x v="188"/>
    <x v="3"/>
    <x v="16"/>
    <x v="0"/>
    <x v="29"/>
    <x v="47"/>
    <n v="89"/>
    <n v="95"/>
    <n v="93"/>
    <n v="36"/>
    <x v="3"/>
    <n v="2026"/>
  </r>
  <r>
    <x v="220"/>
    <x v="189"/>
    <x v="1"/>
    <x v="1"/>
    <x v="0"/>
    <x v="33"/>
    <x v="158"/>
    <n v="89"/>
    <n v="82"/>
    <n v="76"/>
    <n v="6"/>
    <x v="3"/>
    <n v="2025"/>
  </r>
  <r>
    <x v="221"/>
    <x v="0"/>
    <x v="2"/>
    <x v="2"/>
    <x v="0"/>
    <x v="9"/>
    <x v="144"/>
    <n v="84"/>
    <n v="87"/>
    <n v="78"/>
    <n v="44"/>
    <x v="4"/>
    <n v="2024"/>
  </r>
  <r>
    <x v="222"/>
    <x v="167"/>
    <x v="4"/>
    <x v="4"/>
    <x v="1"/>
    <x v="1"/>
    <x v="159"/>
    <n v="73"/>
    <n v="60"/>
    <n v="77"/>
    <n v="33"/>
    <x v="3"/>
    <n v="2026"/>
  </r>
  <r>
    <x v="223"/>
    <x v="190"/>
    <x v="8"/>
    <x v="33"/>
    <x v="1"/>
    <x v="13"/>
    <x v="126"/>
    <n v="99"/>
    <n v="79"/>
    <n v="86"/>
    <n v="11"/>
    <x v="3"/>
    <n v="2025"/>
  </r>
  <r>
    <x v="224"/>
    <x v="191"/>
    <x v="5"/>
    <x v="45"/>
    <x v="1"/>
    <x v="1"/>
    <x v="103"/>
    <n v="62"/>
    <n v="98"/>
    <n v="82"/>
    <n v="7"/>
    <x v="3"/>
    <n v="2026"/>
  </r>
  <r>
    <x v="225"/>
    <x v="32"/>
    <x v="1"/>
    <x v="12"/>
    <x v="0"/>
    <x v="23"/>
    <x v="76"/>
    <n v="64"/>
    <n v="76"/>
    <n v="82"/>
    <n v="45"/>
    <x v="2"/>
    <n v="2026"/>
  </r>
  <r>
    <x v="226"/>
    <x v="57"/>
    <x v="3"/>
    <x v="3"/>
    <x v="0"/>
    <x v="31"/>
    <x v="6"/>
    <n v="92"/>
    <n v="98"/>
    <n v="94"/>
    <n v="36"/>
    <x v="1"/>
    <n v="2025"/>
  </r>
  <r>
    <x v="227"/>
    <x v="192"/>
    <x v="8"/>
    <x v="33"/>
    <x v="0"/>
    <x v="29"/>
    <x v="160"/>
    <n v="96"/>
    <n v="66"/>
    <n v="67"/>
    <n v="28"/>
    <x v="2"/>
    <n v="2026"/>
  </r>
  <r>
    <x v="228"/>
    <x v="193"/>
    <x v="1"/>
    <x v="11"/>
    <x v="1"/>
    <x v="3"/>
    <x v="31"/>
    <n v="71"/>
    <n v="71"/>
    <n v="73"/>
    <n v="10"/>
    <x v="0"/>
    <n v="2024"/>
  </r>
  <r>
    <x v="229"/>
    <x v="194"/>
    <x v="1"/>
    <x v="11"/>
    <x v="0"/>
    <x v="17"/>
    <x v="161"/>
    <n v="65"/>
    <n v="80"/>
    <n v="71"/>
    <n v="59"/>
    <x v="4"/>
    <n v="2025"/>
  </r>
  <r>
    <x v="230"/>
    <x v="195"/>
    <x v="2"/>
    <x v="14"/>
    <x v="0"/>
    <x v="18"/>
    <x v="162"/>
    <n v="74"/>
    <n v="99"/>
    <n v="66"/>
    <n v="26"/>
    <x v="3"/>
    <n v="2026"/>
  </r>
  <r>
    <x v="231"/>
    <x v="196"/>
    <x v="3"/>
    <x v="9"/>
    <x v="0"/>
    <x v="11"/>
    <x v="163"/>
    <n v="99"/>
    <n v="83"/>
    <n v="98"/>
    <n v="5"/>
    <x v="0"/>
    <n v="2025"/>
  </r>
  <r>
    <x v="232"/>
    <x v="197"/>
    <x v="3"/>
    <x v="16"/>
    <x v="1"/>
    <x v="24"/>
    <x v="129"/>
    <n v="65"/>
    <n v="64"/>
    <n v="77"/>
    <n v="57"/>
    <x v="4"/>
    <n v="2024"/>
  </r>
  <r>
    <x v="233"/>
    <x v="198"/>
    <x v="5"/>
    <x v="32"/>
    <x v="1"/>
    <x v="0"/>
    <x v="164"/>
    <n v="67"/>
    <n v="71"/>
    <n v="93"/>
    <n v="7"/>
    <x v="3"/>
    <n v="2026"/>
  </r>
  <r>
    <x v="234"/>
    <x v="199"/>
    <x v="5"/>
    <x v="18"/>
    <x v="1"/>
    <x v="34"/>
    <x v="165"/>
    <n v="94"/>
    <n v="86"/>
    <n v="76"/>
    <n v="45"/>
    <x v="2"/>
    <n v="2025"/>
  </r>
  <r>
    <x v="235"/>
    <x v="90"/>
    <x v="4"/>
    <x v="36"/>
    <x v="0"/>
    <x v="27"/>
    <x v="2"/>
    <n v="84"/>
    <n v="67"/>
    <n v="86"/>
    <n v="34"/>
    <x v="4"/>
    <n v="2026"/>
  </r>
  <r>
    <x v="236"/>
    <x v="200"/>
    <x v="0"/>
    <x v="0"/>
    <x v="1"/>
    <x v="32"/>
    <x v="166"/>
    <n v="91"/>
    <n v="65"/>
    <n v="72"/>
    <n v="10"/>
    <x v="1"/>
    <n v="2026"/>
  </r>
  <r>
    <x v="237"/>
    <x v="181"/>
    <x v="0"/>
    <x v="29"/>
    <x v="0"/>
    <x v="34"/>
    <x v="166"/>
    <n v="82"/>
    <n v="97"/>
    <n v="66"/>
    <n v="54"/>
    <x v="1"/>
    <n v="2024"/>
  </r>
  <r>
    <x v="238"/>
    <x v="201"/>
    <x v="7"/>
    <x v="19"/>
    <x v="1"/>
    <x v="9"/>
    <x v="89"/>
    <n v="85"/>
    <n v="89"/>
    <n v="70"/>
    <n v="51"/>
    <x v="1"/>
    <n v="2025"/>
  </r>
  <r>
    <x v="239"/>
    <x v="58"/>
    <x v="0"/>
    <x v="29"/>
    <x v="0"/>
    <x v="9"/>
    <x v="167"/>
    <n v="74"/>
    <n v="68"/>
    <n v="84"/>
    <n v="8"/>
    <x v="0"/>
    <n v="2026"/>
  </r>
  <r>
    <x v="240"/>
    <x v="18"/>
    <x v="9"/>
    <x v="44"/>
    <x v="0"/>
    <x v="20"/>
    <x v="168"/>
    <n v="79"/>
    <n v="68"/>
    <n v="85"/>
    <n v="31"/>
    <x v="1"/>
    <n v="2024"/>
  </r>
  <r>
    <x v="241"/>
    <x v="202"/>
    <x v="7"/>
    <x v="10"/>
    <x v="1"/>
    <x v="6"/>
    <x v="169"/>
    <n v="74"/>
    <n v="71"/>
    <n v="83"/>
    <n v="21"/>
    <x v="0"/>
    <n v="2025"/>
  </r>
  <r>
    <x v="242"/>
    <x v="87"/>
    <x v="1"/>
    <x v="15"/>
    <x v="1"/>
    <x v="9"/>
    <x v="142"/>
    <n v="84"/>
    <n v="97"/>
    <n v="88"/>
    <n v="27"/>
    <x v="4"/>
    <n v="2025"/>
  </r>
  <r>
    <x v="243"/>
    <x v="203"/>
    <x v="1"/>
    <x v="12"/>
    <x v="0"/>
    <x v="16"/>
    <x v="40"/>
    <n v="72"/>
    <n v="62"/>
    <n v="89"/>
    <n v="14"/>
    <x v="4"/>
    <n v="2026"/>
  </r>
  <r>
    <x v="244"/>
    <x v="204"/>
    <x v="8"/>
    <x v="33"/>
    <x v="0"/>
    <x v="13"/>
    <x v="135"/>
    <n v="89"/>
    <n v="82"/>
    <n v="83"/>
    <n v="18"/>
    <x v="3"/>
    <n v="2026"/>
  </r>
  <r>
    <x v="245"/>
    <x v="205"/>
    <x v="9"/>
    <x v="43"/>
    <x v="1"/>
    <x v="14"/>
    <x v="23"/>
    <n v="97"/>
    <n v="77"/>
    <n v="70"/>
    <n v="37"/>
    <x v="1"/>
    <n v="2025"/>
  </r>
  <r>
    <x v="246"/>
    <x v="206"/>
    <x v="9"/>
    <x v="39"/>
    <x v="1"/>
    <x v="26"/>
    <x v="89"/>
    <n v="78"/>
    <n v="62"/>
    <n v="72"/>
    <n v="38"/>
    <x v="1"/>
    <n v="2025"/>
  </r>
  <r>
    <x v="247"/>
    <x v="207"/>
    <x v="2"/>
    <x v="17"/>
    <x v="0"/>
    <x v="13"/>
    <x v="34"/>
    <n v="99"/>
    <n v="80"/>
    <n v="88"/>
    <n v="41"/>
    <x v="0"/>
    <n v="2026"/>
  </r>
  <r>
    <x v="248"/>
    <x v="103"/>
    <x v="1"/>
    <x v="15"/>
    <x v="1"/>
    <x v="18"/>
    <x v="170"/>
    <n v="64"/>
    <n v="80"/>
    <n v="71"/>
    <n v="45"/>
    <x v="3"/>
    <n v="2024"/>
  </r>
  <r>
    <x v="249"/>
    <x v="208"/>
    <x v="5"/>
    <x v="30"/>
    <x v="1"/>
    <x v="1"/>
    <x v="171"/>
    <n v="92"/>
    <n v="81"/>
    <n v="86"/>
    <n v="46"/>
    <x v="2"/>
    <n v="2024"/>
  </r>
  <r>
    <x v="250"/>
    <x v="209"/>
    <x v="4"/>
    <x v="37"/>
    <x v="1"/>
    <x v="32"/>
    <x v="172"/>
    <n v="81"/>
    <n v="70"/>
    <n v="94"/>
    <n v="39"/>
    <x v="1"/>
    <n v="2024"/>
  </r>
  <r>
    <x v="251"/>
    <x v="210"/>
    <x v="8"/>
    <x v="20"/>
    <x v="0"/>
    <x v="12"/>
    <x v="46"/>
    <n v="91"/>
    <n v="97"/>
    <n v="92"/>
    <n v="51"/>
    <x v="0"/>
    <n v="2025"/>
  </r>
  <r>
    <x v="252"/>
    <x v="211"/>
    <x v="9"/>
    <x v="43"/>
    <x v="0"/>
    <x v="33"/>
    <x v="167"/>
    <n v="78"/>
    <n v="83"/>
    <n v="86"/>
    <n v="35"/>
    <x v="0"/>
    <n v="2025"/>
  </r>
  <r>
    <x v="253"/>
    <x v="212"/>
    <x v="9"/>
    <x v="39"/>
    <x v="0"/>
    <x v="26"/>
    <x v="173"/>
    <n v="76"/>
    <n v="92"/>
    <n v="71"/>
    <n v="31"/>
    <x v="0"/>
    <n v="2025"/>
  </r>
  <r>
    <x v="254"/>
    <x v="184"/>
    <x v="1"/>
    <x v="1"/>
    <x v="0"/>
    <x v="0"/>
    <x v="174"/>
    <n v="87"/>
    <n v="97"/>
    <n v="66"/>
    <n v="15"/>
    <x v="4"/>
    <n v="2024"/>
  </r>
  <r>
    <x v="255"/>
    <x v="213"/>
    <x v="7"/>
    <x v="23"/>
    <x v="1"/>
    <x v="11"/>
    <x v="19"/>
    <n v="100"/>
    <n v="93"/>
    <n v="77"/>
    <n v="41"/>
    <x v="1"/>
    <n v="2024"/>
  </r>
  <r>
    <x v="256"/>
    <x v="214"/>
    <x v="6"/>
    <x v="21"/>
    <x v="1"/>
    <x v="8"/>
    <x v="157"/>
    <n v="65"/>
    <n v="65"/>
    <n v="84"/>
    <n v="55"/>
    <x v="1"/>
    <n v="2025"/>
  </r>
  <r>
    <x v="257"/>
    <x v="215"/>
    <x v="9"/>
    <x v="43"/>
    <x v="0"/>
    <x v="32"/>
    <x v="175"/>
    <n v="72"/>
    <n v="89"/>
    <n v="65"/>
    <n v="47"/>
    <x v="1"/>
    <n v="2024"/>
  </r>
  <r>
    <x v="258"/>
    <x v="216"/>
    <x v="6"/>
    <x v="34"/>
    <x v="1"/>
    <x v="36"/>
    <x v="5"/>
    <n v="81"/>
    <n v="79"/>
    <n v="70"/>
    <n v="16"/>
    <x v="1"/>
    <n v="2024"/>
  </r>
  <r>
    <x v="259"/>
    <x v="7"/>
    <x v="2"/>
    <x v="14"/>
    <x v="0"/>
    <x v="7"/>
    <x v="127"/>
    <n v="77"/>
    <n v="69"/>
    <n v="100"/>
    <n v="59"/>
    <x v="3"/>
    <n v="2024"/>
  </r>
  <r>
    <x v="260"/>
    <x v="217"/>
    <x v="6"/>
    <x v="21"/>
    <x v="0"/>
    <x v="6"/>
    <x v="76"/>
    <n v="84"/>
    <n v="66"/>
    <n v="95"/>
    <n v="40"/>
    <x v="0"/>
    <n v="2026"/>
  </r>
  <r>
    <x v="261"/>
    <x v="218"/>
    <x v="5"/>
    <x v="18"/>
    <x v="1"/>
    <x v="6"/>
    <x v="135"/>
    <n v="92"/>
    <n v="84"/>
    <n v="94"/>
    <n v="50"/>
    <x v="1"/>
    <n v="2024"/>
  </r>
  <r>
    <x v="262"/>
    <x v="189"/>
    <x v="1"/>
    <x v="12"/>
    <x v="0"/>
    <x v="14"/>
    <x v="21"/>
    <n v="82"/>
    <n v="68"/>
    <n v="90"/>
    <n v="54"/>
    <x v="3"/>
    <n v="2025"/>
  </r>
  <r>
    <x v="263"/>
    <x v="219"/>
    <x v="3"/>
    <x v="40"/>
    <x v="1"/>
    <x v="30"/>
    <x v="154"/>
    <n v="89"/>
    <n v="98"/>
    <n v="90"/>
    <n v="39"/>
    <x v="2"/>
    <n v="2025"/>
  </r>
  <r>
    <x v="264"/>
    <x v="220"/>
    <x v="5"/>
    <x v="30"/>
    <x v="1"/>
    <x v="13"/>
    <x v="12"/>
    <n v="99"/>
    <n v="61"/>
    <n v="79"/>
    <n v="43"/>
    <x v="1"/>
    <n v="2024"/>
  </r>
  <r>
    <x v="265"/>
    <x v="221"/>
    <x v="9"/>
    <x v="31"/>
    <x v="1"/>
    <x v="8"/>
    <x v="121"/>
    <n v="83"/>
    <n v="92"/>
    <n v="65"/>
    <n v="44"/>
    <x v="4"/>
    <n v="2025"/>
  </r>
  <r>
    <x v="266"/>
    <x v="222"/>
    <x v="4"/>
    <x v="4"/>
    <x v="0"/>
    <x v="20"/>
    <x v="172"/>
    <n v="76"/>
    <n v="68"/>
    <n v="96"/>
    <n v="17"/>
    <x v="2"/>
    <n v="2024"/>
  </r>
  <r>
    <x v="267"/>
    <x v="82"/>
    <x v="2"/>
    <x v="14"/>
    <x v="1"/>
    <x v="6"/>
    <x v="176"/>
    <n v="67"/>
    <n v="81"/>
    <n v="89"/>
    <n v="46"/>
    <x v="1"/>
    <n v="2025"/>
  </r>
  <r>
    <x v="268"/>
    <x v="223"/>
    <x v="4"/>
    <x v="4"/>
    <x v="1"/>
    <x v="33"/>
    <x v="177"/>
    <n v="81"/>
    <n v="84"/>
    <n v="95"/>
    <n v="7"/>
    <x v="3"/>
    <n v="2025"/>
  </r>
  <r>
    <x v="269"/>
    <x v="150"/>
    <x v="4"/>
    <x v="36"/>
    <x v="1"/>
    <x v="10"/>
    <x v="178"/>
    <n v="87"/>
    <n v="93"/>
    <n v="71"/>
    <n v="34"/>
    <x v="2"/>
    <n v="2025"/>
  </r>
  <r>
    <x v="270"/>
    <x v="224"/>
    <x v="6"/>
    <x v="21"/>
    <x v="1"/>
    <x v="1"/>
    <x v="96"/>
    <n v="68"/>
    <n v="85"/>
    <n v="65"/>
    <n v="15"/>
    <x v="3"/>
    <n v="2024"/>
  </r>
  <r>
    <x v="271"/>
    <x v="225"/>
    <x v="5"/>
    <x v="35"/>
    <x v="0"/>
    <x v="21"/>
    <x v="4"/>
    <n v="86"/>
    <n v="89"/>
    <n v="65"/>
    <n v="36"/>
    <x v="0"/>
    <n v="2025"/>
  </r>
  <r>
    <x v="272"/>
    <x v="226"/>
    <x v="6"/>
    <x v="34"/>
    <x v="1"/>
    <x v="13"/>
    <x v="144"/>
    <n v="81"/>
    <n v="87"/>
    <n v="81"/>
    <n v="52"/>
    <x v="2"/>
    <n v="2026"/>
  </r>
  <r>
    <x v="273"/>
    <x v="227"/>
    <x v="8"/>
    <x v="33"/>
    <x v="0"/>
    <x v="29"/>
    <x v="39"/>
    <n v="90"/>
    <n v="92"/>
    <n v="88"/>
    <n v="54"/>
    <x v="0"/>
    <n v="2026"/>
  </r>
  <r>
    <x v="274"/>
    <x v="228"/>
    <x v="3"/>
    <x v="40"/>
    <x v="0"/>
    <x v="30"/>
    <x v="179"/>
    <n v="96"/>
    <n v="83"/>
    <n v="72"/>
    <n v="55"/>
    <x v="1"/>
    <n v="2025"/>
  </r>
  <r>
    <x v="275"/>
    <x v="192"/>
    <x v="7"/>
    <x v="26"/>
    <x v="0"/>
    <x v="36"/>
    <x v="143"/>
    <n v="86"/>
    <n v="65"/>
    <n v="74"/>
    <n v="5"/>
    <x v="3"/>
    <n v="2026"/>
  </r>
  <r>
    <x v="276"/>
    <x v="176"/>
    <x v="1"/>
    <x v="11"/>
    <x v="0"/>
    <x v="14"/>
    <x v="170"/>
    <n v="74"/>
    <n v="92"/>
    <n v="94"/>
    <n v="32"/>
    <x v="2"/>
    <n v="2025"/>
  </r>
  <r>
    <x v="277"/>
    <x v="6"/>
    <x v="6"/>
    <x v="7"/>
    <x v="1"/>
    <x v="7"/>
    <x v="80"/>
    <n v="69"/>
    <n v="91"/>
    <n v="94"/>
    <n v="28"/>
    <x v="2"/>
    <n v="2026"/>
  </r>
  <r>
    <x v="278"/>
    <x v="40"/>
    <x v="3"/>
    <x v="9"/>
    <x v="0"/>
    <x v="33"/>
    <x v="96"/>
    <n v="78"/>
    <n v="87"/>
    <n v="86"/>
    <n v="48"/>
    <x v="3"/>
    <n v="2024"/>
  </r>
  <r>
    <x v="279"/>
    <x v="229"/>
    <x v="2"/>
    <x v="8"/>
    <x v="0"/>
    <x v="13"/>
    <x v="84"/>
    <n v="73"/>
    <n v="78"/>
    <n v="87"/>
    <n v="31"/>
    <x v="2"/>
    <n v="2025"/>
  </r>
  <r>
    <x v="280"/>
    <x v="230"/>
    <x v="7"/>
    <x v="23"/>
    <x v="1"/>
    <x v="37"/>
    <x v="100"/>
    <n v="64"/>
    <n v="98"/>
    <n v="72"/>
    <n v="27"/>
    <x v="2"/>
    <n v="2026"/>
  </r>
  <r>
    <x v="281"/>
    <x v="44"/>
    <x v="0"/>
    <x v="27"/>
    <x v="0"/>
    <x v="33"/>
    <x v="18"/>
    <n v="77"/>
    <n v="71"/>
    <n v="70"/>
    <n v="39"/>
    <x v="2"/>
    <n v="2024"/>
  </r>
  <r>
    <x v="282"/>
    <x v="208"/>
    <x v="5"/>
    <x v="18"/>
    <x v="1"/>
    <x v="21"/>
    <x v="164"/>
    <n v="93"/>
    <n v="87"/>
    <n v="82"/>
    <n v="27"/>
    <x v="0"/>
    <n v="2026"/>
  </r>
  <r>
    <x v="283"/>
    <x v="231"/>
    <x v="2"/>
    <x v="38"/>
    <x v="0"/>
    <x v="11"/>
    <x v="64"/>
    <n v="95"/>
    <n v="96"/>
    <n v="94"/>
    <n v="7"/>
    <x v="2"/>
    <n v="2025"/>
  </r>
  <r>
    <x v="284"/>
    <x v="232"/>
    <x v="1"/>
    <x v="1"/>
    <x v="1"/>
    <x v="21"/>
    <x v="99"/>
    <n v="71"/>
    <n v="98"/>
    <n v="71"/>
    <n v="29"/>
    <x v="4"/>
    <n v="2026"/>
  </r>
  <r>
    <x v="285"/>
    <x v="35"/>
    <x v="8"/>
    <x v="20"/>
    <x v="0"/>
    <x v="1"/>
    <x v="156"/>
    <n v="81"/>
    <n v="87"/>
    <n v="90"/>
    <n v="6"/>
    <x v="1"/>
    <n v="2026"/>
  </r>
  <r>
    <x v="286"/>
    <x v="233"/>
    <x v="0"/>
    <x v="29"/>
    <x v="0"/>
    <x v="5"/>
    <x v="180"/>
    <n v="67"/>
    <n v="87"/>
    <n v="72"/>
    <n v="55"/>
    <x v="1"/>
    <n v="2026"/>
  </r>
  <r>
    <x v="287"/>
    <x v="234"/>
    <x v="1"/>
    <x v="12"/>
    <x v="0"/>
    <x v="30"/>
    <x v="130"/>
    <n v="81"/>
    <n v="99"/>
    <n v="97"/>
    <n v="39"/>
    <x v="1"/>
    <n v="2026"/>
  </r>
  <r>
    <x v="288"/>
    <x v="50"/>
    <x v="2"/>
    <x v="17"/>
    <x v="1"/>
    <x v="15"/>
    <x v="105"/>
    <n v="85"/>
    <n v="96"/>
    <n v="95"/>
    <n v="18"/>
    <x v="0"/>
    <n v="2025"/>
  </r>
  <r>
    <x v="289"/>
    <x v="218"/>
    <x v="9"/>
    <x v="31"/>
    <x v="0"/>
    <x v="3"/>
    <x v="181"/>
    <n v="73"/>
    <n v="77"/>
    <n v="97"/>
    <n v="47"/>
    <x v="2"/>
    <n v="2026"/>
  </r>
  <r>
    <x v="290"/>
    <x v="235"/>
    <x v="0"/>
    <x v="25"/>
    <x v="1"/>
    <x v="33"/>
    <x v="131"/>
    <n v="73"/>
    <n v="78"/>
    <n v="82"/>
    <n v="5"/>
    <x v="0"/>
    <n v="2024"/>
  </r>
  <r>
    <x v="291"/>
    <x v="236"/>
    <x v="6"/>
    <x v="21"/>
    <x v="0"/>
    <x v="31"/>
    <x v="182"/>
    <n v="88"/>
    <n v="68"/>
    <n v="82"/>
    <n v="22"/>
    <x v="0"/>
    <n v="2026"/>
  </r>
  <r>
    <x v="292"/>
    <x v="237"/>
    <x v="5"/>
    <x v="45"/>
    <x v="0"/>
    <x v="0"/>
    <x v="183"/>
    <n v="82"/>
    <n v="66"/>
    <n v="79"/>
    <n v="19"/>
    <x v="2"/>
    <n v="2026"/>
  </r>
  <r>
    <x v="293"/>
    <x v="238"/>
    <x v="2"/>
    <x v="17"/>
    <x v="0"/>
    <x v="20"/>
    <x v="100"/>
    <n v="66"/>
    <n v="99"/>
    <n v="83"/>
    <n v="51"/>
    <x v="4"/>
    <n v="2025"/>
  </r>
  <r>
    <x v="294"/>
    <x v="239"/>
    <x v="3"/>
    <x v="16"/>
    <x v="1"/>
    <x v="13"/>
    <x v="170"/>
    <n v="100"/>
    <n v="81"/>
    <n v="99"/>
    <n v="29"/>
    <x v="0"/>
    <n v="2026"/>
  </r>
  <r>
    <x v="295"/>
    <x v="59"/>
    <x v="3"/>
    <x v="9"/>
    <x v="0"/>
    <x v="2"/>
    <x v="15"/>
    <n v="83"/>
    <n v="80"/>
    <n v="87"/>
    <n v="57"/>
    <x v="0"/>
    <n v="2024"/>
  </r>
  <r>
    <x v="296"/>
    <x v="240"/>
    <x v="0"/>
    <x v="5"/>
    <x v="0"/>
    <x v="37"/>
    <x v="53"/>
    <n v="93"/>
    <n v="73"/>
    <n v="99"/>
    <n v="49"/>
    <x v="1"/>
    <n v="2026"/>
  </r>
  <r>
    <x v="297"/>
    <x v="241"/>
    <x v="0"/>
    <x v="0"/>
    <x v="1"/>
    <x v="16"/>
    <x v="21"/>
    <n v="87"/>
    <n v="62"/>
    <n v="70"/>
    <n v="45"/>
    <x v="0"/>
    <n v="2026"/>
  </r>
  <r>
    <x v="298"/>
    <x v="242"/>
    <x v="1"/>
    <x v="12"/>
    <x v="1"/>
    <x v="36"/>
    <x v="20"/>
    <n v="67"/>
    <n v="73"/>
    <n v="98"/>
    <n v="28"/>
    <x v="3"/>
    <n v="2025"/>
  </r>
  <r>
    <x v="299"/>
    <x v="2"/>
    <x v="8"/>
    <x v="22"/>
    <x v="0"/>
    <x v="13"/>
    <x v="160"/>
    <n v="90"/>
    <n v="89"/>
    <n v="66"/>
    <n v="14"/>
    <x v="4"/>
    <n v="2026"/>
  </r>
  <r>
    <x v="300"/>
    <x v="243"/>
    <x v="5"/>
    <x v="18"/>
    <x v="0"/>
    <x v="12"/>
    <x v="163"/>
    <n v="84"/>
    <n v="96"/>
    <n v="92"/>
    <n v="31"/>
    <x v="2"/>
    <n v="2025"/>
  </r>
  <r>
    <x v="301"/>
    <x v="6"/>
    <x v="7"/>
    <x v="42"/>
    <x v="1"/>
    <x v="1"/>
    <x v="184"/>
    <n v="93"/>
    <n v="75"/>
    <n v="89"/>
    <n v="39"/>
    <x v="1"/>
    <n v="2025"/>
  </r>
  <r>
    <x v="302"/>
    <x v="28"/>
    <x v="1"/>
    <x v="1"/>
    <x v="1"/>
    <x v="33"/>
    <x v="77"/>
    <n v="69"/>
    <n v="66"/>
    <n v="90"/>
    <n v="18"/>
    <x v="1"/>
    <n v="2024"/>
  </r>
  <r>
    <x v="303"/>
    <x v="120"/>
    <x v="9"/>
    <x v="43"/>
    <x v="0"/>
    <x v="4"/>
    <x v="185"/>
    <n v="73"/>
    <n v="70"/>
    <n v="90"/>
    <n v="40"/>
    <x v="0"/>
    <n v="2025"/>
  </r>
  <r>
    <x v="304"/>
    <x v="219"/>
    <x v="1"/>
    <x v="15"/>
    <x v="0"/>
    <x v="14"/>
    <x v="160"/>
    <n v="88"/>
    <n v="98"/>
    <n v="82"/>
    <n v="25"/>
    <x v="3"/>
    <n v="2026"/>
  </r>
  <r>
    <x v="305"/>
    <x v="244"/>
    <x v="9"/>
    <x v="44"/>
    <x v="1"/>
    <x v="35"/>
    <x v="112"/>
    <n v="82"/>
    <n v="92"/>
    <n v="99"/>
    <n v="39"/>
    <x v="0"/>
    <n v="2024"/>
  </r>
  <r>
    <x v="306"/>
    <x v="245"/>
    <x v="6"/>
    <x v="34"/>
    <x v="1"/>
    <x v="0"/>
    <x v="136"/>
    <n v="93"/>
    <n v="89"/>
    <n v="83"/>
    <n v="57"/>
    <x v="0"/>
    <n v="2024"/>
  </r>
  <r>
    <x v="307"/>
    <x v="49"/>
    <x v="7"/>
    <x v="19"/>
    <x v="1"/>
    <x v="21"/>
    <x v="186"/>
    <n v="73"/>
    <n v="85"/>
    <n v="83"/>
    <n v="5"/>
    <x v="4"/>
    <n v="2025"/>
  </r>
  <r>
    <x v="308"/>
    <x v="210"/>
    <x v="0"/>
    <x v="0"/>
    <x v="1"/>
    <x v="34"/>
    <x v="78"/>
    <n v="73"/>
    <n v="66"/>
    <n v="89"/>
    <n v="42"/>
    <x v="0"/>
    <n v="2025"/>
  </r>
  <r>
    <x v="309"/>
    <x v="246"/>
    <x v="7"/>
    <x v="19"/>
    <x v="0"/>
    <x v="34"/>
    <x v="146"/>
    <n v="63"/>
    <n v="99"/>
    <n v="79"/>
    <n v="13"/>
    <x v="4"/>
    <n v="2026"/>
  </r>
  <r>
    <x v="310"/>
    <x v="35"/>
    <x v="9"/>
    <x v="31"/>
    <x v="0"/>
    <x v="25"/>
    <x v="103"/>
    <n v="67"/>
    <n v="98"/>
    <n v="91"/>
    <n v="6"/>
    <x v="3"/>
    <n v="2026"/>
  </r>
  <r>
    <x v="311"/>
    <x v="247"/>
    <x v="3"/>
    <x v="16"/>
    <x v="0"/>
    <x v="24"/>
    <x v="57"/>
    <n v="98"/>
    <n v="100"/>
    <n v="95"/>
    <n v="48"/>
    <x v="2"/>
    <n v="2025"/>
  </r>
  <r>
    <x v="312"/>
    <x v="248"/>
    <x v="2"/>
    <x v="2"/>
    <x v="1"/>
    <x v="3"/>
    <x v="67"/>
    <n v="100"/>
    <n v="84"/>
    <n v="100"/>
    <n v="37"/>
    <x v="1"/>
    <n v="2024"/>
  </r>
  <r>
    <x v="313"/>
    <x v="249"/>
    <x v="6"/>
    <x v="7"/>
    <x v="0"/>
    <x v="21"/>
    <x v="175"/>
    <n v="77"/>
    <n v="71"/>
    <n v="95"/>
    <n v="50"/>
    <x v="1"/>
    <n v="2025"/>
  </r>
  <r>
    <x v="314"/>
    <x v="250"/>
    <x v="1"/>
    <x v="12"/>
    <x v="1"/>
    <x v="25"/>
    <x v="59"/>
    <n v="66"/>
    <n v="61"/>
    <n v="78"/>
    <n v="41"/>
    <x v="0"/>
    <n v="2025"/>
  </r>
  <r>
    <x v="315"/>
    <x v="114"/>
    <x v="5"/>
    <x v="18"/>
    <x v="0"/>
    <x v="21"/>
    <x v="187"/>
    <n v="100"/>
    <n v="88"/>
    <n v="80"/>
    <n v="55"/>
    <x v="1"/>
    <n v="2025"/>
  </r>
  <r>
    <x v="316"/>
    <x v="4"/>
    <x v="7"/>
    <x v="26"/>
    <x v="1"/>
    <x v="15"/>
    <x v="188"/>
    <n v="69"/>
    <n v="98"/>
    <n v="86"/>
    <n v="60"/>
    <x v="1"/>
    <n v="2024"/>
  </r>
  <r>
    <x v="317"/>
    <x v="59"/>
    <x v="0"/>
    <x v="5"/>
    <x v="1"/>
    <x v="11"/>
    <x v="53"/>
    <n v="66"/>
    <n v="60"/>
    <n v="67"/>
    <n v="48"/>
    <x v="0"/>
    <n v="2026"/>
  </r>
  <r>
    <x v="318"/>
    <x v="244"/>
    <x v="4"/>
    <x v="41"/>
    <x v="1"/>
    <x v="30"/>
    <x v="29"/>
    <n v="86"/>
    <n v="64"/>
    <n v="91"/>
    <n v="21"/>
    <x v="4"/>
    <n v="2024"/>
  </r>
  <r>
    <x v="319"/>
    <x v="251"/>
    <x v="7"/>
    <x v="10"/>
    <x v="1"/>
    <x v="15"/>
    <x v="189"/>
    <n v="100"/>
    <n v="94"/>
    <n v="66"/>
    <n v="33"/>
    <x v="0"/>
    <n v="2026"/>
  </r>
  <r>
    <x v="320"/>
    <x v="226"/>
    <x v="0"/>
    <x v="27"/>
    <x v="1"/>
    <x v="36"/>
    <x v="152"/>
    <n v="87"/>
    <n v="62"/>
    <n v="88"/>
    <n v="30"/>
    <x v="4"/>
    <n v="2026"/>
  </r>
  <r>
    <x v="321"/>
    <x v="252"/>
    <x v="2"/>
    <x v="14"/>
    <x v="0"/>
    <x v="2"/>
    <x v="190"/>
    <n v="89"/>
    <n v="67"/>
    <n v="71"/>
    <n v="14"/>
    <x v="3"/>
    <n v="2026"/>
  </r>
  <r>
    <x v="322"/>
    <x v="253"/>
    <x v="1"/>
    <x v="12"/>
    <x v="0"/>
    <x v="17"/>
    <x v="38"/>
    <n v="69"/>
    <n v="70"/>
    <n v="88"/>
    <n v="31"/>
    <x v="3"/>
    <n v="2024"/>
  </r>
  <r>
    <x v="323"/>
    <x v="254"/>
    <x v="3"/>
    <x v="40"/>
    <x v="0"/>
    <x v="1"/>
    <x v="172"/>
    <n v="92"/>
    <n v="73"/>
    <n v="81"/>
    <n v="11"/>
    <x v="3"/>
    <n v="2026"/>
  </r>
  <r>
    <x v="324"/>
    <x v="83"/>
    <x v="5"/>
    <x v="45"/>
    <x v="0"/>
    <x v="7"/>
    <x v="191"/>
    <n v="91"/>
    <n v="91"/>
    <n v="80"/>
    <n v="53"/>
    <x v="3"/>
    <n v="2025"/>
  </r>
  <r>
    <x v="325"/>
    <x v="255"/>
    <x v="6"/>
    <x v="21"/>
    <x v="0"/>
    <x v="19"/>
    <x v="149"/>
    <n v="90"/>
    <n v="81"/>
    <n v="93"/>
    <n v="49"/>
    <x v="3"/>
    <n v="2026"/>
  </r>
  <r>
    <x v="326"/>
    <x v="256"/>
    <x v="8"/>
    <x v="33"/>
    <x v="1"/>
    <x v="26"/>
    <x v="2"/>
    <n v="64"/>
    <n v="68"/>
    <n v="74"/>
    <n v="38"/>
    <x v="3"/>
    <n v="2024"/>
  </r>
  <r>
    <x v="327"/>
    <x v="10"/>
    <x v="8"/>
    <x v="20"/>
    <x v="1"/>
    <x v="37"/>
    <x v="192"/>
    <n v="85"/>
    <n v="96"/>
    <n v="88"/>
    <n v="50"/>
    <x v="3"/>
    <n v="2025"/>
  </r>
  <r>
    <x v="328"/>
    <x v="60"/>
    <x v="5"/>
    <x v="35"/>
    <x v="1"/>
    <x v="25"/>
    <x v="193"/>
    <n v="72"/>
    <n v="96"/>
    <n v="84"/>
    <n v="35"/>
    <x v="0"/>
    <n v="2026"/>
  </r>
  <r>
    <x v="329"/>
    <x v="257"/>
    <x v="7"/>
    <x v="42"/>
    <x v="0"/>
    <x v="6"/>
    <x v="149"/>
    <n v="70"/>
    <n v="69"/>
    <n v="83"/>
    <n v="59"/>
    <x v="0"/>
    <n v="2025"/>
  </r>
  <r>
    <x v="330"/>
    <x v="54"/>
    <x v="8"/>
    <x v="33"/>
    <x v="1"/>
    <x v="22"/>
    <x v="7"/>
    <n v="63"/>
    <n v="73"/>
    <n v="84"/>
    <n v="14"/>
    <x v="4"/>
    <n v="2024"/>
  </r>
  <r>
    <x v="331"/>
    <x v="124"/>
    <x v="5"/>
    <x v="18"/>
    <x v="0"/>
    <x v="2"/>
    <x v="130"/>
    <n v="94"/>
    <n v="93"/>
    <n v="90"/>
    <n v="35"/>
    <x v="4"/>
    <n v="2024"/>
  </r>
  <r>
    <x v="332"/>
    <x v="258"/>
    <x v="9"/>
    <x v="28"/>
    <x v="1"/>
    <x v="37"/>
    <x v="194"/>
    <n v="71"/>
    <n v="97"/>
    <n v="97"/>
    <n v="25"/>
    <x v="4"/>
    <n v="2025"/>
  </r>
  <r>
    <x v="333"/>
    <x v="259"/>
    <x v="1"/>
    <x v="11"/>
    <x v="0"/>
    <x v="31"/>
    <x v="195"/>
    <n v="93"/>
    <n v="70"/>
    <n v="98"/>
    <n v="35"/>
    <x v="1"/>
    <n v="2025"/>
  </r>
  <r>
    <x v="334"/>
    <x v="260"/>
    <x v="8"/>
    <x v="20"/>
    <x v="1"/>
    <x v="12"/>
    <x v="196"/>
    <n v="62"/>
    <n v="64"/>
    <n v="86"/>
    <n v="19"/>
    <x v="3"/>
    <n v="2024"/>
  </r>
  <r>
    <x v="335"/>
    <x v="76"/>
    <x v="0"/>
    <x v="27"/>
    <x v="0"/>
    <x v="4"/>
    <x v="197"/>
    <n v="79"/>
    <n v="98"/>
    <n v="72"/>
    <n v="46"/>
    <x v="1"/>
    <n v="2025"/>
  </r>
  <r>
    <x v="336"/>
    <x v="7"/>
    <x v="9"/>
    <x v="28"/>
    <x v="0"/>
    <x v="3"/>
    <x v="188"/>
    <n v="98"/>
    <n v="100"/>
    <n v="65"/>
    <n v="58"/>
    <x v="4"/>
    <n v="2024"/>
  </r>
  <r>
    <x v="337"/>
    <x v="43"/>
    <x v="1"/>
    <x v="1"/>
    <x v="1"/>
    <x v="36"/>
    <x v="198"/>
    <n v="85"/>
    <n v="62"/>
    <n v="90"/>
    <n v="45"/>
    <x v="2"/>
    <n v="2025"/>
  </r>
  <r>
    <x v="338"/>
    <x v="261"/>
    <x v="0"/>
    <x v="29"/>
    <x v="1"/>
    <x v="29"/>
    <x v="199"/>
    <n v="79"/>
    <n v="95"/>
    <n v="99"/>
    <n v="59"/>
    <x v="4"/>
    <n v="2024"/>
  </r>
  <r>
    <x v="339"/>
    <x v="262"/>
    <x v="9"/>
    <x v="43"/>
    <x v="1"/>
    <x v="12"/>
    <x v="194"/>
    <n v="65"/>
    <n v="88"/>
    <n v="98"/>
    <n v="20"/>
    <x v="1"/>
    <n v="2025"/>
  </r>
  <r>
    <x v="340"/>
    <x v="154"/>
    <x v="6"/>
    <x v="7"/>
    <x v="0"/>
    <x v="13"/>
    <x v="200"/>
    <n v="73"/>
    <n v="75"/>
    <n v="79"/>
    <n v="49"/>
    <x v="0"/>
    <n v="2024"/>
  </r>
  <r>
    <x v="341"/>
    <x v="78"/>
    <x v="5"/>
    <x v="30"/>
    <x v="0"/>
    <x v="25"/>
    <x v="173"/>
    <n v="100"/>
    <n v="77"/>
    <n v="100"/>
    <n v="22"/>
    <x v="2"/>
    <n v="2026"/>
  </r>
  <r>
    <x v="342"/>
    <x v="66"/>
    <x v="4"/>
    <x v="37"/>
    <x v="0"/>
    <x v="35"/>
    <x v="63"/>
    <n v="66"/>
    <n v="68"/>
    <n v="98"/>
    <n v="24"/>
    <x v="2"/>
    <n v="2024"/>
  </r>
  <r>
    <x v="343"/>
    <x v="120"/>
    <x v="3"/>
    <x v="9"/>
    <x v="0"/>
    <x v="29"/>
    <x v="97"/>
    <n v="99"/>
    <n v="97"/>
    <n v="95"/>
    <n v="34"/>
    <x v="2"/>
    <n v="2026"/>
  </r>
  <r>
    <x v="344"/>
    <x v="114"/>
    <x v="4"/>
    <x v="4"/>
    <x v="1"/>
    <x v="9"/>
    <x v="5"/>
    <n v="65"/>
    <n v="80"/>
    <n v="69"/>
    <n v="17"/>
    <x v="0"/>
    <n v="2024"/>
  </r>
  <r>
    <x v="345"/>
    <x v="263"/>
    <x v="9"/>
    <x v="43"/>
    <x v="0"/>
    <x v="6"/>
    <x v="0"/>
    <n v="92"/>
    <n v="72"/>
    <n v="71"/>
    <n v="39"/>
    <x v="4"/>
    <n v="2024"/>
  </r>
  <r>
    <x v="346"/>
    <x v="264"/>
    <x v="8"/>
    <x v="24"/>
    <x v="0"/>
    <x v="17"/>
    <x v="201"/>
    <n v="81"/>
    <n v="96"/>
    <n v="65"/>
    <n v="42"/>
    <x v="0"/>
    <n v="2024"/>
  </r>
  <r>
    <x v="347"/>
    <x v="207"/>
    <x v="8"/>
    <x v="33"/>
    <x v="1"/>
    <x v="35"/>
    <x v="116"/>
    <n v="90"/>
    <n v="72"/>
    <n v="94"/>
    <n v="5"/>
    <x v="3"/>
    <n v="2025"/>
  </r>
  <r>
    <x v="348"/>
    <x v="120"/>
    <x v="4"/>
    <x v="4"/>
    <x v="0"/>
    <x v="22"/>
    <x v="201"/>
    <n v="93"/>
    <n v="100"/>
    <n v="76"/>
    <n v="26"/>
    <x v="4"/>
    <n v="2025"/>
  </r>
  <r>
    <x v="349"/>
    <x v="265"/>
    <x v="1"/>
    <x v="15"/>
    <x v="1"/>
    <x v="4"/>
    <x v="52"/>
    <n v="81"/>
    <n v="76"/>
    <n v="99"/>
    <n v="20"/>
    <x v="3"/>
    <n v="2025"/>
  </r>
  <r>
    <x v="350"/>
    <x v="266"/>
    <x v="2"/>
    <x v="14"/>
    <x v="1"/>
    <x v="9"/>
    <x v="11"/>
    <n v="94"/>
    <n v="79"/>
    <n v="93"/>
    <n v="12"/>
    <x v="1"/>
    <n v="2025"/>
  </r>
  <r>
    <x v="351"/>
    <x v="267"/>
    <x v="2"/>
    <x v="14"/>
    <x v="1"/>
    <x v="6"/>
    <x v="202"/>
    <n v="94"/>
    <n v="90"/>
    <n v="96"/>
    <n v="15"/>
    <x v="1"/>
    <n v="2024"/>
  </r>
  <r>
    <x v="352"/>
    <x v="268"/>
    <x v="4"/>
    <x v="36"/>
    <x v="0"/>
    <x v="17"/>
    <x v="203"/>
    <n v="81"/>
    <n v="66"/>
    <n v="93"/>
    <n v="26"/>
    <x v="4"/>
    <n v="2024"/>
  </r>
  <r>
    <x v="353"/>
    <x v="269"/>
    <x v="3"/>
    <x v="9"/>
    <x v="0"/>
    <x v="34"/>
    <x v="204"/>
    <n v="68"/>
    <n v="74"/>
    <n v="78"/>
    <n v="24"/>
    <x v="4"/>
    <n v="2025"/>
  </r>
  <r>
    <x v="354"/>
    <x v="221"/>
    <x v="9"/>
    <x v="39"/>
    <x v="0"/>
    <x v="30"/>
    <x v="117"/>
    <n v="95"/>
    <n v="90"/>
    <n v="71"/>
    <n v="48"/>
    <x v="3"/>
    <n v="2026"/>
  </r>
  <r>
    <x v="355"/>
    <x v="31"/>
    <x v="3"/>
    <x v="40"/>
    <x v="0"/>
    <x v="16"/>
    <x v="135"/>
    <n v="71"/>
    <n v="80"/>
    <n v="75"/>
    <n v="17"/>
    <x v="0"/>
    <n v="2024"/>
  </r>
  <r>
    <x v="356"/>
    <x v="127"/>
    <x v="6"/>
    <x v="7"/>
    <x v="1"/>
    <x v="16"/>
    <x v="69"/>
    <n v="72"/>
    <n v="80"/>
    <n v="98"/>
    <n v="35"/>
    <x v="4"/>
    <n v="2025"/>
  </r>
  <r>
    <x v="357"/>
    <x v="95"/>
    <x v="1"/>
    <x v="1"/>
    <x v="0"/>
    <x v="36"/>
    <x v="83"/>
    <n v="79"/>
    <n v="74"/>
    <n v="81"/>
    <n v="35"/>
    <x v="3"/>
    <n v="2025"/>
  </r>
  <r>
    <x v="358"/>
    <x v="118"/>
    <x v="6"/>
    <x v="34"/>
    <x v="1"/>
    <x v="12"/>
    <x v="24"/>
    <n v="83"/>
    <n v="82"/>
    <n v="85"/>
    <n v="33"/>
    <x v="3"/>
    <n v="2025"/>
  </r>
  <r>
    <x v="359"/>
    <x v="270"/>
    <x v="6"/>
    <x v="34"/>
    <x v="1"/>
    <x v="34"/>
    <x v="205"/>
    <n v="88"/>
    <n v="60"/>
    <n v="90"/>
    <n v="8"/>
    <x v="0"/>
    <n v="2025"/>
  </r>
  <r>
    <x v="360"/>
    <x v="271"/>
    <x v="1"/>
    <x v="12"/>
    <x v="1"/>
    <x v="6"/>
    <x v="206"/>
    <n v="70"/>
    <n v="89"/>
    <n v="82"/>
    <n v="6"/>
    <x v="1"/>
    <n v="2024"/>
  </r>
  <r>
    <x v="361"/>
    <x v="270"/>
    <x v="0"/>
    <x v="25"/>
    <x v="0"/>
    <x v="18"/>
    <x v="17"/>
    <n v="78"/>
    <n v="78"/>
    <n v="88"/>
    <n v="6"/>
    <x v="3"/>
    <n v="2025"/>
  </r>
  <r>
    <x v="362"/>
    <x v="272"/>
    <x v="3"/>
    <x v="9"/>
    <x v="1"/>
    <x v="22"/>
    <x v="183"/>
    <n v="82"/>
    <n v="95"/>
    <n v="100"/>
    <n v="52"/>
    <x v="1"/>
    <n v="2024"/>
  </r>
  <r>
    <x v="363"/>
    <x v="170"/>
    <x v="1"/>
    <x v="15"/>
    <x v="0"/>
    <x v="6"/>
    <x v="64"/>
    <n v="90"/>
    <n v="77"/>
    <n v="71"/>
    <n v="9"/>
    <x v="1"/>
    <n v="2024"/>
  </r>
  <r>
    <x v="364"/>
    <x v="273"/>
    <x v="1"/>
    <x v="15"/>
    <x v="0"/>
    <x v="35"/>
    <x v="100"/>
    <n v="92"/>
    <n v="97"/>
    <n v="95"/>
    <n v="7"/>
    <x v="0"/>
    <n v="2026"/>
  </r>
  <r>
    <x v="365"/>
    <x v="274"/>
    <x v="0"/>
    <x v="0"/>
    <x v="1"/>
    <x v="26"/>
    <x v="120"/>
    <n v="93"/>
    <n v="75"/>
    <n v="82"/>
    <n v="43"/>
    <x v="4"/>
    <n v="2025"/>
  </r>
  <r>
    <x v="366"/>
    <x v="275"/>
    <x v="1"/>
    <x v="12"/>
    <x v="0"/>
    <x v="33"/>
    <x v="152"/>
    <n v="65"/>
    <n v="100"/>
    <n v="86"/>
    <n v="22"/>
    <x v="4"/>
    <n v="2025"/>
  </r>
  <r>
    <x v="367"/>
    <x v="276"/>
    <x v="3"/>
    <x v="3"/>
    <x v="0"/>
    <x v="1"/>
    <x v="46"/>
    <n v="80"/>
    <n v="67"/>
    <n v="95"/>
    <n v="13"/>
    <x v="2"/>
    <n v="2025"/>
  </r>
  <r>
    <x v="368"/>
    <x v="241"/>
    <x v="0"/>
    <x v="25"/>
    <x v="1"/>
    <x v="37"/>
    <x v="207"/>
    <n v="88"/>
    <n v="69"/>
    <n v="74"/>
    <n v="42"/>
    <x v="3"/>
    <n v="2026"/>
  </r>
  <r>
    <x v="369"/>
    <x v="277"/>
    <x v="1"/>
    <x v="12"/>
    <x v="0"/>
    <x v="25"/>
    <x v="165"/>
    <n v="67"/>
    <n v="88"/>
    <n v="80"/>
    <n v="25"/>
    <x v="4"/>
    <n v="2026"/>
  </r>
  <r>
    <x v="370"/>
    <x v="57"/>
    <x v="6"/>
    <x v="34"/>
    <x v="1"/>
    <x v="30"/>
    <x v="78"/>
    <n v="78"/>
    <n v="95"/>
    <n v="98"/>
    <n v="57"/>
    <x v="3"/>
    <n v="2026"/>
  </r>
  <r>
    <x v="371"/>
    <x v="278"/>
    <x v="5"/>
    <x v="6"/>
    <x v="1"/>
    <x v="36"/>
    <x v="67"/>
    <n v="66"/>
    <n v="80"/>
    <n v="88"/>
    <n v="54"/>
    <x v="0"/>
    <n v="2026"/>
  </r>
  <r>
    <x v="372"/>
    <x v="279"/>
    <x v="4"/>
    <x v="41"/>
    <x v="1"/>
    <x v="6"/>
    <x v="208"/>
    <n v="73"/>
    <n v="80"/>
    <n v="94"/>
    <n v="19"/>
    <x v="0"/>
    <n v="2025"/>
  </r>
  <r>
    <x v="373"/>
    <x v="38"/>
    <x v="2"/>
    <x v="14"/>
    <x v="0"/>
    <x v="4"/>
    <x v="209"/>
    <n v="78"/>
    <n v="76"/>
    <n v="66"/>
    <n v="13"/>
    <x v="2"/>
    <n v="2026"/>
  </r>
  <r>
    <x v="374"/>
    <x v="280"/>
    <x v="3"/>
    <x v="40"/>
    <x v="0"/>
    <x v="29"/>
    <x v="146"/>
    <n v="87"/>
    <n v="91"/>
    <n v="68"/>
    <n v="58"/>
    <x v="4"/>
    <n v="2024"/>
  </r>
  <r>
    <x v="375"/>
    <x v="281"/>
    <x v="9"/>
    <x v="39"/>
    <x v="1"/>
    <x v="0"/>
    <x v="172"/>
    <n v="94"/>
    <n v="83"/>
    <n v="66"/>
    <n v="41"/>
    <x v="0"/>
    <n v="2024"/>
  </r>
  <r>
    <x v="376"/>
    <x v="270"/>
    <x v="9"/>
    <x v="31"/>
    <x v="0"/>
    <x v="21"/>
    <x v="120"/>
    <n v="82"/>
    <n v="94"/>
    <n v="96"/>
    <n v="23"/>
    <x v="4"/>
    <n v="2025"/>
  </r>
  <r>
    <x v="377"/>
    <x v="282"/>
    <x v="6"/>
    <x v="21"/>
    <x v="0"/>
    <x v="2"/>
    <x v="7"/>
    <n v="66"/>
    <n v="96"/>
    <n v="70"/>
    <n v="40"/>
    <x v="2"/>
    <n v="2026"/>
  </r>
  <r>
    <x v="378"/>
    <x v="248"/>
    <x v="2"/>
    <x v="17"/>
    <x v="1"/>
    <x v="8"/>
    <x v="171"/>
    <n v="94"/>
    <n v="65"/>
    <n v="94"/>
    <n v="44"/>
    <x v="1"/>
    <n v="2024"/>
  </r>
  <r>
    <x v="379"/>
    <x v="283"/>
    <x v="5"/>
    <x v="35"/>
    <x v="1"/>
    <x v="30"/>
    <x v="210"/>
    <n v="89"/>
    <n v="77"/>
    <n v="94"/>
    <n v="33"/>
    <x v="1"/>
    <n v="2026"/>
  </r>
  <r>
    <x v="380"/>
    <x v="284"/>
    <x v="6"/>
    <x v="34"/>
    <x v="0"/>
    <x v="34"/>
    <x v="209"/>
    <n v="73"/>
    <n v="96"/>
    <n v="86"/>
    <n v="34"/>
    <x v="4"/>
    <n v="2026"/>
  </r>
  <r>
    <x v="381"/>
    <x v="228"/>
    <x v="5"/>
    <x v="32"/>
    <x v="0"/>
    <x v="1"/>
    <x v="18"/>
    <n v="89"/>
    <n v="61"/>
    <n v="90"/>
    <n v="41"/>
    <x v="3"/>
    <n v="2024"/>
  </r>
  <r>
    <x v="382"/>
    <x v="38"/>
    <x v="9"/>
    <x v="43"/>
    <x v="0"/>
    <x v="19"/>
    <x v="211"/>
    <n v="86"/>
    <n v="61"/>
    <n v="65"/>
    <n v="19"/>
    <x v="3"/>
    <n v="2025"/>
  </r>
  <r>
    <x v="383"/>
    <x v="285"/>
    <x v="2"/>
    <x v="8"/>
    <x v="0"/>
    <x v="2"/>
    <x v="177"/>
    <n v="76"/>
    <n v="97"/>
    <n v="85"/>
    <n v="39"/>
    <x v="0"/>
    <n v="2026"/>
  </r>
  <r>
    <x v="384"/>
    <x v="126"/>
    <x v="7"/>
    <x v="10"/>
    <x v="1"/>
    <x v="0"/>
    <x v="157"/>
    <n v="98"/>
    <n v="82"/>
    <n v="74"/>
    <n v="17"/>
    <x v="1"/>
    <n v="2024"/>
  </r>
  <r>
    <x v="385"/>
    <x v="223"/>
    <x v="3"/>
    <x v="3"/>
    <x v="0"/>
    <x v="14"/>
    <x v="212"/>
    <n v="68"/>
    <n v="61"/>
    <n v="99"/>
    <n v="43"/>
    <x v="2"/>
    <n v="2024"/>
  </r>
  <r>
    <x v="386"/>
    <x v="123"/>
    <x v="3"/>
    <x v="9"/>
    <x v="1"/>
    <x v="13"/>
    <x v="213"/>
    <n v="66"/>
    <n v="80"/>
    <n v="85"/>
    <n v="19"/>
    <x v="1"/>
    <n v="2024"/>
  </r>
  <r>
    <x v="387"/>
    <x v="101"/>
    <x v="4"/>
    <x v="4"/>
    <x v="0"/>
    <x v="2"/>
    <x v="176"/>
    <n v="89"/>
    <n v="77"/>
    <n v="79"/>
    <n v="18"/>
    <x v="3"/>
    <n v="2024"/>
  </r>
  <r>
    <x v="388"/>
    <x v="286"/>
    <x v="2"/>
    <x v="8"/>
    <x v="0"/>
    <x v="20"/>
    <x v="32"/>
    <n v="90"/>
    <n v="67"/>
    <n v="89"/>
    <n v="6"/>
    <x v="0"/>
    <n v="2026"/>
  </r>
  <r>
    <x v="389"/>
    <x v="287"/>
    <x v="5"/>
    <x v="45"/>
    <x v="1"/>
    <x v="13"/>
    <x v="69"/>
    <n v="75"/>
    <n v="84"/>
    <n v="68"/>
    <n v="33"/>
    <x v="0"/>
    <n v="2025"/>
  </r>
  <r>
    <x v="390"/>
    <x v="266"/>
    <x v="7"/>
    <x v="10"/>
    <x v="0"/>
    <x v="24"/>
    <x v="165"/>
    <n v="86"/>
    <n v="97"/>
    <n v="72"/>
    <n v="10"/>
    <x v="1"/>
    <n v="2026"/>
  </r>
  <r>
    <x v="391"/>
    <x v="288"/>
    <x v="6"/>
    <x v="34"/>
    <x v="1"/>
    <x v="28"/>
    <x v="172"/>
    <n v="95"/>
    <n v="67"/>
    <n v="75"/>
    <n v="53"/>
    <x v="1"/>
    <n v="2024"/>
  </r>
  <r>
    <x v="392"/>
    <x v="206"/>
    <x v="3"/>
    <x v="9"/>
    <x v="0"/>
    <x v="8"/>
    <x v="214"/>
    <n v="100"/>
    <n v="82"/>
    <n v="85"/>
    <n v="31"/>
    <x v="1"/>
    <n v="2024"/>
  </r>
  <r>
    <x v="393"/>
    <x v="289"/>
    <x v="8"/>
    <x v="24"/>
    <x v="1"/>
    <x v="2"/>
    <x v="20"/>
    <n v="94"/>
    <n v="83"/>
    <n v="95"/>
    <n v="21"/>
    <x v="4"/>
    <n v="2024"/>
  </r>
  <r>
    <x v="394"/>
    <x v="290"/>
    <x v="8"/>
    <x v="24"/>
    <x v="0"/>
    <x v="7"/>
    <x v="193"/>
    <n v="63"/>
    <n v="60"/>
    <n v="89"/>
    <n v="56"/>
    <x v="0"/>
    <n v="2025"/>
  </r>
  <r>
    <x v="395"/>
    <x v="291"/>
    <x v="4"/>
    <x v="37"/>
    <x v="0"/>
    <x v="11"/>
    <x v="120"/>
    <n v="68"/>
    <n v="82"/>
    <n v="88"/>
    <n v="24"/>
    <x v="2"/>
    <n v="2025"/>
  </r>
  <r>
    <x v="396"/>
    <x v="289"/>
    <x v="5"/>
    <x v="30"/>
    <x v="1"/>
    <x v="34"/>
    <x v="193"/>
    <n v="81"/>
    <n v="74"/>
    <n v="70"/>
    <n v="46"/>
    <x v="0"/>
    <n v="2025"/>
  </r>
  <r>
    <x v="397"/>
    <x v="292"/>
    <x v="9"/>
    <x v="39"/>
    <x v="1"/>
    <x v="31"/>
    <x v="15"/>
    <n v="79"/>
    <n v="80"/>
    <n v="67"/>
    <n v="14"/>
    <x v="1"/>
    <n v="2024"/>
  </r>
  <r>
    <x v="398"/>
    <x v="293"/>
    <x v="0"/>
    <x v="29"/>
    <x v="1"/>
    <x v="11"/>
    <x v="205"/>
    <n v="70"/>
    <n v="93"/>
    <n v="74"/>
    <n v="13"/>
    <x v="0"/>
    <n v="2024"/>
  </r>
  <r>
    <x v="399"/>
    <x v="294"/>
    <x v="6"/>
    <x v="13"/>
    <x v="1"/>
    <x v="22"/>
    <x v="152"/>
    <n v="75"/>
    <n v="78"/>
    <n v="88"/>
    <n v="44"/>
    <x v="0"/>
    <n v="2024"/>
  </r>
  <r>
    <x v="400"/>
    <x v="16"/>
    <x v="4"/>
    <x v="36"/>
    <x v="0"/>
    <x v="22"/>
    <x v="110"/>
    <n v="73"/>
    <n v="93"/>
    <n v="74"/>
    <n v="52"/>
    <x v="1"/>
    <n v="2025"/>
  </r>
  <r>
    <x v="401"/>
    <x v="295"/>
    <x v="6"/>
    <x v="21"/>
    <x v="0"/>
    <x v="9"/>
    <x v="28"/>
    <n v="69"/>
    <n v="70"/>
    <n v="66"/>
    <n v="36"/>
    <x v="1"/>
    <n v="2025"/>
  </r>
  <r>
    <x v="402"/>
    <x v="44"/>
    <x v="0"/>
    <x v="29"/>
    <x v="0"/>
    <x v="12"/>
    <x v="45"/>
    <n v="85"/>
    <n v="76"/>
    <n v="85"/>
    <n v="6"/>
    <x v="2"/>
    <n v="2025"/>
  </r>
  <r>
    <x v="403"/>
    <x v="296"/>
    <x v="9"/>
    <x v="28"/>
    <x v="1"/>
    <x v="18"/>
    <x v="215"/>
    <n v="92"/>
    <n v="62"/>
    <n v="74"/>
    <n v="31"/>
    <x v="2"/>
    <n v="2026"/>
  </r>
  <r>
    <x v="404"/>
    <x v="297"/>
    <x v="9"/>
    <x v="43"/>
    <x v="0"/>
    <x v="36"/>
    <x v="195"/>
    <n v="100"/>
    <n v="93"/>
    <n v="75"/>
    <n v="15"/>
    <x v="2"/>
    <n v="2024"/>
  </r>
  <r>
    <x v="405"/>
    <x v="25"/>
    <x v="4"/>
    <x v="37"/>
    <x v="0"/>
    <x v="3"/>
    <x v="14"/>
    <n v="76"/>
    <n v="65"/>
    <n v="91"/>
    <n v="9"/>
    <x v="2"/>
    <n v="2025"/>
  </r>
  <r>
    <x v="406"/>
    <x v="150"/>
    <x v="0"/>
    <x v="25"/>
    <x v="0"/>
    <x v="35"/>
    <x v="90"/>
    <n v="88"/>
    <n v="94"/>
    <n v="93"/>
    <n v="13"/>
    <x v="4"/>
    <n v="2026"/>
  </r>
  <r>
    <x v="407"/>
    <x v="298"/>
    <x v="1"/>
    <x v="15"/>
    <x v="0"/>
    <x v="7"/>
    <x v="216"/>
    <n v="92"/>
    <n v="90"/>
    <n v="81"/>
    <n v="13"/>
    <x v="3"/>
    <n v="2026"/>
  </r>
  <r>
    <x v="408"/>
    <x v="299"/>
    <x v="0"/>
    <x v="25"/>
    <x v="0"/>
    <x v="9"/>
    <x v="213"/>
    <n v="68"/>
    <n v="90"/>
    <n v="96"/>
    <n v="52"/>
    <x v="4"/>
    <n v="2024"/>
  </r>
  <r>
    <x v="409"/>
    <x v="282"/>
    <x v="9"/>
    <x v="43"/>
    <x v="0"/>
    <x v="6"/>
    <x v="93"/>
    <n v="94"/>
    <n v="68"/>
    <n v="74"/>
    <n v="19"/>
    <x v="2"/>
    <n v="2026"/>
  </r>
  <r>
    <x v="410"/>
    <x v="216"/>
    <x v="0"/>
    <x v="0"/>
    <x v="1"/>
    <x v="22"/>
    <x v="119"/>
    <n v="87"/>
    <n v="78"/>
    <n v="71"/>
    <n v="20"/>
    <x v="1"/>
    <n v="2025"/>
  </r>
  <r>
    <x v="411"/>
    <x v="300"/>
    <x v="6"/>
    <x v="7"/>
    <x v="0"/>
    <x v="3"/>
    <x v="217"/>
    <n v="81"/>
    <n v="81"/>
    <n v="94"/>
    <n v="47"/>
    <x v="4"/>
    <n v="2026"/>
  </r>
  <r>
    <x v="412"/>
    <x v="86"/>
    <x v="1"/>
    <x v="15"/>
    <x v="0"/>
    <x v="28"/>
    <x v="118"/>
    <n v="79"/>
    <n v="68"/>
    <n v="85"/>
    <n v="32"/>
    <x v="3"/>
    <n v="2026"/>
  </r>
  <r>
    <x v="413"/>
    <x v="301"/>
    <x v="9"/>
    <x v="31"/>
    <x v="0"/>
    <x v="27"/>
    <x v="24"/>
    <n v="64"/>
    <n v="84"/>
    <n v="68"/>
    <n v="55"/>
    <x v="1"/>
    <n v="2024"/>
  </r>
  <r>
    <x v="414"/>
    <x v="302"/>
    <x v="2"/>
    <x v="14"/>
    <x v="1"/>
    <x v="11"/>
    <x v="15"/>
    <n v="64"/>
    <n v="75"/>
    <n v="75"/>
    <n v="30"/>
    <x v="3"/>
    <n v="2024"/>
  </r>
  <r>
    <x v="415"/>
    <x v="303"/>
    <x v="0"/>
    <x v="27"/>
    <x v="1"/>
    <x v="12"/>
    <x v="185"/>
    <n v="92"/>
    <n v="82"/>
    <n v="77"/>
    <n v="45"/>
    <x v="4"/>
    <n v="2025"/>
  </r>
  <r>
    <x v="416"/>
    <x v="304"/>
    <x v="5"/>
    <x v="32"/>
    <x v="0"/>
    <x v="26"/>
    <x v="26"/>
    <n v="75"/>
    <n v="89"/>
    <n v="81"/>
    <n v="39"/>
    <x v="0"/>
    <n v="2024"/>
  </r>
  <r>
    <x v="417"/>
    <x v="305"/>
    <x v="9"/>
    <x v="39"/>
    <x v="1"/>
    <x v="31"/>
    <x v="181"/>
    <n v="94"/>
    <n v="81"/>
    <n v="86"/>
    <n v="16"/>
    <x v="3"/>
    <n v="2025"/>
  </r>
  <r>
    <x v="418"/>
    <x v="20"/>
    <x v="2"/>
    <x v="8"/>
    <x v="1"/>
    <x v="23"/>
    <x v="39"/>
    <n v="93"/>
    <n v="95"/>
    <n v="94"/>
    <n v="47"/>
    <x v="2"/>
    <n v="2026"/>
  </r>
  <r>
    <x v="419"/>
    <x v="306"/>
    <x v="8"/>
    <x v="24"/>
    <x v="1"/>
    <x v="32"/>
    <x v="51"/>
    <n v="95"/>
    <n v="76"/>
    <n v="69"/>
    <n v="55"/>
    <x v="3"/>
    <n v="2025"/>
  </r>
  <r>
    <x v="420"/>
    <x v="76"/>
    <x v="2"/>
    <x v="2"/>
    <x v="1"/>
    <x v="25"/>
    <x v="218"/>
    <n v="96"/>
    <n v="68"/>
    <n v="71"/>
    <n v="19"/>
    <x v="0"/>
    <n v="2024"/>
  </r>
  <r>
    <x v="421"/>
    <x v="307"/>
    <x v="7"/>
    <x v="19"/>
    <x v="0"/>
    <x v="6"/>
    <x v="158"/>
    <n v="80"/>
    <n v="68"/>
    <n v="87"/>
    <n v="24"/>
    <x v="0"/>
    <n v="2025"/>
  </r>
  <r>
    <x v="422"/>
    <x v="55"/>
    <x v="1"/>
    <x v="12"/>
    <x v="1"/>
    <x v="8"/>
    <x v="86"/>
    <n v="67"/>
    <n v="92"/>
    <n v="76"/>
    <n v="30"/>
    <x v="4"/>
    <n v="2024"/>
  </r>
  <r>
    <x v="423"/>
    <x v="308"/>
    <x v="2"/>
    <x v="2"/>
    <x v="0"/>
    <x v="14"/>
    <x v="47"/>
    <n v="76"/>
    <n v="61"/>
    <n v="77"/>
    <n v="51"/>
    <x v="3"/>
    <n v="2026"/>
  </r>
  <r>
    <x v="424"/>
    <x v="309"/>
    <x v="9"/>
    <x v="44"/>
    <x v="1"/>
    <x v="27"/>
    <x v="201"/>
    <n v="71"/>
    <n v="96"/>
    <n v="98"/>
    <n v="38"/>
    <x v="2"/>
    <n v="2026"/>
  </r>
  <r>
    <x v="425"/>
    <x v="8"/>
    <x v="2"/>
    <x v="38"/>
    <x v="1"/>
    <x v="19"/>
    <x v="219"/>
    <n v="76"/>
    <n v="93"/>
    <n v="75"/>
    <n v="28"/>
    <x v="1"/>
    <n v="2024"/>
  </r>
  <r>
    <x v="426"/>
    <x v="33"/>
    <x v="2"/>
    <x v="8"/>
    <x v="0"/>
    <x v="0"/>
    <x v="220"/>
    <n v="76"/>
    <n v="69"/>
    <n v="99"/>
    <n v="44"/>
    <x v="0"/>
    <n v="2024"/>
  </r>
  <r>
    <x v="427"/>
    <x v="310"/>
    <x v="7"/>
    <x v="42"/>
    <x v="1"/>
    <x v="24"/>
    <x v="85"/>
    <n v="87"/>
    <n v="78"/>
    <n v="89"/>
    <n v="38"/>
    <x v="0"/>
    <n v="2025"/>
  </r>
  <r>
    <x v="428"/>
    <x v="311"/>
    <x v="1"/>
    <x v="11"/>
    <x v="1"/>
    <x v="15"/>
    <x v="50"/>
    <n v="70"/>
    <n v="79"/>
    <n v="65"/>
    <n v="9"/>
    <x v="3"/>
    <n v="2026"/>
  </r>
  <r>
    <x v="429"/>
    <x v="245"/>
    <x v="0"/>
    <x v="25"/>
    <x v="1"/>
    <x v="21"/>
    <x v="184"/>
    <n v="81"/>
    <n v="73"/>
    <n v="69"/>
    <n v="8"/>
    <x v="0"/>
    <n v="2024"/>
  </r>
  <r>
    <x v="430"/>
    <x v="168"/>
    <x v="0"/>
    <x v="0"/>
    <x v="1"/>
    <x v="37"/>
    <x v="47"/>
    <n v="72"/>
    <n v="75"/>
    <n v="90"/>
    <n v="55"/>
    <x v="1"/>
    <n v="2026"/>
  </r>
  <r>
    <x v="431"/>
    <x v="232"/>
    <x v="8"/>
    <x v="22"/>
    <x v="1"/>
    <x v="20"/>
    <x v="110"/>
    <n v="99"/>
    <n v="72"/>
    <n v="80"/>
    <n v="58"/>
    <x v="3"/>
    <n v="2024"/>
  </r>
  <r>
    <x v="432"/>
    <x v="312"/>
    <x v="0"/>
    <x v="5"/>
    <x v="1"/>
    <x v="3"/>
    <x v="197"/>
    <n v="79"/>
    <n v="68"/>
    <n v="90"/>
    <n v="12"/>
    <x v="4"/>
    <n v="2026"/>
  </r>
  <r>
    <x v="433"/>
    <x v="138"/>
    <x v="3"/>
    <x v="9"/>
    <x v="0"/>
    <x v="8"/>
    <x v="44"/>
    <n v="90"/>
    <n v="69"/>
    <n v="82"/>
    <n v="53"/>
    <x v="3"/>
    <n v="2024"/>
  </r>
  <r>
    <x v="434"/>
    <x v="313"/>
    <x v="7"/>
    <x v="23"/>
    <x v="1"/>
    <x v="24"/>
    <x v="7"/>
    <n v="95"/>
    <n v="79"/>
    <n v="98"/>
    <n v="11"/>
    <x v="4"/>
    <n v="2025"/>
  </r>
  <r>
    <x v="435"/>
    <x v="314"/>
    <x v="3"/>
    <x v="9"/>
    <x v="1"/>
    <x v="2"/>
    <x v="221"/>
    <n v="90"/>
    <n v="79"/>
    <n v="72"/>
    <n v="39"/>
    <x v="4"/>
    <n v="2025"/>
  </r>
  <r>
    <x v="436"/>
    <x v="42"/>
    <x v="8"/>
    <x v="24"/>
    <x v="1"/>
    <x v="28"/>
    <x v="44"/>
    <n v="83"/>
    <n v="77"/>
    <n v="67"/>
    <n v="29"/>
    <x v="3"/>
    <n v="2024"/>
  </r>
  <r>
    <x v="437"/>
    <x v="142"/>
    <x v="5"/>
    <x v="32"/>
    <x v="0"/>
    <x v="24"/>
    <x v="125"/>
    <n v="89"/>
    <n v="97"/>
    <n v="75"/>
    <n v="50"/>
    <x v="0"/>
    <n v="2025"/>
  </r>
  <r>
    <x v="438"/>
    <x v="140"/>
    <x v="6"/>
    <x v="13"/>
    <x v="0"/>
    <x v="23"/>
    <x v="197"/>
    <n v="68"/>
    <n v="65"/>
    <n v="88"/>
    <n v="20"/>
    <x v="0"/>
    <n v="2026"/>
  </r>
  <r>
    <x v="439"/>
    <x v="315"/>
    <x v="1"/>
    <x v="15"/>
    <x v="1"/>
    <x v="5"/>
    <x v="222"/>
    <n v="88"/>
    <n v="63"/>
    <n v="71"/>
    <n v="60"/>
    <x v="3"/>
    <n v="2026"/>
  </r>
  <r>
    <x v="440"/>
    <x v="316"/>
    <x v="5"/>
    <x v="32"/>
    <x v="1"/>
    <x v="30"/>
    <x v="104"/>
    <n v="78"/>
    <n v="100"/>
    <n v="97"/>
    <n v="26"/>
    <x v="0"/>
    <n v="2026"/>
  </r>
  <r>
    <x v="441"/>
    <x v="201"/>
    <x v="4"/>
    <x v="4"/>
    <x v="1"/>
    <x v="35"/>
    <x v="167"/>
    <n v="84"/>
    <n v="65"/>
    <n v="65"/>
    <n v="11"/>
    <x v="0"/>
    <n v="2024"/>
  </r>
  <r>
    <x v="442"/>
    <x v="317"/>
    <x v="9"/>
    <x v="28"/>
    <x v="0"/>
    <x v="14"/>
    <x v="107"/>
    <n v="76"/>
    <n v="97"/>
    <n v="92"/>
    <n v="47"/>
    <x v="3"/>
    <n v="2024"/>
  </r>
  <r>
    <x v="443"/>
    <x v="56"/>
    <x v="4"/>
    <x v="37"/>
    <x v="0"/>
    <x v="32"/>
    <x v="29"/>
    <n v="93"/>
    <n v="95"/>
    <n v="89"/>
    <n v="43"/>
    <x v="4"/>
    <n v="2026"/>
  </r>
  <r>
    <x v="444"/>
    <x v="318"/>
    <x v="9"/>
    <x v="39"/>
    <x v="1"/>
    <x v="29"/>
    <x v="159"/>
    <n v="100"/>
    <n v="66"/>
    <n v="71"/>
    <n v="41"/>
    <x v="2"/>
    <n v="2024"/>
  </r>
  <r>
    <x v="445"/>
    <x v="319"/>
    <x v="5"/>
    <x v="18"/>
    <x v="1"/>
    <x v="7"/>
    <x v="23"/>
    <n v="77"/>
    <n v="83"/>
    <n v="91"/>
    <n v="57"/>
    <x v="0"/>
    <n v="2026"/>
  </r>
  <r>
    <x v="446"/>
    <x v="289"/>
    <x v="8"/>
    <x v="22"/>
    <x v="1"/>
    <x v="31"/>
    <x v="198"/>
    <n v="84"/>
    <n v="88"/>
    <n v="94"/>
    <n v="41"/>
    <x v="4"/>
    <n v="2024"/>
  </r>
  <r>
    <x v="447"/>
    <x v="320"/>
    <x v="1"/>
    <x v="15"/>
    <x v="1"/>
    <x v="4"/>
    <x v="214"/>
    <n v="89"/>
    <n v="61"/>
    <n v="78"/>
    <n v="41"/>
    <x v="1"/>
    <n v="2024"/>
  </r>
  <r>
    <x v="448"/>
    <x v="211"/>
    <x v="3"/>
    <x v="40"/>
    <x v="0"/>
    <x v="31"/>
    <x v="58"/>
    <n v="83"/>
    <n v="66"/>
    <n v="83"/>
    <n v="31"/>
    <x v="2"/>
    <n v="2026"/>
  </r>
  <r>
    <x v="449"/>
    <x v="321"/>
    <x v="7"/>
    <x v="19"/>
    <x v="0"/>
    <x v="11"/>
    <x v="175"/>
    <n v="78"/>
    <n v="82"/>
    <n v="87"/>
    <n v="27"/>
    <x v="1"/>
    <n v="2025"/>
  </r>
  <r>
    <x v="450"/>
    <x v="322"/>
    <x v="7"/>
    <x v="23"/>
    <x v="1"/>
    <x v="0"/>
    <x v="223"/>
    <n v="65"/>
    <n v="80"/>
    <n v="94"/>
    <n v="49"/>
    <x v="3"/>
    <n v="2024"/>
  </r>
  <r>
    <x v="451"/>
    <x v="262"/>
    <x v="7"/>
    <x v="42"/>
    <x v="0"/>
    <x v="26"/>
    <x v="135"/>
    <n v="97"/>
    <n v="80"/>
    <n v="90"/>
    <n v="53"/>
    <x v="3"/>
    <n v="2024"/>
  </r>
  <r>
    <x v="452"/>
    <x v="96"/>
    <x v="3"/>
    <x v="40"/>
    <x v="1"/>
    <x v="26"/>
    <x v="224"/>
    <n v="67"/>
    <n v="81"/>
    <n v="87"/>
    <n v="44"/>
    <x v="4"/>
    <n v="2026"/>
  </r>
  <r>
    <x v="453"/>
    <x v="24"/>
    <x v="7"/>
    <x v="10"/>
    <x v="0"/>
    <x v="29"/>
    <x v="148"/>
    <n v="76"/>
    <n v="80"/>
    <n v="84"/>
    <n v="11"/>
    <x v="2"/>
    <n v="2026"/>
  </r>
  <r>
    <x v="454"/>
    <x v="323"/>
    <x v="7"/>
    <x v="42"/>
    <x v="1"/>
    <x v="35"/>
    <x v="147"/>
    <n v="93"/>
    <n v="100"/>
    <n v="76"/>
    <n v="53"/>
    <x v="0"/>
    <n v="2024"/>
  </r>
  <r>
    <x v="455"/>
    <x v="76"/>
    <x v="4"/>
    <x v="36"/>
    <x v="1"/>
    <x v="15"/>
    <x v="225"/>
    <n v="93"/>
    <n v="82"/>
    <n v="86"/>
    <n v="56"/>
    <x v="0"/>
    <n v="2025"/>
  </r>
  <r>
    <x v="456"/>
    <x v="324"/>
    <x v="9"/>
    <x v="31"/>
    <x v="1"/>
    <x v="14"/>
    <x v="38"/>
    <n v="72"/>
    <n v="80"/>
    <n v="66"/>
    <n v="12"/>
    <x v="1"/>
    <n v="2026"/>
  </r>
  <r>
    <x v="457"/>
    <x v="264"/>
    <x v="6"/>
    <x v="13"/>
    <x v="0"/>
    <x v="12"/>
    <x v="145"/>
    <n v="94"/>
    <n v="95"/>
    <n v="83"/>
    <n v="53"/>
    <x v="4"/>
    <n v="2026"/>
  </r>
  <r>
    <x v="458"/>
    <x v="262"/>
    <x v="8"/>
    <x v="24"/>
    <x v="1"/>
    <x v="19"/>
    <x v="178"/>
    <n v="66"/>
    <n v="72"/>
    <n v="70"/>
    <n v="10"/>
    <x v="4"/>
    <n v="2026"/>
  </r>
  <r>
    <x v="459"/>
    <x v="325"/>
    <x v="9"/>
    <x v="43"/>
    <x v="0"/>
    <x v="7"/>
    <x v="45"/>
    <n v="78"/>
    <n v="69"/>
    <n v="86"/>
    <n v="39"/>
    <x v="3"/>
    <n v="2025"/>
  </r>
  <r>
    <x v="460"/>
    <x v="326"/>
    <x v="4"/>
    <x v="37"/>
    <x v="1"/>
    <x v="29"/>
    <x v="59"/>
    <n v="86"/>
    <n v="66"/>
    <n v="83"/>
    <n v="44"/>
    <x v="4"/>
    <n v="2024"/>
  </r>
  <r>
    <x v="461"/>
    <x v="327"/>
    <x v="7"/>
    <x v="42"/>
    <x v="1"/>
    <x v="32"/>
    <x v="100"/>
    <n v="76"/>
    <n v="88"/>
    <n v="67"/>
    <n v="20"/>
    <x v="4"/>
    <n v="2024"/>
  </r>
  <r>
    <x v="462"/>
    <x v="328"/>
    <x v="7"/>
    <x v="26"/>
    <x v="0"/>
    <x v="18"/>
    <x v="48"/>
    <n v="79"/>
    <n v="61"/>
    <n v="96"/>
    <n v="19"/>
    <x v="1"/>
    <n v="2024"/>
  </r>
  <r>
    <x v="463"/>
    <x v="324"/>
    <x v="8"/>
    <x v="22"/>
    <x v="0"/>
    <x v="36"/>
    <x v="132"/>
    <n v="90"/>
    <n v="73"/>
    <n v="74"/>
    <n v="5"/>
    <x v="3"/>
    <n v="2024"/>
  </r>
  <r>
    <x v="464"/>
    <x v="329"/>
    <x v="2"/>
    <x v="2"/>
    <x v="1"/>
    <x v="11"/>
    <x v="222"/>
    <n v="92"/>
    <n v="88"/>
    <n v="91"/>
    <n v="40"/>
    <x v="4"/>
    <n v="2026"/>
  </r>
  <r>
    <x v="465"/>
    <x v="330"/>
    <x v="9"/>
    <x v="43"/>
    <x v="0"/>
    <x v="4"/>
    <x v="204"/>
    <n v="73"/>
    <n v="93"/>
    <n v="90"/>
    <n v="45"/>
    <x v="4"/>
    <n v="2025"/>
  </r>
  <r>
    <x v="466"/>
    <x v="331"/>
    <x v="8"/>
    <x v="20"/>
    <x v="1"/>
    <x v="34"/>
    <x v="181"/>
    <n v="85"/>
    <n v="76"/>
    <n v="92"/>
    <n v="28"/>
    <x v="3"/>
    <n v="2024"/>
  </r>
  <r>
    <x v="467"/>
    <x v="332"/>
    <x v="3"/>
    <x v="40"/>
    <x v="1"/>
    <x v="9"/>
    <x v="117"/>
    <n v="84"/>
    <n v="64"/>
    <n v="73"/>
    <n v="25"/>
    <x v="1"/>
    <n v="2026"/>
  </r>
  <r>
    <x v="468"/>
    <x v="333"/>
    <x v="9"/>
    <x v="28"/>
    <x v="1"/>
    <x v="15"/>
    <x v="37"/>
    <n v="68"/>
    <n v="92"/>
    <n v="95"/>
    <n v="39"/>
    <x v="3"/>
    <n v="2024"/>
  </r>
  <r>
    <x v="469"/>
    <x v="152"/>
    <x v="5"/>
    <x v="35"/>
    <x v="1"/>
    <x v="3"/>
    <x v="39"/>
    <n v="100"/>
    <n v="74"/>
    <n v="87"/>
    <n v="50"/>
    <x v="4"/>
    <n v="2024"/>
  </r>
  <r>
    <x v="470"/>
    <x v="194"/>
    <x v="7"/>
    <x v="23"/>
    <x v="0"/>
    <x v="19"/>
    <x v="90"/>
    <n v="98"/>
    <n v="63"/>
    <n v="94"/>
    <n v="44"/>
    <x v="0"/>
    <n v="2025"/>
  </r>
  <r>
    <x v="471"/>
    <x v="320"/>
    <x v="2"/>
    <x v="17"/>
    <x v="1"/>
    <x v="11"/>
    <x v="170"/>
    <n v="66"/>
    <n v="70"/>
    <n v="66"/>
    <n v="40"/>
    <x v="0"/>
    <n v="2026"/>
  </r>
  <r>
    <x v="472"/>
    <x v="42"/>
    <x v="9"/>
    <x v="28"/>
    <x v="0"/>
    <x v="22"/>
    <x v="190"/>
    <n v="84"/>
    <n v="90"/>
    <n v="74"/>
    <n v="9"/>
    <x v="3"/>
    <n v="2024"/>
  </r>
  <r>
    <x v="473"/>
    <x v="209"/>
    <x v="8"/>
    <x v="20"/>
    <x v="1"/>
    <x v="35"/>
    <x v="174"/>
    <n v="79"/>
    <n v="96"/>
    <n v="81"/>
    <n v="51"/>
    <x v="2"/>
    <n v="2026"/>
  </r>
  <r>
    <x v="474"/>
    <x v="334"/>
    <x v="0"/>
    <x v="27"/>
    <x v="1"/>
    <x v="12"/>
    <x v="226"/>
    <n v="89"/>
    <n v="68"/>
    <n v="90"/>
    <n v="18"/>
    <x v="0"/>
    <n v="2025"/>
  </r>
  <r>
    <x v="475"/>
    <x v="306"/>
    <x v="0"/>
    <x v="5"/>
    <x v="0"/>
    <x v="29"/>
    <x v="213"/>
    <n v="81"/>
    <n v="81"/>
    <n v="79"/>
    <n v="41"/>
    <x v="4"/>
    <n v="2025"/>
  </r>
  <r>
    <x v="476"/>
    <x v="25"/>
    <x v="8"/>
    <x v="22"/>
    <x v="0"/>
    <x v="34"/>
    <x v="47"/>
    <n v="96"/>
    <n v="97"/>
    <n v="85"/>
    <n v="60"/>
    <x v="2"/>
    <n v="2026"/>
  </r>
  <r>
    <x v="477"/>
    <x v="335"/>
    <x v="4"/>
    <x v="41"/>
    <x v="1"/>
    <x v="17"/>
    <x v="227"/>
    <n v="84"/>
    <n v="97"/>
    <n v="72"/>
    <n v="54"/>
    <x v="2"/>
    <n v="2026"/>
  </r>
  <r>
    <x v="478"/>
    <x v="320"/>
    <x v="6"/>
    <x v="21"/>
    <x v="1"/>
    <x v="4"/>
    <x v="228"/>
    <n v="88"/>
    <n v="70"/>
    <n v="77"/>
    <n v="20"/>
    <x v="4"/>
    <n v="2024"/>
  </r>
  <r>
    <x v="479"/>
    <x v="308"/>
    <x v="4"/>
    <x v="36"/>
    <x v="0"/>
    <x v="12"/>
    <x v="167"/>
    <n v="63"/>
    <n v="91"/>
    <n v="72"/>
    <n v="26"/>
    <x v="2"/>
    <n v="2024"/>
  </r>
  <r>
    <x v="480"/>
    <x v="251"/>
    <x v="1"/>
    <x v="15"/>
    <x v="1"/>
    <x v="34"/>
    <x v="193"/>
    <n v="98"/>
    <n v="84"/>
    <n v="91"/>
    <n v="29"/>
    <x v="0"/>
    <n v="2024"/>
  </r>
  <r>
    <x v="481"/>
    <x v="186"/>
    <x v="9"/>
    <x v="28"/>
    <x v="0"/>
    <x v="28"/>
    <x v="224"/>
    <n v="73"/>
    <n v="66"/>
    <n v="84"/>
    <n v="27"/>
    <x v="1"/>
    <n v="2026"/>
  </r>
  <r>
    <x v="482"/>
    <x v="176"/>
    <x v="4"/>
    <x v="4"/>
    <x v="0"/>
    <x v="9"/>
    <x v="229"/>
    <n v="78"/>
    <n v="91"/>
    <n v="70"/>
    <n v="16"/>
    <x v="3"/>
    <n v="2025"/>
  </r>
  <r>
    <x v="483"/>
    <x v="165"/>
    <x v="1"/>
    <x v="11"/>
    <x v="0"/>
    <x v="37"/>
    <x v="165"/>
    <n v="84"/>
    <n v="100"/>
    <n v="70"/>
    <n v="26"/>
    <x v="0"/>
    <n v="2024"/>
  </r>
  <r>
    <x v="484"/>
    <x v="236"/>
    <x v="4"/>
    <x v="37"/>
    <x v="1"/>
    <x v="21"/>
    <x v="54"/>
    <n v="63"/>
    <n v="98"/>
    <n v="68"/>
    <n v="40"/>
    <x v="2"/>
    <n v="2026"/>
  </r>
  <r>
    <x v="485"/>
    <x v="336"/>
    <x v="4"/>
    <x v="41"/>
    <x v="1"/>
    <x v="16"/>
    <x v="99"/>
    <n v="72"/>
    <n v="60"/>
    <n v="98"/>
    <n v="5"/>
    <x v="2"/>
    <n v="2025"/>
  </r>
  <r>
    <x v="486"/>
    <x v="337"/>
    <x v="3"/>
    <x v="9"/>
    <x v="0"/>
    <x v="4"/>
    <x v="87"/>
    <n v="63"/>
    <n v="96"/>
    <n v="88"/>
    <n v="59"/>
    <x v="2"/>
    <n v="2024"/>
  </r>
  <r>
    <x v="487"/>
    <x v="84"/>
    <x v="5"/>
    <x v="32"/>
    <x v="0"/>
    <x v="27"/>
    <x v="63"/>
    <n v="93"/>
    <n v="71"/>
    <n v="99"/>
    <n v="18"/>
    <x v="3"/>
    <n v="2024"/>
  </r>
  <r>
    <x v="488"/>
    <x v="338"/>
    <x v="5"/>
    <x v="35"/>
    <x v="0"/>
    <x v="0"/>
    <x v="68"/>
    <n v="71"/>
    <n v="98"/>
    <n v="88"/>
    <n v="41"/>
    <x v="1"/>
    <n v="2025"/>
  </r>
  <r>
    <x v="489"/>
    <x v="105"/>
    <x v="3"/>
    <x v="3"/>
    <x v="0"/>
    <x v="12"/>
    <x v="230"/>
    <n v="73"/>
    <n v="92"/>
    <n v="74"/>
    <n v="57"/>
    <x v="0"/>
    <n v="2024"/>
  </r>
  <r>
    <x v="490"/>
    <x v="266"/>
    <x v="0"/>
    <x v="25"/>
    <x v="1"/>
    <x v="12"/>
    <x v="231"/>
    <n v="96"/>
    <n v="67"/>
    <n v="84"/>
    <n v="23"/>
    <x v="2"/>
    <n v="2025"/>
  </r>
  <r>
    <x v="491"/>
    <x v="267"/>
    <x v="4"/>
    <x v="41"/>
    <x v="1"/>
    <x v="34"/>
    <x v="220"/>
    <n v="99"/>
    <n v="93"/>
    <n v="75"/>
    <n v="11"/>
    <x v="0"/>
    <n v="2024"/>
  </r>
  <r>
    <x v="492"/>
    <x v="339"/>
    <x v="1"/>
    <x v="11"/>
    <x v="1"/>
    <x v="20"/>
    <x v="155"/>
    <n v="83"/>
    <n v="89"/>
    <n v="100"/>
    <n v="58"/>
    <x v="0"/>
    <n v="2025"/>
  </r>
  <r>
    <x v="493"/>
    <x v="10"/>
    <x v="6"/>
    <x v="21"/>
    <x v="1"/>
    <x v="29"/>
    <x v="101"/>
    <n v="97"/>
    <n v="64"/>
    <n v="86"/>
    <n v="20"/>
    <x v="3"/>
    <n v="2024"/>
  </r>
  <r>
    <x v="494"/>
    <x v="98"/>
    <x v="7"/>
    <x v="19"/>
    <x v="0"/>
    <x v="11"/>
    <x v="79"/>
    <n v="93"/>
    <n v="72"/>
    <n v="90"/>
    <n v="7"/>
    <x v="3"/>
    <n v="2024"/>
  </r>
  <r>
    <x v="495"/>
    <x v="340"/>
    <x v="3"/>
    <x v="9"/>
    <x v="0"/>
    <x v="14"/>
    <x v="140"/>
    <n v="92"/>
    <n v="97"/>
    <n v="71"/>
    <n v="59"/>
    <x v="4"/>
    <n v="2024"/>
  </r>
  <r>
    <x v="496"/>
    <x v="341"/>
    <x v="4"/>
    <x v="37"/>
    <x v="1"/>
    <x v="33"/>
    <x v="157"/>
    <n v="82"/>
    <n v="93"/>
    <n v="99"/>
    <n v="38"/>
    <x v="0"/>
    <n v="2026"/>
  </r>
  <r>
    <x v="497"/>
    <x v="317"/>
    <x v="9"/>
    <x v="39"/>
    <x v="1"/>
    <x v="7"/>
    <x v="218"/>
    <n v="80"/>
    <n v="80"/>
    <n v="73"/>
    <n v="33"/>
    <x v="1"/>
    <n v="2025"/>
  </r>
  <r>
    <x v="498"/>
    <x v="164"/>
    <x v="4"/>
    <x v="36"/>
    <x v="1"/>
    <x v="25"/>
    <x v="101"/>
    <n v="89"/>
    <n v="85"/>
    <n v="92"/>
    <n v="29"/>
    <x v="2"/>
    <n v="2025"/>
  </r>
  <r>
    <x v="499"/>
    <x v="342"/>
    <x v="1"/>
    <x v="1"/>
    <x v="1"/>
    <x v="33"/>
    <x v="36"/>
    <n v="68"/>
    <n v="80"/>
    <n v="100"/>
    <n v="35"/>
    <x v="4"/>
    <n v="2025"/>
  </r>
</pivotCacheRecords>
</file>

<file path=xl/pivotCache/pivotCacheRecords2.xml><?xml version="1.0" encoding="utf-8"?>
<pivotCacheRecords xmlns="http://schemas.openxmlformats.org/spreadsheetml/2006/main" xmlns:r="http://schemas.openxmlformats.org/officeDocument/2006/relationships" count="500">
  <r>
    <x v="0"/>
    <x v="0"/>
    <x v="0"/>
    <x v="0"/>
    <x v="0"/>
    <n v="36"/>
    <x v="0"/>
    <x v="0"/>
    <x v="0"/>
    <x v="0"/>
    <x v="0"/>
    <x v="0"/>
    <x v="0"/>
    <x v="0"/>
  </r>
  <r>
    <x v="1"/>
    <x v="1"/>
    <x v="1"/>
    <x v="1"/>
    <x v="0"/>
    <n v="23"/>
    <x v="1"/>
    <x v="1"/>
    <x v="1"/>
    <x v="1"/>
    <x v="0"/>
    <x v="0"/>
    <x v="0"/>
    <x v="0"/>
  </r>
  <r>
    <x v="2"/>
    <x v="2"/>
    <x v="1"/>
    <x v="1"/>
    <x v="1"/>
    <n v="55"/>
    <x v="2"/>
    <x v="2"/>
    <x v="2"/>
    <x v="0"/>
    <x v="1"/>
    <x v="0"/>
    <x v="0"/>
    <x v="0"/>
  </r>
  <r>
    <x v="3"/>
    <x v="3"/>
    <x v="2"/>
    <x v="2"/>
    <x v="1"/>
    <n v="48"/>
    <x v="3"/>
    <x v="3"/>
    <x v="0"/>
    <x v="2"/>
    <x v="0"/>
    <x v="0"/>
    <x v="0"/>
    <x v="0"/>
  </r>
  <r>
    <x v="4"/>
    <x v="4"/>
    <x v="3"/>
    <x v="3"/>
    <x v="1"/>
    <n v="45"/>
    <x v="4"/>
    <x v="4"/>
    <x v="1"/>
    <x v="1"/>
    <x v="0"/>
    <x v="1"/>
    <x v="1"/>
    <x v="1"/>
  </r>
  <r>
    <x v="5"/>
    <x v="5"/>
    <x v="4"/>
    <x v="4"/>
    <x v="1"/>
    <n v="50"/>
    <x v="5"/>
    <x v="5"/>
    <x v="2"/>
    <x v="2"/>
    <x v="1"/>
    <x v="0"/>
    <x v="0"/>
    <x v="0"/>
  </r>
  <r>
    <x v="6"/>
    <x v="6"/>
    <x v="0"/>
    <x v="5"/>
    <x v="0"/>
    <n v="44"/>
    <x v="6"/>
    <x v="6"/>
    <x v="1"/>
    <x v="3"/>
    <x v="0"/>
    <x v="0"/>
    <x v="0"/>
    <x v="0"/>
  </r>
  <r>
    <x v="7"/>
    <x v="7"/>
    <x v="5"/>
    <x v="6"/>
    <x v="1"/>
    <n v="39"/>
    <x v="7"/>
    <x v="7"/>
    <x v="2"/>
    <x v="3"/>
    <x v="1"/>
    <x v="0"/>
    <x v="0"/>
    <x v="0"/>
  </r>
  <r>
    <x v="8"/>
    <x v="8"/>
    <x v="6"/>
    <x v="7"/>
    <x v="0"/>
    <n v="44"/>
    <x v="8"/>
    <x v="8"/>
    <x v="1"/>
    <x v="0"/>
    <x v="0"/>
    <x v="1"/>
    <x v="2"/>
    <x v="2"/>
  </r>
  <r>
    <x v="9"/>
    <x v="9"/>
    <x v="2"/>
    <x v="2"/>
    <x v="1"/>
    <n v="55"/>
    <x v="9"/>
    <x v="9"/>
    <x v="3"/>
    <x v="3"/>
    <x v="1"/>
    <x v="0"/>
    <x v="0"/>
    <x v="0"/>
  </r>
  <r>
    <x v="10"/>
    <x v="10"/>
    <x v="2"/>
    <x v="8"/>
    <x v="1"/>
    <n v="41"/>
    <x v="10"/>
    <x v="10"/>
    <x v="2"/>
    <x v="2"/>
    <x v="0"/>
    <x v="0"/>
    <x v="0"/>
    <x v="0"/>
  </r>
  <r>
    <x v="11"/>
    <x v="11"/>
    <x v="3"/>
    <x v="9"/>
    <x v="0"/>
    <n v="25"/>
    <x v="11"/>
    <x v="11"/>
    <x v="0"/>
    <x v="4"/>
    <x v="0"/>
    <x v="0"/>
    <x v="0"/>
    <x v="0"/>
  </r>
  <r>
    <x v="12"/>
    <x v="12"/>
    <x v="7"/>
    <x v="10"/>
    <x v="0"/>
    <n v="50"/>
    <x v="12"/>
    <x v="12"/>
    <x v="0"/>
    <x v="3"/>
    <x v="0"/>
    <x v="0"/>
    <x v="0"/>
    <x v="0"/>
  </r>
  <r>
    <x v="13"/>
    <x v="13"/>
    <x v="1"/>
    <x v="11"/>
    <x v="0"/>
    <n v="58"/>
    <x v="13"/>
    <x v="13"/>
    <x v="4"/>
    <x v="0"/>
    <x v="1"/>
    <x v="0"/>
    <x v="0"/>
    <x v="0"/>
  </r>
  <r>
    <x v="14"/>
    <x v="14"/>
    <x v="1"/>
    <x v="12"/>
    <x v="1"/>
    <n v="24"/>
    <x v="14"/>
    <x v="14"/>
    <x v="2"/>
    <x v="3"/>
    <x v="1"/>
    <x v="0"/>
    <x v="0"/>
    <x v="0"/>
  </r>
  <r>
    <x v="15"/>
    <x v="15"/>
    <x v="6"/>
    <x v="13"/>
    <x v="0"/>
    <n v="45"/>
    <x v="15"/>
    <x v="15"/>
    <x v="1"/>
    <x v="3"/>
    <x v="1"/>
    <x v="0"/>
    <x v="0"/>
    <x v="0"/>
  </r>
  <r>
    <x v="16"/>
    <x v="16"/>
    <x v="1"/>
    <x v="1"/>
    <x v="1"/>
    <n v="55"/>
    <x v="16"/>
    <x v="16"/>
    <x v="1"/>
    <x v="1"/>
    <x v="0"/>
    <x v="0"/>
    <x v="0"/>
    <x v="0"/>
  </r>
  <r>
    <x v="17"/>
    <x v="17"/>
    <x v="2"/>
    <x v="14"/>
    <x v="1"/>
    <n v="50"/>
    <x v="17"/>
    <x v="17"/>
    <x v="1"/>
    <x v="0"/>
    <x v="0"/>
    <x v="0"/>
    <x v="0"/>
    <x v="0"/>
  </r>
  <r>
    <x v="18"/>
    <x v="18"/>
    <x v="1"/>
    <x v="15"/>
    <x v="1"/>
    <n v="40"/>
    <x v="18"/>
    <x v="18"/>
    <x v="3"/>
    <x v="4"/>
    <x v="1"/>
    <x v="0"/>
    <x v="0"/>
    <x v="0"/>
  </r>
  <r>
    <x v="19"/>
    <x v="19"/>
    <x v="3"/>
    <x v="16"/>
    <x v="1"/>
    <n v="41"/>
    <x v="19"/>
    <x v="19"/>
    <x v="3"/>
    <x v="1"/>
    <x v="1"/>
    <x v="0"/>
    <x v="0"/>
    <x v="0"/>
  </r>
  <r>
    <x v="20"/>
    <x v="20"/>
    <x v="2"/>
    <x v="17"/>
    <x v="1"/>
    <n v="36"/>
    <x v="20"/>
    <x v="20"/>
    <x v="4"/>
    <x v="0"/>
    <x v="1"/>
    <x v="1"/>
    <x v="3"/>
    <x v="3"/>
  </r>
  <r>
    <x v="21"/>
    <x v="21"/>
    <x v="0"/>
    <x v="5"/>
    <x v="1"/>
    <n v="29"/>
    <x v="21"/>
    <x v="21"/>
    <x v="0"/>
    <x v="0"/>
    <x v="1"/>
    <x v="0"/>
    <x v="0"/>
    <x v="0"/>
  </r>
  <r>
    <x v="22"/>
    <x v="22"/>
    <x v="1"/>
    <x v="12"/>
    <x v="1"/>
    <n v="55"/>
    <x v="22"/>
    <x v="22"/>
    <x v="0"/>
    <x v="2"/>
    <x v="0"/>
    <x v="0"/>
    <x v="0"/>
    <x v="0"/>
  </r>
  <r>
    <x v="23"/>
    <x v="23"/>
    <x v="3"/>
    <x v="9"/>
    <x v="0"/>
    <n v="28"/>
    <x v="23"/>
    <x v="9"/>
    <x v="2"/>
    <x v="3"/>
    <x v="0"/>
    <x v="0"/>
    <x v="0"/>
    <x v="0"/>
  </r>
  <r>
    <x v="24"/>
    <x v="24"/>
    <x v="5"/>
    <x v="18"/>
    <x v="1"/>
    <n v="58"/>
    <x v="24"/>
    <x v="23"/>
    <x v="0"/>
    <x v="2"/>
    <x v="0"/>
    <x v="0"/>
    <x v="0"/>
    <x v="0"/>
  </r>
  <r>
    <x v="25"/>
    <x v="25"/>
    <x v="7"/>
    <x v="19"/>
    <x v="1"/>
    <n v="42"/>
    <x v="25"/>
    <x v="24"/>
    <x v="2"/>
    <x v="4"/>
    <x v="1"/>
    <x v="0"/>
    <x v="0"/>
    <x v="0"/>
  </r>
  <r>
    <x v="26"/>
    <x v="26"/>
    <x v="8"/>
    <x v="20"/>
    <x v="1"/>
    <n v="57"/>
    <x v="26"/>
    <x v="6"/>
    <x v="2"/>
    <x v="4"/>
    <x v="0"/>
    <x v="1"/>
    <x v="4"/>
    <x v="4"/>
  </r>
  <r>
    <x v="27"/>
    <x v="27"/>
    <x v="6"/>
    <x v="21"/>
    <x v="1"/>
    <n v="27"/>
    <x v="27"/>
    <x v="25"/>
    <x v="0"/>
    <x v="4"/>
    <x v="1"/>
    <x v="0"/>
    <x v="0"/>
    <x v="0"/>
  </r>
  <r>
    <x v="28"/>
    <x v="16"/>
    <x v="8"/>
    <x v="22"/>
    <x v="1"/>
    <n v="24"/>
    <x v="28"/>
    <x v="26"/>
    <x v="1"/>
    <x v="2"/>
    <x v="0"/>
    <x v="0"/>
    <x v="0"/>
    <x v="0"/>
  </r>
  <r>
    <x v="29"/>
    <x v="28"/>
    <x v="7"/>
    <x v="23"/>
    <x v="1"/>
    <n v="55"/>
    <x v="29"/>
    <x v="27"/>
    <x v="4"/>
    <x v="1"/>
    <x v="1"/>
    <x v="0"/>
    <x v="0"/>
    <x v="0"/>
  </r>
  <r>
    <x v="30"/>
    <x v="29"/>
    <x v="2"/>
    <x v="14"/>
    <x v="1"/>
    <n v="25"/>
    <x v="30"/>
    <x v="28"/>
    <x v="4"/>
    <x v="1"/>
    <x v="1"/>
    <x v="0"/>
    <x v="0"/>
    <x v="0"/>
  </r>
  <r>
    <x v="31"/>
    <x v="30"/>
    <x v="1"/>
    <x v="1"/>
    <x v="1"/>
    <n v="36"/>
    <x v="31"/>
    <x v="8"/>
    <x v="4"/>
    <x v="3"/>
    <x v="0"/>
    <x v="0"/>
    <x v="0"/>
    <x v="0"/>
  </r>
  <r>
    <x v="32"/>
    <x v="31"/>
    <x v="7"/>
    <x v="10"/>
    <x v="1"/>
    <n v="31"/>
    <x v="32"/>
    <x v="29"/>
    <x v="4"/>
    <x v="0"/>
    <x v="0"/>
    <x v="0"/>
    <x v="0"/>
    <x v="0"/>
  </r>
  <r>
    <x v="33"/>
    <x v="32"/>
    <x v="8"/>
    <x v="24"/>
    <x v="0"/>
    <n v="56"/>
    <x v="33"/>
    <x v="19"/>
    <x v="3"/>
    <x v="2"/>
    <x v="0"/>
    <x v="0"/>
    <x v="0"/>
    <x v="0"/>
  </r>
  <r>
    <x v="34"/>
    <x v="33"/>
    <x v="7"/>
    <x v="19"/>
    <x v="1"/>
    <n v="41"/>
    <x v="34"/>
    <x v="10"/>
    <x v="1"/>
    <x v="4"/>
    <x v="1"/>
    <x v="0"/>
    <x v="0"/>
    <x v="0"/>
  </r>
  <r>
    <x v="35"/>
    <x v="34"/>
    <x v="1"/>
    <x v="15"/>
    <x v="1"/>
    <n v="53"/>
    <x v="35"/>
    <x v="30"/>
    <x v="3"/>
    <x v="0"/>
    <x v="1"/>
    <x v="0"/>
    <x v="0"/>
    <x v="0"/>
  </r>
  <r>
    <x v="36"/>
    <x v="35"/>
    <x v="0"/>
    <x v="25"/>
    <x v="0"/>
    <n v="28"/>
    <x v="36"/>
    <x v="20"/>
    <x v="0"/>
    <x v="0"/>
    <x v="0"/>
    <x v="0"/>
    <x v="0"/>
    <x v="0"/>
  </r>
  <r>
    <x v="37"/>
    <x v="36"/>
    <x v="5"/>
    <x v="18"/>
    <x v="1"/>
    <n v="47"/>
    <x v="37"/>
    <x v="31"/>
    <x v="0"/>
    <x v="4"/>
    <x v="0"/>
    <x v="1"/>
    <x v="5"/>
    <x v="5"/>
  </r>
  <r>
    <x v="38"/>
    <x v="37"/>
    <x v="2"/>
    <x v="17"/>
    <x v="0"/>
    <n v="36"/>
    <x v="38"/>
    <x v="16"/>
    <x v="3"/>
    <x v="1"/>
    <x v="0"/>
    <x v="0"/>
    <x v="0"/>
    <x v="0"/>
  </r>
  <r>
    <x v="39"/>
    <x v="38"/>
    <x v="8"/>
    <x v="24"/>
    <x v="1"/>
    <n v="21"/>
    <x v="39"/>
    <x v="32"/>
    <x v="4"/>
    <x v="0"/>
    <x v="0"/>
    <x v="0"/>
    <x v="0"/>
    <x v="0"/>
  </r>
  <r>
    <x v="40"/>
    <x v="39"/>
    <x v="0"/>
    <x v="5"/>
    <x v="1"/>
    <n v="53"/>
    <x v="40"/>
    <x v="16"/>
    <x v="3"/>
    <x v="1"/>
    <x v="1"/>
    <x v="0"/>
    <x v="0"/>
    <x v="0"/>
  </r>
  <r>
    <x v="41"/>
    <x v="40"/>
    <x v="0"/>
    <x v="25"/>
    <x v="0"/>
    <n v="39"/>
    <x v="41"/>
    <x v="33"/>
    <x v="4"/>
    <x v="1"/>
    <x v="1"/>
    <x v="0"/>
    <x v="0"/>
    <x v="0"/>
  </r>
  <r>
    <x v="42"/>
    <x v="41"/>
    <x v="2"/>
    <x v="8"/>
    <x v="1"/>
    <n v="56"/>
    <x v="42"/>
    <x v="34"/>
    <x v="4"/>
    <x v="1"/>
    <x v="1"/>
    <x v="0"/>
    <x v="0"/>
    <x v="0"/>
  </r>
  <r>
    <x v="43"/>
    <x v="42"/>
    <x v="2"/>
    <x v="2"/>
    <x v="1"/>
    <n v="56"/>
    <x v="43"/>
    <x v="33"/>
    <x v="2"/>
    <x v="4"/>
    <x v="1"/>
    <x v="0"/>
    <x v="0"/>
    <x v="0"/>
  </r>
  <r>
    <x v="44"/>
    <x v="43"/>
    <x v="7"/>
    <x v="26"/>
    <x v="1"/>
    <n v="37"/>
    <x v="44"/>
    <x v="18"/>
    <x v="3"/>
    <x v="0"/>
    <x v="0"/>
    <x v="0"/>
    <x v="0"/>
    <x v="0"/>
  </r>
  <r>
    <x v="45"/>
    <x v="44"/>
    <x v="0"/>
    <x v="27"/>
    <x v="0"/>
    <n v="23"/>
    <x v="45"/>
    <x v="17"/>
    <x v="3"/>
    <x v="0"/>
    <x v="0"/>
    <x v="1"/>
    <x v="5"/>
    <x v="6"/>
  </r>
  <r>
    <x v="46"/>
    <x v="45"/>
    <x v="2"/>
    <x v="17"/>
    <x v="0"/>
    <n v="56"/>
    <x v="46"/>
    <x v="2"/>
    <x v="0"/>
    <x v="4"/>
    <x v="1"/>
    <x v="0"/>
    <x v="0"/>
    <x v="0"/>
  </r>
  <r>
    <x v="47"/>
    <x v="46"/>
    <x v="0"/>
    <x v="25"/>
    <x v="1"/>
    <n v="44"/>
    <x v="47"/>
    <x v="31"/>
    <x v="0"/>
    <x v="0"/>
    <x v="0"/>
    <x v="0"/>
    <x v="0"/>
    <x v="0"/>
  </r>
  <r>
    <x v="48"/>
    <x v="1"/>
    <x v="9"/>
    <x v="28"/>
    <x v="0"/>
    <n v="44"/>
    <x v="48"/>
    <x v="35"/>
    <x v="0"/>
    <x v="2"/>
    <x v="0"/>
    <x v="0"/>
    <x v="0"/>
    <x v="0"/>
  </r>
  <r>
    <x v="49"/>
    <x v="47"/>
    <x v="0"/>
    <x v="29"/>
    <x v="0"/>
    <n v="30"/>
    <x v="49"/>
    <x v="36"/>
    <x v="2"/>
    <x v="2"/>
    <x v="0"/>
    <x v="0"/>
    <x v="0"/>
    <x v="0"/>
  </r>
  <r>
    <x v="50"/>
    <x v="48"/>
    <x v="6"/>
    <x v="13"/>
    <x v="1"/>
    <n v="42"/>
    <x v="50"/>
    <x v="37"/>
    <x v="0"/>
    <x v="0"/>
    <x v="0"/>
    <x v="0"/>
    <x v="0"/>
    <x v="0"/>
  </r>
  <r>
    <x v="51"/>
    <x v="49"/>
    <x v="2"/>
    <x v="17"/>
    <x v="1"/>
    <n v="45"/>
    <x v="51"/>
    <x v="35"/>
    <x v="3"/>
    <x v="2"/>
    <x v="1"/>
    <x v="0"/>
    <x v="0"/>
    <x v="0"/>
  </r>
  <r>
    <x v="52"/>
    <x v="50"/>
    <x v="8"/>
    <x v="24"/>
    <x v="0"/>
    <n v="35"/>
    <x v="52"/>
    <x v="0"/>
    <x v="2"/>
    <x v="3"/>
    <x v="1"/>
    <x v="0"/>
    <x v="0"/>
    <x v="0"/>
  </r>
  <r>
    <x v="53"/>
    <x v="51"/>
    <x v="6"/>
    <x v="7"/>
    <x v="0"/>
    <n v="25"/>
    <x v="53"/>
    <x v="38"/>
    <x v="4"/>
    <x v="1"/>
    <x v="1"/>
    <x v="0"/>
    <x v="0"/>
    <x v="0"/>
  </r>
  <r>
    <x v="54"/>
    <x v="52"/>
    <x v="6"/>
    <x v="7"/>
    <x v="1"/>
    <n v="28"/>
    <x v="54"/>
    <x v="16"/>
    <x v="3"/>
    <x v="1"/>
    <x v="0"/>
    <x v="0"/>
    <x v="0"/>
    <x v="0"/>
  </r>
  <r>
    <x v="55"/>
    <x v="53"/>
    <x v="5"/>
    <x v="30"/>
    <x v="0"/>
    <n v="43"/>
    <x v="55"/>
    <x v="39"/>
    <x v="1"/>
    <x v="0"/>
    <x v="1"/>
    <x v="1"/>
    <x v="6"/>
    <x v="7"/>
  </r>
  <r>
    <x v="56"/>
    <x v="54"/>
    <x v="0"/>
    <x v="27"/>
    <x v="1"/>
    <n v="37"/>
    <x v="56"/>
    <x v="40"/>
    <x v="1"/>
    <x v="1"/>
    <x v="0"/>
    <x v="0"/>
    <x v="0"/>
    <x v="0"/>
  </r>
  <r>
    <x v="57"/>
    <x v="55"/>
    <x v="1"/>
    <x v="15"/>
    <x v="0"/>
    <n v="48"/>
    <x v="57"/>
    <x v="24"/>
    <x v="2"/>
    <x v="0"/>
    <x v="1"/>
    <x v="0"/>
    <x v="0"/>
    <x v="0"/>
  </r>
  <r>
    <x v="58"/>
    <x v="56"/>
    <x v="4"/>
    <x v="4"/>
    <x v="1"/>
    <n v="40"/>
    <x v="58"/>
    <x v="18"/>
    <x v="4"/>
    <x v="0"/>
    <x v="0"/>
    <x v="0"/>
    <x v="0"/>
    <x v="0"/>
  </r>
  <r>
    <x v="59"/>
    <x v="57"/>
    <x v="3"/>
    <x v="9"/>
    <x v="0"/>
    <n v="56"/>
    <x v="59"/>
    <x v="41"/>
    <x v="4"/>
    <x v="4"/>
    <x v="1"/>
    <x v="0"/>
    <x v="0"/>
    <x v="0"/>
  </r>
  <r>
    <x v="60"/>
    <x v="58"/>
    <x v="9"/>
    <x v="31"/>
    <x v="0"/>
    <n v="46"/>
    <x v="60"/>
    <x v="42"/>
    <x v="1"/>
    <x v="3"/>
    <x v="1"/>
    <x v="0"/>
    <x v="0"/>
    <x v="0"/>
  </r>
  <r>
    <x v="61"/>
    <x v="50"/>
    <x v="7"/>
    <x v="10"/>
    <x v="0"/>
    <n v="50"/>
    <x v="61"/>
    <x v="28"/>
    <x v="0"/>
    <x v="0"/>
    <x v="1"/>
    <x v="0"/>
    <x v="0"/>
    <x v="0"/>
  </r>
  <r>
    <x v="62"/>
    <x v="59"/>
    <x v="1"/>
    <x v="12"/>
    <x v="1"/>
    <n v="26"/>
    <x v="62"/>
    <x v="38"/>
    <x v="0"/>
    <x v="1"/>
    <x v="0"/>
    <x v="0"/>
    <x v="0"/>
    <x v="0"/>
  </r>
  <r>
    <x v="63"/>
    <x v="60"/>
    <x v="3"/>
    <x v="3"/>
    <x v="1"/>
    <n v="40"/>
    <x v="63"/>
    <x v="0"/>
    <x v="4"/>
    <x v="0"/>
    <x v="0"/>
    <x v="1"/>
    <x v="1"/>
    <x v="8"/>
  </r>
  <r>
    <x v="64"/>
    <x v="61"/>
    <x v="5"/>
    <x v="32"/>
    <x v="0"/>
    <n v="25"/>
    <x v="64"/>
    <x v="32"/>
    <x v="1"/>
    <x v="1"/>
    <x v="0"/>
    <x v="0"/>
    <x v="0"/>
    <x v="0"/>
  </r>
  <r>
    <x v="65"/>
    <x v="62"/>
    <x v="7"/>
    <x v="10"/>
    <x v="0"/>
    <n v="46"/>
    <x v="65"/>
    <x v="9"/>
    <x v="3"/>
    <x v="4"/>
    <x v="1"/>
    <x v="0"/>
    <x v="0"/>
    <x v="0"/>
  </r>
  <r>
    <x v="66"/>
    <x v="63"/>
    <x v="0"/>
    <x v="27"/>
    <x v="1"/>
    <n v="32"/>
    <x v="66"/>
    <x v="43"/>
    <x v="1"/>
    <x v="2"/>
    <x v="0"/>
    <x v="0"/>
    <x v="0"/>
    <x v="0"/>
  </r>
  <r>
    <x v="67"/>
    <x v="64"/>
    <x v="7"/>
    <x v="19"/>
    <x v="0"/>
    <n v="29"/>
    <x v="67"/>
    <x v="44"/>
    <x v="4"/>
    <x v="1"/>
    <x v="1"/>
    <x v="0"/>
    <x v="0"/>
    <x v="0"/>
  </r>
  <r>
    <x v="68"/>
    <x v="65"/>
    <x v="4"/>
    <x v="4"/>
    <x v="0"/>
    <n v="53"/>
    <x v="68"/>
    <x v="2"/>
    <x v="0"/>
    <x v="4"/>
    <x v="0"/>
    <x v="0"/>
    <x v="0"/>
    <x v="0"/>
  </r>
  <r>
    <x v="69"/>
    <x v="66"/>
    <x v="8"/>
    <x v="33"/>
    <x v="0"/>
    <n v="36"/>
    <x v="69"/>
    <x v="38"/>
    <x v="1"/>
    <x v="4"/>
    <x v="1"/>
    <x v="0"/>
    <x v="0"/>
    <x v="0"/>
  </r>
  <r>
    <x v="70"/>
    <x v="67"/>
    <x v="2"/>
    <x v="14"/>
    <x v="1"/>
    <n v="39"/>
    <x v="70"/>
    <x v="36"/>
    <x v="0"/>
    <x v="4"/>
    <x v="1"/>
    <x v="0"/>
    <x v="0"/>
    <x v="0"/>
  </r>
  <r>
    <x v="71"/>
    <x v="68"/>
    <x v="1"/>
    <x v="1"/>
    <x v="1"/>
    <n v="30"/>
    <x v="71"/>
    <x v="0"/>
    <x v="4"/>
    <x v="1"/>
    <x v="0"/>
    <x v="0"/>
    <x v="0"/>
    <x v="0"/>
  </r>
  <r>
    <x v="72"/>
    <x v="69"/>
    <x v="7"/>
    <x v="19"/>
    <x v="0"/>
    <n v="47"/>
    <x v="72"/>
    <x v="45"/>
    <x v="0"/>
    <x v="1"/>
    <x v="1"/>
    <x v="0"/>
    <x v="0"/>
    <x v="0"/>
  </r>
  <r>
    <x v="73"/>
    <x v="70"/>
    <x v="5"/>
    <x v="32"/>
    <x v="0"/>
    <n v="45"/>
    <x v="73"/>
    <x v="31"/>
    <x v="0"/>
    <x v="0"/>
    <x v="1"/>
    <x v="0"/>
    <x v="0"/>
    <x v="0"/>
  </r>
  <r>
    <x v="74"/>
    <x v="71"/>
    <x v="6"/>
    <x v="34"/>
    <x v="1"/>
    <n v="43"/>
    <x v="74"/>
    <x v="34"/>
    <x v="4"/>
    <x v="3"/>
    <x v="1"/>
    <x v="0"/>
    <x v="0"/>
    <x v="0"/>
  </r>
  <r>
    <x v="75"/>
    <x v="72"/>
    <x v="1"/>
    <x v="15"/>
    <x v="0"/>
    <n v="35"/>
    <x v="75"/>
    <x v="46"/>
    <x v="4"/>
    <x v="1"/>
    <x v="0"/>
    <x v="0"/>
    <x v="0"/>
    <x v="0"/>
  </r>
  <r>
    <x v="76"/>
    <x v="73"/>
    <x v="6"/>
    <x v="7"/>
    <x v="0"/>
    <n v="31"/>
    <x v="76"/>
    <x v="44"/>
    <x v="3"/>
    <x v="3"/>
    <x v="1"/>
    <x v="0"/>
    <x v="0"/>
    <x v="0"/>
  </r>
  <r>
    <x v="77"/>
    <x v="74"/>
    <x v="5"/>
    <x v="35"/>
    <x v="1"/>
    <n v="26"/>
    <x v="77"/>
    <x v="25"/>
    <x v="0"/>
    <x v="0"/>
    <x v="0"/>
    <x v="0"/>
    <x v="0"/>
    <x v="0"/>
  </r>
  <r>
    <x v="78"/>
    <x v="75"/>
    <x v="9"/>
    <x v="28"/>
    <x v="0"/>
    <n v="45"/>
    <x v="78"/>
    <x v="47"/>
    <x v="0"/>
    <x v="0"/>
    <x v="1"/>
    <x v="0"/>
    <x v="0"/>
    <x v="0"/>
  </r>
  <r>
    <x v="79"/>
    <x v="72"/>
    <x v="3"/>
    <x v="9"/>
    <x v="0"/>
    <n v="47"/>
    <x v="79"/>
    <x v="48"/>
    <x v="2"/>
    <x v="2"/>
    <x v="1"/>
    <x v="0"/>
    <x v="0"/>
    <x v="0"/>
  </r>
  <r>
    <x v="80"/>
    <x v="76"/>
    <x v="1"/>
    <x v="1"/>
    <x v="0"/>
    <n v="35"/>
    <x v="80"/>
    <x v="24"/>
    <x v="1"/>
    <x v="1"/>
    <x v="1"/>
    <x v="1"/>
    <x v="2"/>
    <x v="9"/>
  </r>
  <r>
    <x v="81"/>
    <x v="77"/>
    <x v="7"/>
    <x v="23"/>
    <x v="1"/>
    <n v="30"/>
    <x v="81"/>
    <x v="36"/>
    <x v="0"/>
    <x v="2"/>
    <x v="1"/>
    <x v="0"/>
    <x v="0"/>
    <x v="0"/>
  </r>
  <r>
    <x v="82"/>
    <x v="78"/>
    <x v="4"/>
    <x v="36"/>
    <x v="0"/>
    <n v="37"/>
    <x v="82"/>
    <x v="49"/>
    <x v="2"/>
    <x v="4"/>
    <x v="1"/>
    <x v="0"/>
    <x v="0"/>
    <x v="0"/>
  </r>
  <r>
    <x v="83"/>
    <x v="79"/>
    <x v="0"/>
    <x v="25"/>
    <x v="0"/>
    <n v="27"/>
    <x v="83"/>
    <x v="6"/>
    <x v="3"/>
    <x v="0"/>
    <x v="1"/>
    <x v="0"/>
    <x v="0"/>
    <x v="0"/>
  </r>
  <r>
    <x v="84"/>
    <x v="80"/>
    <x v="4"/>
    <x v="37"/>
    <x v="0"/>
    <n v="33"/>
    <x v="84"/>
    <x v="7"/>
    <x v="1"/>
    <x v="0"/>
    <x v="1"/>
    <x v="0"/>
    <x v="0"/>
    <x v="0"/>
  </r>
  <r>
    <x v="85"/>
    <x v="81"/>
    <x v="0"/>
    <x v="29"/>
    <x v="1"/>
    <n v="57"/>
    <x v="85"/>
    <x v="35"/>
    <x v="0"/>
    <x v="0"/>
    <x v="1"/>
    <x v="0"/>
    <x v="0"/>
    <x v="0"/>
  </r>
  <r>
    <x v="86"/>
    <x v="82"/>
    <x v="3"/>
    <x v="3"/>
    <x v="0"/>
    <n v="21"/>
    <x v="86"/>
    <x v="2"/>
    <x v="3"/>
    <x v="0"/>
    <x v="1"/>
    <x v="0"/>
    <x v="0"/>
    <x v="0"/>
  </r>
  <r>
    <x v="87"/>
    <x v="15"/>
    <x v="3"/>
    <x v="9"/>
    <x v="1"/>
    <n v="48"/>
    <x v="87"/>
    <x v="50"/>
    <x v="2"/>
    <x v="3"/>
    <x v="0"/>
    <x v="0"/>
    <x v="0"/>
    <x v="0"/>
  </r>
  <r>
    <x v="88"/>
    <x v="83"/>
    <x v="4"/>
    <x v="37"/>
    <x v="0"/>
    <n v="48"/>
    <x v="88"/>
    <x v="15"/>
    <x v="3"/>
    <x v="4"/>
    <x v="0"/>
    <x v="1"/>
    <x v="7"/>
    <x v="10"/>
  </r>
  <r>
    <x v="89"/>
    <x v="84"/>
    <x v="0"/>
    <x v="29"/>
    <x v="0"/>
    <n v="36"/>
    <x v="89"/>
    <x v="44"/>
    <x v="3"/>
    <x v="4"/>
    <x v="0"/>
    <x v="0"/>
    <x v="0"/>
    <x v="0"/>
  </r>
  <r>
    <x v="90"/>
    <x v="85"/>
    <x v="3"/>
    <x v="3"/>
    <x v="0"/>
    <n v="41"/>
    <x v="90"/>
    <x v="51"/>
    <x v="1"/>
    <x v="0"/>
    <x v="0"/>
    <x v="0"/>
    <x v="0"/>
    <x v="0"/>
  </r>
  <r>
    <x v="91"/>
    <x v="86"/>
    <x v="2"/>
    <x v="38"/>
    <x v="0"/>
    <n v="38"/>
    <x v="91"/>
    <x v="52"/>
    <x v="1"/>
    <x v="0"/>
    <x v="0"/>
    <x v="0"/>
    <x v="0"/>
    <x v="0"/>
  </r>
  <r>
    <x v="92"/>
    <x v="87"/>
    <x v="0"/>
    <x v="25"/>
    <x v="0"/>
    <n v="52"/>
    <x v="92"/>
    <x v="52"/>
    <x v="4"/>
    <x v="2"/>
    <x v="1"/>
    <x v="0"/>
    <x v="0"/>
    <x v="0"/>
  </r>
  <r>
    <x v="93"/>
    <x v="88"/>
    <x v="8"/>
    <x v="33"/>
    <x v="1"/>
    <n v="26"/>
    <x v="93"/>
    <x v="34"/>
    <x v="2"/>
    <x v="0"/>
    <x v="0"/>
    <x v="0"/>
    <x v="0"/>
    <x v="0"/>
  </r>
  <r>
    <x v="94"/>
    <x v="89"/>
    <x v="2"/>
    <x v="8"/>
    <x v="0"/>
    <n v="51"/>
    <x v="94"/>
    <x v="52"/>
    <x v="3"/>
    <x v="3"/>
    <x v="1"/>
    <x v="0"/>
    <x v="0"/>
    <x v="0"/>
  </r>
  <r>
    <x v="95"/>
    <x v="90"/>
    <x v="1"/>
    <x v="11"/>
    <x v="0"/>
    <n v="50"/>
    <x v="95"/>
    <x v="46"/>
    <x v="0"/>
    <x v="1"/>
    <x v="0"/>
    <x v="0"/>
    <x v="0"/>
    <x v="0"/>
  </r>
  <r>
    <x v="96"/>
    <x v="91"/>
    <x v="0"/>
    <x v="25"/>
    <x v="0"/>
    <n v="28"/>
    <x v="96"/>
    <x v="5"/>
    <x v="0"/>
    <x v="4"/>
    <x v="1"/>
    <x v="0"/>
    <x v="0"/>
    <x v="0"/>
  </r>
  <r>
    <x v="97"/>
    <x v="92"/>
    <x v="7"/>
    <x v="10"/>
    <x v="0"/>
    <n v="58"/>
    <x v="97"/>
    <x v="43"/>
    <x v="0"/>
    <x v="2"/>
    <x v="1"/>
    <x v="0"/>
    <x v="0"/>
    <x v="0"/>
  </r>
  <r>
    <x v="98"/>
    <x v="93"/>
    <x v="7"/>
    <x v="26"/>
    <x v="1"/>
    <n v="44"/>
    <x v="98"/>
    <x v="51"/>
    <x v="3"/>
    <x v="3"/>
    <x v="0"/>
    <x v="0"/>
    <x v="0"/>
    <x v="0"/>
  </r>
  <r>
    <x v="99"/>
    <x v="68"/>
    <x v="9"/>
    <x v="39"/>
    <x v="1"/>
    <n v="24"/>
    <x v="99"/>
    <x v="52"/>
    <x v="1"/>
    <x v="3"/>
    <x v="0"/>
    <x v="0"/>
    <x v="0"/>
    <x v="0"/>
  </r>
  <r>
    <x v="100"/>
    <x v="94"/>
    <x v="8"/>
    <x v="22"/>
    <x v="1"/>
    <n v="57"/>
    <x v="100"/>
    <x v="38"/>
    <x v="4"/>
    <x v="0"/>
    <x v="0"/>
    <x v="1"/>
    <x v="6"/>
    <x v="11"/>
  </r>
  <r>
    <x v="101"/>
    <x v="95"/>
    <x v="3"/>
    <x v="16"/>
    <x v="1"/>
    <n v="37"/>
    <x v="101"/>
    <x v="21"/>
    <x v="0"/>
    <x v="2"/>
    <x v="0"/>
    <x v="0"/>
    <x v="0"/>
    <x v="0"/>
  </r>
  <r>
    <x v="102"/>
    <x v="96"/>
    <x v="6"/>
    <x v="34"/>
    <x v="1"/>
    <n v="57"/>
    <x v="102"/>
    <x v="10"/>
    <x v="0"/>
    <x v="2"/>
    <x v="0"/>
    <x v="0"/>
    <x v="0"/>
    <x v="0"/>
  </r>
  <r>
    <x v="103"/>
    <x v="78"/>
    <x v="2"/>
    <x v="2"/>
    <x v="1"/>
    <n v="28"/>
    <x v="103"/>
    <x v="52"/>
    <x v="3"/>
    <x v="3"/>
    <x v="0"/>
    <x v="0"/>
    <x v="0"/>
    <x v="0"/>
  </r>
  <r>
    <x v="104"/>
    <x v="97"/>
    <x v="4"/>
    <x v="36"/>
    <x v="0"/>
    <n v="49"/>
    <x v="104"/>
    <x v="28"/>
    <x v="1"/>
    <x v="0"/>
    <x v="1"/>
    <x v="0"/>
    <x v="0"/>
    <x v="0"/>
  </r>
  <r>
    <x v="105"/>
    <x v="98"/>
    <x v="6"/>
    <x v="7"/>
    <x v="1"/>
    <n v="27"/>
    <x v="105"/>
    <x v="11"/>
    <x v="1"/>
    <x v="1"/>
    <x v="1"/>
    <x v="0"/>
    <x v="0"/>
    <x v="0"/>
  </r>
  <r>
    <x v="106"/>
    <x v="99"/>
    <x v="0"/>
    <x v="25"/>
    <x v="1"/>
    <n v="32"/>
    <x v="106"/>
    <x v="42"/>
    <x v="4"/>
    <x v="2"/>
    <x v="0"/>
    <x v="0"/>
    <x v="0"/>
    <x v="0"/>
  </r>
  <r>
    <x v="107"/>
    <x v="58"/>
    <x v="6"/>
    <x v="34"/>
    <x v="0"/>
    <n v="39"/>
    <x v="107"/>
    <x v="1"/>
    <x v="3"/>
    <x v="4"/>
    <x v="0"/>
    <x v="0"/>
    <x v="0"/>
    <x v="0"/>
  </r>
  <r>
    <x v="108"/>
    <x v="100"/>
    <x v="8"/>
    <x v="22"/>
    <x v="1"/>
    <n v="37"/>
    <x v="108"/>
    <x v="15"/>
    <x v="3"/>
    <x v="0"/>
    <x v="0"/>
    <x v="1"/>
    <x v="5"/>
    <x v="12"/>
  </r>
  <r>
    <x v="109"/>
    <x v="24"/>
    <x v="6"/>
    <x v="13"/>
    <x v="1"/>
    <n v="30"/>
    <x v="109"/>
    <x v="16"/>
    <x v="1"/>
    <x v="4"/>
    <x v="1"/>
    <x v="0"/>
    <x v="0"/>
    <x v="0"/>
  </r>
  <r>
    <x v="110"/>
    <x v="101"/>
    <x v="9"/>
    <x v="39"/>
    <x v="0"/>
    <n v="49"/>
    <x v="110"/>
    <x v="53"/>
    <x v="1"/>
    <x v="1"/>
    <x v="0"/>
    <x v="0"/>
    <x v="0"/>
    <x v="0"/>
  </r>
  <r>
    <x v="111"/>
    <x v="102"/>
    <x v="6"/>
    <x v="7"/>
    <x v="0"/>
    <n v="49"/>
    <x v="111"/>
    <x v="30"/>
    <x v="1"/>
    <x v="3"/>
    <x v="1"/>
    <x v="0"/>
    <x v="0"/>
    <x v="0"/>
  </r>
  <r>
    <x v="112"/>
    <x v="103"/>
    <x v="3"/>
    <x v="40"/>
    <x v="1"/>
    <n v="26"/>
    <x v="112"/>
    <x v="0"/>
    <x v="3"/>
    <x v="1"/>
    <x v="1"/>
    <x v="0"/>
    <x v="0"/>
    <x v="0"/>
  </r>
  <r>
    <x v="113"/>
    <x v="104"/>
    <x v="4"/>
    <x v="41"/>
    <x v="0"/>
    <n v="57"/>
    <x v="113"/>
    <x v="35"/>
    <x v="4"/>
    <x v="4"/>
    <x v="1"/>
    <x v="0"/>
    <x v="0"/>
    <x v="0"/>
  </r>
  <r>
    <x v="114"/>
    <x v="105"/>
    <x v="8"/>
    <x v="24"/>
    <x v="1"/>
    <n v="58"/>
    <x v="114"/>
    <x v="25"/>
    <x v="0"/>
    <x v="3"/>
    <x v="0"/>
    <x v="1"/>
    <x v="7"/>
    <x v="13"/>
  </r>
  <r>
    <x v="115"/>
    <x v="106"/>
    <x v="0"/>
    <x v="27"/>
    <x v="0"/>
    <n v="47"/>
    <x v="115"/>
    <x v="45"/>
    <x v="0"/>
    <x v="0"/>
    <x v="0"/>
    <x v="0"/>
    <x v="0"/>
    <x v="0"/>
  </r>
  <r>
    <x v="116"/>
    <x v="107"/>
    <x v="9"/>
    <x v="39"/>
    <x v="0"/>
    <n v="52"/>
    <x v="116"/>
    <x v="54"/>
    <x v="4"/>
    <x v="3"/>
    <x v="0"/>
    <x v="1"/>
    <x v="3"/>
    <x v="14"/>
  </r>
  <r>
    <x v="117"/>
    <x v="108"/>
    <x v="5"/>
    <x v="35"/>
    <x v="1"/>
    <n v="41"/>
    <x v="117"/>
    <x v="48"/>
    <x v="1"/>
    <x v="0"/>
    <x v="0"/>
    <x v="0"/>
    <x v="0"/>
    <x v="0"/>
  </r>
  <r>
    <x v="118"/>
    <x v="109"/>
    <x v="1"/>
    <x v="1"/>
    <x v="0"/>
    <n v="47"/>
    <x v="118"/>
    <x v="10"/>
    <x v="2"/>
    <x v="4"/>
    <x v="0"/>
    <x v="0"/>
    <x v="0"/>
    <x v="0"/>
  </r>
  <r>
    <x v="119"/>
    <x v="110"/>
    <x v="4"/>
    <x v="37"/>
    <x v="0"/>
    <n v="24"/>
    <x v="119"/>
    <x v="22"/>
    <x v="1"/>
    <x v="1"/>
    <x v="0"/>
    <x v="0"/>
    <x v="0"/>
    <x v="0"/>
  </r>
  <r>
    <x v="120"/>
    <x v="111"/>
    <x v="2"/>
    <x v="14"/>
    <x v="0"/>
    <n v="28"/>
    <x v="120"/>
    <x v="1"/>
    <x v="2"/>
    <x v="4"/>
    <x v="1"/>
    <x v="0"/>
    <x v="0"/>
    <x v="0"/>
  </r>
  <r>
    <x v="121"/>
    <x v="112"/>
    <x v="9"/>
    <x v="39"/>
    <x v="1"/>
    <n v="56"/>
    <x v="121"/>
    <x v="26"/>
    <x v="1"/>
    <x v="2"/>
    <x v="0"/>
    <x v="0"/>
    <x v="0"/>
    <x v="0"/>
  </r>
  <r>
    <x v="122"/>
    <x v="113"/>
    <x v="8"/>
    <x v="22"/>
    <x v="1"/>
    <n v="52"/>
    <x v="122"/>
    <x v="54"/>
    <x v="0"/>
    <x v="2"/>
    <x v="0"/>
    <x v="1"/>
    <x v="7"/>
    <x v="15"/>
  </r>
  <r>
    <x v="123"/>
    <x v="114"/>
    <x v="6"/>
    <x v="34"/>
    <x v="0"/>
    <n v="36"/>
    <x v="123"/>
    <x v="32"/>
    <x v="2"/>
    <x v="1"/>
    <x v="0"/>
    <x v="0"/>
    <x v="0"/>
    <x v="0"/>
  </r>
  <r>
    <x v="124"/>
    <x v="115"/>
    <x v="7"/>
    <x v="42"/>
    <x v="1"/>
    <n v="25"/>
    <x v="124"/>
    <x v="38"/>
    <x v="0"/>
    <x v="2"/>
    <x v="0"/>
    <x v="1"/>
    <x v="6"/>
    <x v="16"/>
  </r>
  <r>
    <x v="125"/>
    <x v="116"/>
    <x v="2"/>
    <x v="2"/>
    <x v="0"/>
    <n v="40"/>
    <x v="125"/>
    <x v="31"/>
    <x v="0"/>
    <x v="4"/>
    <x v="1"/>
    <x v="0"/>
    <x v="0"/>
    <x v="0"/>
  </r>
  <r>
    <x v="126"/>
    <x v="117"/>
    <x v="9"/>
    <x v="43"/>
    <x v="0"/>
    <n v="43"/>
    <x v="126"/>
    <x v="45"/>
    <x v="2"/>
    <x v="0"/>
    <x v="0"/>
    <x v="1"/>
    <x v="2"/>
    <x v="17"/>
  </r>
  <r>
    <x v="127"/>
    <x v="88"/>
    <x v="6"/>
    <x v="34"/>
    <x v="0"/>
    <n v="33"/>
    <x v="127"/>
    <x v="36"/>
    <x v="3"/>
    <x v="0"/>
    <x v="1"/>
    <x v="0"/>
    <x v="0"/>
    <x v="0"/>
  </r>
  <r>
    <x v="128"/>
    <x v="118"/>
    <x v="6"/>
    <x v="13"/>
    <x v="0"/>
    <n v="51"/>
    <x v="128"/>
    <x v="29"/>
    <x v="1"/>
    <x v="0"/>
    <x v="0"/>
    <x v="0"/>
    <x v="0"/>
    <x v="0"/>
  </r>
  <r>
    <x v="129"/>
    <x v="7"/>
    <x v="8"/>
    <x v="22"/>
    <x v="1"/>
    <n v="53"/>
    <x v="129"/>
    <x v="15"/>
    <x v="1"/>
    <x v="0"/>
    <x v="1"/>
    <x v="0"/>
    <x v="0"/>
    <x v="0"/>
  </r>
  <r>
    <x v="130"/>
    <x v="119"/>
    <x v="8"/>
    <x v="22"/>
    <x v="0"/>
    <n v="21"/>
    <x v="130"/>
    <x v="12"/>
    <x v="1"/>
    <x v="0"/>
    <x v="0"/>
    <x v="1"/>
    <x v="7"/>
    <x v="18"/>
  </r>
  <r>
    <x v="131"/>
    <x v="120"/>
    <x v="0"/>
    <x v="27"/>
    <x v="0"/>
    <n v="42"/>
    <x v="131"/>
    <x v="55"/>
    <x v="0"/>
    <x v="1"/>
    <x v="1"/>
    <x v="0"/>
    <x v="0"/>
    <x v="0"/>
  </r>
  <r>
    <x v="132"/>
    <x v="121"/>
    <x v="3"/>
    <x v="9"/>
    <x v="0"/>
    <n v="52"/>
    <x v="132"/>
    <x v="5"/>
    <x v="0"/>
    <x v="0"/>
    <x v="0"/>
    <x v="0"/>
    <x v="0"/>
    <x v="0"/>
  </r>
  <r>
    <x v="133"/>
    <x v="122"/>
    <x v="7"/>
    <x v="26"/>
    <x v="1"/>
    <n v="26"/>
    <x v="133"/>
    <x v="25"/>
    <x v="1"/>
    <x v="4"/>
    <x v="1"/>
    <x v="0"/>
    <x v="0"/>
    <x v="0"/>
  </r>
  <r>
    <x v="134"/>
    <x v="123"/>
    <x v="8"/>
    <x v="20"/>
    <x v="0"/>
    <n v="22"/>
    <x v="134"/>
    <x v="40"/>
    <x v="0"/>
    <x v="0"/>
    <x v="1"/>
    <x v="0"/>
    <x v="0"/>
    <x v="0"/>
  </r>
  <r>
    <x v="135"/>
    <x v="124"/>
    <x v="2"/>
    <x v="38"/>
    <x v="0"/>
    <n v="48"/>
    <x v="135"/>
    <x v="12"/>
    <x v="4"/>
    <x v="4"/>
    <x v="1"/>
    <x v="0"/>
    <x v="0"/>
    <x v="0"/>
  </r>
  <r>
    <x v="136"/>
    <x v="125"/>
    <x v="4"/>
    <x v="36"/>
    <x v="1"/>
    <n v="32"/>
    <x v="136"/>
    <x v="7"/>
    <x v="1"/>
    <x v="1"/>
    <x v="0"/>
    <x v="0"/>
    <x v="0"/>
    <x v="0"/>
  </r>
  <r>
    <x v="137"/>
    <x v="126"/>
    <x v="4"/>
    <x v="36"/>
    <x v="0"/>
    <n v="58"/>
    <x v="137"/>
    <x v="12"/>
    <x v="4"/>
    <x v="0"/>
    <x v="1"/>
    <x v="0"/>
    <x v="0"/>
    <x v="0"/>
  </r>
  <r>
    <x v="138"/>
    <x v="127"/>
    <x v="8"/>
    <x v="24"/>
    <x v="1"/>
    <n v="50"/>
    <x v="138"/>
    <x v="54"/>
    <x v="4"/>
    <x v="2"/>
    <x v="0"/>
    <x v="0"/>
    <x v="0"/>
    <x v="0"/>
  </r>
  <r>
    <x v="139"/>
    <x v="128"/>
    <x v="0"/>
    <x v="27"/>
    <x v="0"/>
    <n v="58"/>
    <x v="139"/>
    <x v="34"/>
    <x v="1"/>
    <x v="0"/>
    <x v="0"/>
    <x v="0"/>
    <x v="0"/>
    <x v="0"/>
  </r>
  <r>
    <x v="140"/>
    <x v="129"/>
    <x v="8"/>
    <x v="24"/>
    <x v="1"/>
    <n v="45"/>
    <x v="140"/>
    <x v="19"/>
    <x v="1"/>
    <x v="0"/>
    <x v="0"/>
    <x v="0"/>
    <x v="0"/>
    <x v="0"/>
  </r>
  <r>
    <x v="141"/>
    <x v="31"/>
    <x v="4"/>
    <x v="4"/>
    <x v="0"/>
    <n v="39"/>
    <x v="141"/>
    <x v="56"/>
    <x v="1"/>
    <x v="0"/>
    <x v="1"/>
    <x v="0"/>
    <x v="0"/>
    <x v="0"/>
  </r>
  <r>
    <x v="142"/>
    <x v="130"/>
    <x v="5"/>
    <x v="18"/>
    <x v="1"/>
    <n v="52"/>
    <x v="142"/>
    <x v="54"/>
    <x v="2"/>
    <x v="4"/>
    <x v="0"/>
    <x v="0"/>
    <x v="0"/>
    <x v="0"/>
  </r>
  <r>
    <x v="143"/>
    <x v="131"/>
    <x v="7"/>
    <x v="23"/>
    <x v="0"/>
    <n v="29"/>
    <x v="143"/>
    <x v="4"/>
    <x v="3"/>
    <x v="2"/>
    <x v="1"/>
    <x v="0"/>
    <x v="0"/>
    <x v="0"/>
  </r>
  <r>
    <x v="144"/>
    <x v="132"/>
    <x v="2"/>
    <x v="14"/>
    <x v="1"/>
    <n v="58"/>
    <x v="144"/>
    <x v="57"/>
    <x v="2"/>
    <x v="1"/>
    <x v="1"/>
    <x v="0"/>
    <x v="0"/>
    <x v="0"/>
  </r>
  <r>
    <x v="145"/>
    <x v="133"/>
    <x v="2"/>
    <x v="38"/>
    <x v="0"/>
    <n v="32"/>
    <x v="145"/>
    <x v="22"/>
    <x v="4"/>
    <x v="1"/>
    <x v="1"/>
    <x v="0"/>
    <x v="0"/>
    <x v="0"/>
  </r>
  <r>
    <x v="146"/>
    <x v="134"/>
    <x v="3"/>
    <x v="40"/>
    <x v="1"/>
    <n v="37"/>
    <x v="146"/>
    <x v="19"/>
    <x v="0"/>
    <x v="2"/>
    <x v="0"/>
    <x v="0"/>
    <x v="0"/>
    <x v="0"/>
  </r>
  <r>
    <x v="147"/>
    <x v="135"/>
    <x v="0"/>
    <x v="27"/>
    <x v="1"/>
    <n v="30"/>
    <x v="147"/>
    <x v="0"/>
    <x v="3"/>
    <x v="0"/>
    <x v="0"/>
    <x v="0"/>
    <x v="0"/>
    <x v="0"/>
  </r>
  <r>
    <x v="148"/>
    <x v="136"/>
    <x v="1"/>
    <x v="11"/>
    <x v="1"/>
    <n v="46"/>
    <x v="148"/>
    <x v="58"/>
    <x v="2"/>
    <x v="4"/>
    <x v="1"/>
    <x v="0"/>
    <x v="0"/>
    <x v="0"/>
  </r>
  <r>
    <x v="149"/>
    <x v="137"/>
    <x v="8"/>
    <x v="24"/>
    <x v="0"/>
    <n v="58"/>
    <x v="149"/>
    <x v="29"/>
    <x v="4"/>
    <x v="1"/>
    <x v="0"/>
    <x v="0"/>
    <x v="0"/>
    <x v="0"/>
  </r>
  <r>
    <x v="150"/>
    <x v="138"/>
    <x v="7"/>
    <x v="10"/>
    <x v="1"/>
    <n v="56"/>
    <x v="150"/>
    <x v="47"/>
    <x v="1"/>
    <x v="1"/>
    <x v="0"/>
    <x v="0"/>
    <x v="0"/>
    <x v="0"/>
  </r>
  <r>
    <x v="151"/>
    <x v="139"/>
    <x v="8"/>
    <x v="24"/>
    <x v="0"/>
    <n v="28"/>
    <x v="151"/>
    <x v="59"/>
    <x v="3"/>
    <x v="3"/>
    <x v="1"/>
    <x v="0"/>
    <x v="0"/>
    <x v="0"/>
  </r>
  <r>
    <x v="152"/>
    <x v="140"/>
    <x v="8"/>
    <x v="22"/>
    <x v="1"/>
    <n v="36"/>
    <x v="152"/>
    <x v="5"/>
    <x v="4"/>
    <x v="0"/>
    <x v="1"/>
    <x v="0"/>
    <x v="0"/>
    <x v="0"/>
  </r>
  <r>
    <x v="153"/>
    <x v="141"/>
    <x v="3"/>
    <x v="9"/>
    <x v="1"/>
    <n v="47"/>
    <x v="153"/>
    <x v="60"/>
    <x v="2"/>
    <x v="4"/>
    <x v="1"/>
    <x v="0"/>
    <x v="0"/>
    <x v="0"/>
  </r>
  <r>
    <x v="154"/>
    <x v="142"/>
    <x v="2"/>
    <x v="2"/>
    <x v="0"/>
    <n v="34"/>
    <x v="154"/>
    <x v="28"/>
    <x v="1"/>
    <x v="3"/>
    <x v="0"/>
    <x v="0"/>
    <x v="0"/>
    <x v="0"/>
  </r>
  <r>
    <x v="155"/>
    <x v="143"/>
    <x v="0"/>
    <x v="29"/>
    <x v="0"/>
    <n v="24"/>
    <x v="155"/>
    <x v="13"/>
    <x v="2"/>
    <x v="0"/>
    <x v="1"/>
    <x v="0"/>
    <x v="0"/>
    <x v="0"/>
  </r>
  <r>
    <x v="156"/>
    <x v="13"/>
    <x v="8"/>
    <x v="22"/>
    <x v="1"/>
    <n v="22"/>
    <x v="156"/>
    <x v="40"/>
    <x v="1"/>
    <x v="4"/>
    <x v="0"/>
    <x v="0"/>
    <x v="0"/>
    <x v="0"/>
  </r>
  <r>
    <x v="157"/>
    <x v="1"/>
    <x v="4"/>
    <x v="36"/>
    <x v="1"/>
    <n v="56"/>
    <x v="157"/>
    <x v="11"/>
    <x v="0"/>
    <x v="4"/>
    <x v="1"/>
    <x v="0"/>
    <x v="0"/>
    <x v="0"/>
  </r>
  <r>
    <x v="158"/>
    <x v="144"/>
    <x v="3"/>
    <x v="16"/>
    <x v="1"/>
    <n v="38"/>
    <x v="158"/>
    <x v="12"/>
    <x v="4"/>
    <x v="1"/>
    <x v="1"/>
    <x v="0"/>
    <x v="0"/>
    <x v="0"/>
  </r>
  <r>
    <x v="159"/>
    <x v="145"/>
    <x v="9"/>
    <x v="28"/>
    <x v="1"/>
    <n v="29"/>
    <x v="159"/>
    <x v="58"/>
    <x v="1"/>
    <x v="4"/>
    <x v="0"/>
    <x v="0"/>
    <x v="0"/>
    <x v="0"/>
  </r>
  <r>
    <x v="160"/>
    <x v="46"/>
    <x v="4"/>
    <x v="4"/>
    <x v="1"/>
    <n v="32"/>
    <x v="160"/>
    <x v="16"/>
    <x v="2"/>
    <x v="0"/>
    <x v="1"/>
    <x v="0"/>
    <x v="0"/>
    <x v="0"/>
  </r>
  <r>
    <x v="161"/>
    <x v="146"/>
    <x v="1"/>
    <x v="1"/>
    <x v="1"/>
    <n v="51"/>
    <x v="161"/>
    <x v="27"/>
    <x v="3"/>
    <x v="2"/>
    <x v="1"/>
    <x v="0"/>
    <x v="0"/>
    <x v="0"/>
  </r>
  <r>
    <x v="162"/>
    <x v="147"/>
    <x v="0"/>
    <x v="27"/>
    <x v="1"/>
    <n v="23"/>
    <x v="162"/>
    <x v="43"/>
    <x v="2"/>
    <x v="1"/>
    <x v="0"/>
    <x v="0"/>
    <x v="0"/>
    <x v="0"/>
  </r>
  <r>
    <x v="163"/>
    <x v="148"/>
    <x v="5"/>
    <x v="35"/>
    <x v="0"/>
    <n v="48"/>
    <x v="163"/>
    <x v="14"/>
    <x v="1"/>
    <x v="4"/>
    <x v="1"/>
    <x v="0"/>
    <x v="0"/>
    <x v="0"/>
  </r>
  <r>
    <x v="164"/>
    <x v="149"/>
    <x v="0"/>
    <x v="0"/>
    <x v="0"/>
    <n v="30"/>
    <x v="164"/>
    <x v="24"/>
    <x v="2"/>
    <x v="3"/>
    <x v="1"/>
    <x v="0"/>
    <x v="0"/>
    <x v="0"/>
  </r>
  <r>
    <x v="165"/>
    <x v="150"/>
    <x v="4"/>
    <x v="4"/>
    <x v="0"/>
    <n v="54"/>
    <x v="165"/>
    <x v="34"/>
    <x v="1"/>
    <x v="3"/>
    <x v="1"/>
    <x v="0"/>
    <x v="0"/>
    <x v="0"/>
  </r>
  <r>
    <x v="166"/>
    <x v="151"/>
    <x v="6"/>
    <x v="13"/>
    <x v="1"/>
    <n v="56"/>
    <x v="166"/>
    <x v="23"/>
    <x v="1"/>
    <x v="0"/>
    <x v="1"/>
    <x v="0"/>
    <x v="0"/>
    <x v="0"/>
  </r>
  <r>
    <x v="167"/>
    <x v="152"/>
    <x v="6"/>
    <x v="7"/>
    <x v="0"/>
    <n v="46"/>
    <x v="167"/>
    <x v="37"/>
    <x v="2"/>
    <x v="0"/>
    <x v="1"/>
    <x v="0"/>
    <x v="0"/>
    <x v="0"/>
  </r>
  <r>
    <x v="168"/>
    <x v="153"/>
    <x v="6"/>
    <x v="7"/>
    <x v="0"/>
    <n v="44"/>
    <x v="168"/>
    <x v="33"/>
    <x v="1"/>
    <x v="3"/>
    <x v="0"/>
    <x v="0"/>
    <x v="0"/>
    <x v="0"/>
  </r>
  <r>
    <x v="169"/>
    <x v="154"/>
    <x v="0"/>
    <x v="0"/>
    <x v="1"/>
    <n v="26"/>
    <x v="169"/>
    <x v="25"/>
    <x v="1"/>
    <x v="4"/>
    <x v="0"/>
    <x v="0"/>
    <x v="0"/>
    <x v="0"/>
  </r>
  <r>
    <x v="170"/>
    <x v="16"/>
    <x v="9"/>
    <x v="31"/>
    <x v="1"/>
    <n v="58"/>
    <x v="170"/>
    <x v="20"/>
    <x v="3"/>
    <x v="4"/>
    <x v="0"/>
    <x v="0"/>
    <x v="0"/>
    <x v="0"/>
  </r>
  <r>
    <x v="171"/>
    <x v="155"/>
    <x v="6"/>
    <x v="7"/>
    <x v="0"/>
    <n v="24"/>
    <x v="171"/>
    <x v="54"/>
    <x v="3"/>
    <x v="2"/>
    <x v="0"/>
    <x v="0"/>
    <x v="0"/>
    <x v="0"/>
  </r>
  <r>
    <x v="172"/>
    <x v="7"/>
    <x v="0"/>
    <x v="5"/>
    <x v="1"/>
    <n v="30"/>
    <x v="172"/>
    <x v="19"/>
    <x v="1"/>
    <x v="1"/>
    <x v="0"/>
    <x v="0"/>
    <x v="0"/>
    <x v="0"/>
  </r>
  <r>
    <x v="173"/>
    <x v="156"/>
    <x v="3"/>
    <x v="40"/>
    <x v="1"/>
    <n v="38"/>
    <x v="173"/>
    <x v="6"/>
    <x v="0"/>
    <x v="2"/>
    <x v="0"/>
    <x v="0"/>
    <x v="0"/>
    <x v="0"/>
  </r>
  <r>
    <x v="174"/>
    <x v="101"/>
    <x v="1"/>
    <x v="1"/>
    <x v="0"/>
    <n v="22"/>
    <x v="174"/>
    <x v="51"/>
    <x v="0"/>
    <x v="1"/>
    <x v="0"/>
    <x v="0"/>
    <x v="0"/>
    <x v="0"/>
  </r>
  <r>
    <x v="175"/>
    <x v="157"/>
    <x v="3"/>
    <x v="40"/>
    <x v="1"/>
    <n v="32"/>
    <x v="175"/>
    <x v="12"/>
    <x v="3"/>
    <x v="4"/>
    <x v="0"/>
    <x v="1"/>
    <x v="5"/>
    <x v="19"/>
  </r>
  <r>
    <x v="176"/>
    <x v="158"/>
    <x v="0"/>
    <x v="25"/>
    <x v="1"/>
    <n v="26"/>
    <x v="176"/>
    <x v="61"/>
    <x v="3"/>
    <x v="4"/>
    <x v="1"/>
    <x v="0"/>
    <x v="0"/>
    <x v="0"/>
  </r>
  <r>
    <x v="177"/>
    <x v="159"/>
    <x v="8"/>
    <x v="24"/>
    <x v="1"/>
    <n v="44"/>
    <x v="177"/>
    <x v="62"/>
    <x v="4"/>
    <x v="0"/>
    <x v="0"/>
    <x v="0"/>
    <x v="0"/>
    <x v="0"/>
  </r>
  <r>
    <x v="178"/>
    <x v="160"/>
    <x v="4"/>
    <x v="41"/>
    <x v="1"/>
    <n v="30"/>
    <x v="178"/>
    <x v="33"/>
    <x v="1"/>
    <x v="4"/>
    <x v="0"/>
    <x v="0"/>
    <x v="0"/>
    <x v="0"/>
  </r>
  <r>
    <x v="179"/>
    <x v="128"/>
    <x v="2"/>
    <x v="14"/>
    <x v="0"/>
    <n v="52"/>
    <x v="179"/>
    <x v="63"/>
    <x v="4"/>
    <x v="3"/>
    <x v="1"/>
    <x v="0"/>
    <x v="0"/>
    <x v="0"/>
  </r>
  <r>
    <x v="180"/>
    <x v="161"/>
    <x v="7"/>
    <x v="42"/>
    <x v="1"/>
    <n v="43"/>
    <x v="180"/>
    <x v="25"/>
    <x v="1"/>
    <x v="4"/>
    <x v="0"/>
    <x v="0"/>
    <x v="0"/>
    <x v="0"/>
  </r>
  <r>
    <x v="181"/>
    <x v="76"/>
    <x v="8"/>
    <x v="24"/>
    <x v="1"/>
    <n v="35"/>
    <x v="181"/>
    <x v="13"/>
    <x v="2"/>
    <x v="3"/>
    <x v="0"/>
    <x v="0"/>
    <x v="0"/>
    <x v="0"/>
  </r>
  <r>
    <x v="182"/>
    <x v="16"/>
    <x v="7"/>
    <x v="26"/>
    <x v="1"/>
    <n v="29"/>
    <x v="182"/>
    <x v="48"/>
    <x v="2"/>
    <x v="0"/>
    <x v="0"/>
    <x v="0"/>
    <x v="0"/>
    <x v="0"/>
  </r>
  <r>
    <x v="183"/>
    <x v="162"/>
    <x v="5"/>
    <x v="35"/>
    <x v="0"/>
    <n v="32"/>
    <x v="183"/>
    <x v="41"/>
    <x v="2"/>
    <x v="3"/>
    <x v="0"/>
    <x v="1"/>
    <x v="2"/>
    <x v="20"/>
  </r>
  <r>
    <x v="184"/>
    <x v="163"/>
    <x v="1"/>
    <x v="11"/>
    <x v="1"/>
    <n v="46"/>
    <x v="184"/>
    <x v="35"/>
    <x v="3"/>
    <x v="1"/>
    <x v="1"/>
    <x v="0"/>
    <x v="0"/>
    <x v="0"/>
  </r>
  <r>
    <x v="185"/>
    <x v="164"/>
    <x v="0"/>
    <x v="29"/>
    <x v="0"/>
    <n v="57"/>
    <x v="185"/>
    <x v="26"/>
    <x v="1"/>
    <x v="3"/>
    <x v="0"/>
    <x v="1"/>
    <x v="4"/>
    <x v="21"/>
  </r>
  <r>
    <x v="186"/>
    <x v="165"/>
    <x v="2"/>
    <x v="2"/>
    <x v="0"/>
    <n v="22"/>
    <x v="186"/>
    <x v="47"/>
    <x v="2"/>
    <x v="3"/>
    <x v="0"/>
    <x v="0"/>
    <x v="0"/>
    <x v="0"/>
  </r>
  <r>
    <x v="187"/>
    <x v="166"/>
    <x v="8"/>
    <x v="24"/>
    <x v="1"/>
    <n v="48"/>
    <x v="187"/>
    <x v="60"/>
    <x v="1"/>
    <x v="0"/>
    <x v="1"/>
    <x v="0"/>
    <x v="0"/>
    <x v="0"/>
  </r>
  <r>
    <x v="188"/>
    <x v="167"/>
    <x v="6"/>
    <x v="13"/>
    <x v="0"/>
    <n v="40"/>
    <x v="188"/>
    <x v="3"/>
    <x v="3"/>
    <x v="1"/>
    <x v="1"/>
    <x v="0"/>
    <x v="0"/>
    <x v="0"/>
  </r>
  <r>
    <x v="189"/>
    <x v="168"/>
    <x v="0"/>
    <x v="5"/>
    <x v="1"/>
    <n v="54"/>
    <x v="189"/>
    <x v="64"/>
    <x v="1"/>
    <x v="1"/>
    <x v="0"/>
    <x v="0"/>
    <x v="0"/>
    <x v="0"/>
  </r>
  <r>
    <x v="190"/>
    <x v="169"/>
    <x v="3"/>
    <x v="16"/>
    <x v="1"/>
    <n v="27"/>
    <x v="190"/>
    <x v="12"/>
    <x v="1"/>
    <x v="1"/>
    <x v="0"/>
    <x v="0"/>
    <x v="0"/>
    <x v="0"/>
  </r>
  <r>
    <x v="191"/>
    <x v="170"/>
    <x v="4"/>
    <x v="36"/>
    <x v="1"/>
    <n v="32"/>
    <x v="191"/>
    <x v="65"/>
    <x v="4"/>
    <x v="2"/>
    <x v="0"/>
    <x v="0"/>
    <x v="0"/>
    <x v="0"/>
  </r>
  <r>
    <x v="192"/>
    <x v="20"/>
    <x v="4"/>
    <x v="37"/>
    <x v="0"/>
    <n v="41"/>
    <x v="192"/>
    <x v="12"/>
    <x v="0"/>
    <x v="1"/>
    <x v="1"/>
    <x v="0"/>
    <x v="0"/>
    <x v="0"/>
  </r>
  <r>
    <x v="193"/>
    <x v="171"/>
    <x v="8"/>
    <x v="24"/>
    <x v="0"/>
    <n v="58"/>
    <x v="193"/>
    <x v="10"/>
    <x v="4"/>
    <x v="2"/>
    <x v="0"/>
    <x v="0"/>
    <x v="0"/>
    <x v="0"/>
  </r>
  <r>
    <x v="194"/>
    <x v="172"/>
    <x v="2"/>
    <x v="14"/>
    <x v="0"/>
    <n v="23"/>
    <x v="194"/>
    <x v="10"/>
    <x v="3"/>
    <x v="3"/>
    <x v="1"/>
    <x v="0"/>
    <x v="0"/>
    <x v="0"/>
  </r>
  <r>
    <x v="195"/>
    <x v="123"/>
    <x v="0"/>
    <x v="0"/>
    <x v="0"/>
    <n v="50"/>
    <x v="195"/>
    <x v="31"/>
    <x v="1"/>
    <x v="2"/>
    <x v="1"/>
    <x v="0"/>
    <x v="0"/>
    <x v="0"/>
  </r>
  <r>
    <x v="196"/>
    <x v="173"/>
    <x v="8"/>
    <x v="20"/>
    <x v="0"/>
    <n v="51"/>
    <x v="196"/>
    <x v="18"/>
    <x v="3"/>
    <x v="1"/>
    <x v="1"/>
    <x v="0"/>
    <x v="0"/>
    <x v="0"/>
  </r>
  <r>
    <x v="197"/>
    <x v="174"/>
    <x v="0"/>
    <x v="29"/>
    <x v="1"/>
    <n v="53"/>
    <x v="197"/>
    <x v="50"/>
    <x v="3"/>
    <x v="0"/>
    <x v="1"/>
    <x v="0"/>
    <x v="0"/>
    <x v="0"/>
  </r>
  <r>
    <x v="198"/>
    <x v="175"/>
    <x v="8"/>
    <x v="20"/>
    <x v="0"/>
    <n v="44"/>
    <x v="198"/>
    <x v="38"/>
    <x v="2"/>
    <x v="0"/>
    <x v="0"/>
    <x v="0"/>
    <x v="0"/>
    <x v="0"/>
  </r>
  <r>
    <x v="199"/>
    <x v="176"/>
    <x v="4"/>
    <x v="41"/>
    <x v="0"/>
    <n v="25"/>
    <x v="199"/>
    <x v="45"/>
    <x v="3"/>
    <x v="4"/>
    <x v="1"/>
    <x v="0"/>
    <x v="0"/>
    <x v="0"/>
  </r>
  <r>
    <x v="200"/>
    <x v="118"/>
    <x v="2"/>
    <x v="38"/>
    <x v="1"/>
    <n v="42"/>
    <x v="200"/>
    <x v="30"/>
    <x v="0"/>
    <x v="3"/>
    <x v="1"/>
    <x v="0"/>
    <x v="0"/>
    <x v="0"/>
  </r>
  <r>
    <x v="201"/>
    <x v="177"/>
    <x v="3"/>
    <x v="40"/>
    <x v="0"/>
    <n v="29"/>
    <x v="201"/>
    <x v="15"/>
    <x v="0"/>
    <x v="0"/>
    <x v="0"/>
    <x v="0"/>
    <x v="0"/>
    <x v="0"/>
  </r>
  <r>
    <x v="202"/>
    <x v="164"/>
    <x v="1"/>
    <x v="12"/>
    <x v="0"/>
    <n v="29"/>
    <x v="202"/>
    <x v="61"/>
    <x v="3"/>
    <x v="0"/>
    <x v="0"/>
    <x v="0"/>
    <x v="0"/>
    <x v="0"/>
  </r>
  <r>
    <x v="203"/>
    <x v="178"/>
    <x v="1"/>
    <x v="11"/>
    <x v="1"/>
    <n v="44"/>
    <x v="203"/>
    <x v="62"/>
    <x v="3"/>
    <x v="1"/>
    <x v="0"/>
    <x v="0"/>
    <x v="0"/>
    <x v="0"/>
  </r>
  <r>
    <x v="204"/>
    <x v="92"/>
    <x v="8"/>
    <x v="20"/>
    <x v="1"/>
    <n v="29"/>
    <x v="204"/>
    <x v="33"/>
    <x v="3"/>
    <x v="1"/>
    <x v="1"/>
    <x v="0"/>
    <x v="0"/>
    <x v="0"/>
  </r>
  <r>
    <x v="205"/>
    <x v="179"/>
    <x v="1"/>
    <x v="1"/>
    <x v="0"/>
    <n v="29"/>
    <x v="205"/>
    <x v="66"/>
    <x v="3"/>
    <x v="3"/>
    <x v="1"/>
    <x v="0"/>
    <x v="0"/>
    <x v="0"/>
  </r>
  <r>
    <x v="206"/>
    <x v="180"/>
    <x v="9"/>
    <x v="31"/>
    <x v="1"/>
    <n v="49"/>
    <x v="206"/>
    <x v="35"/>
    <x v="1"/>
    <x v="1"/>
    <x v="1"/>
    <x v="0"/>
    <x v="0"/>
    <x v="0"/>
  </r>
  <r>
    <x v="207"/>
    <x v="181"/>
    <x v="8"/>
    <x v="24"/>
    <x v="0"/>
    <n v="35"/>
    <x v="207"/>
    <x v="61"/>
    <x v="0"/>
    <x v="4"/>
    <x v="0"/>
    <x v="0"/>
    <x v="0"/>
    <x v="0"/>
  </r>
  <r>
    <x v="208"/>
    <x v="182"/>
    <x v="7"/>
    <x v="26"/>
    <x v="0"/>
    <n v="50"/>
    <x v="208"/>
    <x v="38"/>
    <x v="2"/>
    <x v="2"/>
    <x v="0"/>
    <x v="0"/>
    <x v="0"/>
    <x v="0"/>
  </r>
  <r>
    <x v="209"/>
    <x v="183"/>
    <x v="6"/>
    <x v="21"/>
    <x v="1"/>
    <n v="29"/>
    <x v="209"/>
    <x v="48"/>
    <x v="3"/>
    <x v="0"/>
    <x v="0"/>
    <x v="0"/>
    <x v="0"/>
    <x v="0"/>
  </r>
  <r>
    <x v="210"/>
    <x v="184"/>
    <x v="3"/>
    <x v="3"/>
    <x v="1"/>
    <n v="39"/>
    <x v="210"/>
    <x v="30"/>
    <x v="1"/>
    <x v="2"/>
    <x v="0"/>
    <x v="0"/>
    <x v="0"/>
    <x v="0"/>
  </r>
  <r>
    <x v="211"/>
    <x v="168"/>
    <x v="1"/>
    <x v="15"/>
    <x v="0"/>
    <n v="26"/>
    <x v="211"/>
    <x v="23"/>
    <x v="2"/>
    <x v="0"/>
    <x v="0"/>
    <x v="0"/>
    <x v="0"/>
    <x v="0"/>
  </r>
  <r>
    <x v="212"/>
    <x v="129"/>
    <x v="5"/>
    <x v="35"/>
    <x v="1"/>
    <n v="46"/>
    <x v="212"/>
    <x v="18"/>
    <x v="4"/>
    <x v="1"/>
    <x v="0"/>
    <x v="0"/>
    <x v="0"/>
    <x v="0"/>
  </r>
  <r>
    <x v="213"/>
    <x v="185"/>
    <x v="0"/>
    <x v="29"/>
    <x v="1"/>
    <n v="22"/>
    <x v="213"/>
    <x v="39"/>
    <x v="0"/>
    <x v="1"/>
    <x v="1"/>
    <x v="0"/>
    <x v="0"/>
    <x v="0"/>
  </r>
  <r>
    <x v="214"/>
    <x v="186"/>
    <x v="9"/>
    <x v="44"/>
    <x v="1"/>
    <n v="39"/>
    <x v="214"/>
    <x v="21"/>
    <x v="3"/>
    <x v="4"/>
    <x v="0"/>
    <x v="0"/>
    <x v="0"/>
    <x v="0"/>
  </r>
  <r>
    <x v="215"/>
    <x v="18"/>
    <x v="8"/>
    <x v="33"/>
    <x v="1"/>
    <n v="26"/>
    <x v="215"/>
    <x v="56"/>
    <x v="1"/>
    <x v="3"/>
    <x v="1"/>
    <x v="0"/>
    <x v="0"/>
    <x v="0"/>
  </r>
  <r>
    <x v="216"/>
    <x v="29"/>
    <x v="1"/>
    <x v="12"/>
    <x v="1"/>
    <n v="39"/>
    <x v="216"/>
    <x v="36"/>
    <x v="0"/>
    <x v="0"/>
    <x v="1"/>
    <x v="0"/>
    <x v="0"/>
    <x v="0"/>
  </r>
  <r>
    <x v="217"/>
    <x v="73"/>
    <x v="7"/>
    <x v="10"/>
    <x v="0"/>
    <n v="25"/>
    <x v="217"/>
    <x v="14"/>
    <x v="3"/>
    <x v="0"/>
    <x v="1"/>
    <x v="0"/>
    <x v="0"/>
    <x v="0"/>
  </r>
  <r>
    <x v="218"/>
    <x v="187"/>
    <x v="5"/>
    <x v="6"/>
    <x v="1"/>
    <n v="30"/>
    <x v="218"/>
    <x v="54"/>
    <x v="4"/>
    <x v="4"/>
    <x v="1"/>
    <x v="0"/>
    <x v="0"/>
    <x v="0"/>
  </r>
  <r>
    <x v="219"/>
    <x v="188"/>
    <x v="3"/>
    <x v="16"/>
    <x v="0"/>
    <n v="32"/>
    <x v="219"/>
    <x v="30"/>
    <x v="1"/>
    <x v="2"/>
    <x v="1"/>
    <x v="0"/>
    <x v="0"/>
    <x v="0"/>
  </r>
  <r>
    <x v="220"/>
    <x v="189"/>
    <x v="1"/>
    <x v="1"/>
    <x v="0"/>
    <n v="51"/>
    <x v="220"/>
    <x v="35"/>
    <x v="3"/>
    <x v="2"/>
    <x v="0"/>
    <x v="0"/>
    <x v="0"/>
    <x v="0"/>
  </r>
  <r>
    <x v="221"/>
    <x v="0"/>
    <x v="2"/>
    <x v="2"/>
    <x v="0"/>
    <n v="25"/>
    <x v="221"/>
    <x v="3"/>
    <x v="1"/>
    <x v="2"/>
    <x v="1"/>
    <x v="0"/>
    <x v="0"/>
    <x v="0"/>
  </r>
  <r>
    <x v="222"/>
    <x v="167"/>
    <x v="4"/>
    <x v="4"/>
    <x v="1"/>
    <n v="23"/>
    <x v="222"/>
    <x v="67"/>
    <x v="3"/>
    <x v="3"/>
    <x v="1"/>
    <x v="0"/>
    <x v="0"/>
    <x v="0"/>
  </r>
  <r>
    <x v="223"/>
    <x v="190"/>
    <x v="8"/>
    <x v="33"/>
    <x v="1"/>
    <n v="29"/>
    <x v="223"/>
    <x v="24"/>
    <x v="3"/>
    <x v="0"/>
    <x v="1"/>
    <x v="0"/>
    <x v="0"/>
    <x v="0"/>
  </r>
  <r>
    <x v="224"/>
    <x v="191"/>
    <x v="5"/>
    <x v="45"/>
    <x v="1"/>
    <n v="23"/>
    <x v="224"/>
    <x v="22"/>
    <x v="3"/>
    <x v="1"/>
    <x v="1"/>
    <x v="0"/>
    <x v="0"/>
    <x v="0"/>
  </r>
  <r>
    <x v="225"/>
    <x v="32"/>
    <x v="1"/>
    <x v="12"/>
    <x v="0"/>
    <n v="37"/>
    <x v="225"/>
    <x v="35"/>
    <x v="2"/>
    <x v="2"/>
    <x v="1"/>
    <x v="0"/>
    <x v="0"/>
    <x v="0"/>
  </r>
  <r>
    <x v="226"/>
    <x v="57"/>
    <x v="3"/>
    <x v="3"/>
    <x v="0"/>
    <n v="38"/>
    <x v="226"/>
    <x v="53"/>
    <x v="1"/>
    <x v="1"/>
    <x v="0"/>
    <x v="0"/>
    <x v="0"/>
    <x v="0"/>
  </r>
  <r>
    <x v="227"/>
    <x v="192"/>
    <x v="8"/>
    <x v="33"/>
    <x v="0"/>
    <n v="32"/>
    <x v="227"/>
    <x v="65"/>
    <x v="1"/>
    <x v="0"/>
    <x v="0"/>
    <x v="0"/>
    <x v="0"/>
    <x v="0"/>
  </r>
  <r>
    <x v="228"/>
    <x v="193"/>
    <x v="1"/>
    <x v="11"/>
    <x v="1"/>
    <n v="48"/>
    <x v="228"/>
    <x v="7"/>
    <x v="2"/>
    <x v="4"/>
    <x v="0"/>
    <x v="0"/>
    <x v="0"/>
    <x v="0"/>
  </r>
  <r>
    <x v="229"/>
    <x v="194"/>
    <x v="1"/>
    <x v="11"/>
    <x v="0"/>
    <n v="27"/>
    <x v="229"/>
    <x v="7"/>
    <x v="4"/>
    <x v="4"/>
    <x v="0"/>
    <x v="0"/>
    <x v="0"/>
    <x v="0"/>
  </r>
  <r>
    <x v="230"/>
    <x v="195"/>
    <x v="2"/>
    <x v="14"/>
    <x v="0"/>
    <n v="31"/>
    <x v="230"/>
    <x v="28"/>
    <x v="4"/>
    <x v="0"/>
    <x v="0"/>
    <x v="0"/>
    <x v="0"/>
    <x v="0"/>
  </r>
  <r>
    <x v="231"/>
    <x v="196"/>
    <x v="3"/>
    <x v="9"/>
    <x v="0"/>
    <n v="24"/>
    <x v="231"/>
    <x v="7"/>
    <x v="1"/>
    <x v="4"/>
    <x v="0"/>
    <x v="0"/>
    <x v="0"/>
    <x v="0"/>
  </r>
  <r>
    <x v="232"/>
    <x v="197"/>
    <x v="3"/>
    <x v="16"/>
    <x v="1"/>
    <n v="30"/>
    <x v="232"/>
    <x v="63"/>
    <x v="4"/>
    <x v="4"/>
    <x v="1"/>
    <x v="0"/>
    <x v="0"/>
    <x v="0"/>
  </r>
  <r>
    <x v="233"/>
    <x v="198"/>
    <x v="5"/>
    <x v="32"/>
    <x v="1"/>
    <n v="36"/>
    <x v="233"/>
    <x v="49"/>
    <x v="0"/>
    <x v="4"/>
    <x v="0"/>
    <x v="0"/>
    <x v="0"/>
    <x v="0"/>
  </r>
  <r>
    <x v="234"/>
    <x v="199"/>
    <x v="5"/>
    <x v="18"/>
    <x v="1"/>
    <n v="49"/>
    <x v="234"/>
    <x v="49"/>
    <x v="0"/>
    <x v="1"/>
    <x v="1"/>
    <x v="0"/>
    <x v="0"/>
    <x v="0"/>
  </r>
  <r>
    <x v="235"/>
    <x v="90"/>
    <x v="4"/>
    <x v="36"/>
    <x v="0"/>
    <n v="46"/>
    <x v="235"/>
    <x v="39"/>
    <x v="3"/>
    <x v="4"/>
    <x v="1"/>
    <x v="0"/>
    <x v="0"/>
    <x v="0"/>
  </r>
  <r>
    <x v="236"/>
    <x v="200"/>
    <x v="0"/>
    <x v="0"/>
    <x v="1"/>
    <n v="52"/>
    <x v="236"/>
    <x v="43"/>
    <x v="4"/>
    <x v="3"/>
    <x v="0"/>
    <x v="1"/>
    <x v="3"/>
    <x v="22"/>
  </r>
  <r>
    <x v="237"/>
    <x v="181"/>
    <x v="0"/>
    <x v="29"/>
    <x v="0"/>
    <n v="49"/>
    <x v="237"/>
    <x v="23"/>
    <x v="2"/>
    <x v="3"/>
    <x v="0"/>
    <x v="0"/>
    <x v="0"/>
    <x v="0"/>
  </r>
  <r>
    <x v="238"/>
    <x v="201"/>
    <x v="7"/>
    <x v="19"/>
    <x v="1"/>
    <n v="25"/>
    <x v="238"/>
    <x v="27"/>
    <x v="0"/>
    <x v="1"/>
    <x v="0"/>
    <x v="1"/>
    <x v="1"/>
    <x v="23"/>
  </r>
  <r>
    <x v="239"/>
    <x v="58"/>
    <x v="0"/>
    <x v="29"/>
    <x v="0"/>
    <n v="25"/>
    <x v="239"/>
    <x v="42"/>
    <x v="3"/>
    <x v="1"/>
    <x v="1"/>
    <x v="0"/>
    <x v="0"/>
    <x v="0"/>
  </r>
  <r>
    <x v="240"/>
    <x v="18"/>
    <x v="9"/>
    <x v="44"/>
    <x v="0"/>
    <n v="53"/>
    <x v="240"/>
    <x v="0"/>
    <x v="3"/>
    <x v="1"/>
    <x v="1"/>
    <x v="0"/>
    <x v="0"/>
    <x v="0"/>
  </r>
  <r>
    <x v="241"/>
    <x v="202"/>
    <x v="7"/>
    <x v="10"/>
    <x v="1"/>
    <n v="44"/>
    <x v="241"/>
    <x v="52"/>
    <x v="2"/>
    <x v="1"/>
    <x v="1"/>
    <x v="0"/>
    <x v="0"/>
    <x v="0"/>
  </r>
  <r>
    <x v="242"/>
    <x v="87"/>
    <x v="1"/>
    <x v="15"/>
    <x v="1"/>
    <n v="25"/>
    <x v="242"/>
    <x v="62"/>
    <x v="1"/>
    <x v="1"/>
    <x v="0"/>
    <x v="0"/>
    <x v="0"/>
    <x v="0"/>
  </r>
  <r>
    <x v="243"/>
    <x v="203"/>
    <x v="1"/>
    <x v="12"/>
    <x v="0"/>
    <n v="57"/>
    <x v="243"/>
    <x v="7"/>
    <x v="0"/>
    <x v="0"/>
    <x v="1"/>
    <x v="0"/>
    <x v="0"/>
    <x v="0"/>
  </r>
  <r>
    <x v="244"/>
    <x v="204"/>
    <x v="8"/>
    <x v="33"/>
    <x v="0"/>
    <n v="29"/>
    <x v="244"/>
    <x v="42"/>
    <x v="1"/>
    <x v="4"/>
    <x v="1"/>
    <x v="0"/>
    <x v="0"/>
    <x v="0"/>
  </r>
  <r>
    <x v="245"/>
    <x v="205"/>
    <x v="9"/>
    <x v="43"/>
    <x v="1"/>
    <n v="28"/>
    <x v="245"/>
    <x v="43"/>
    <x v="2"/>
    <x v="3"/>
    <x v="1"/>
    <x v="1"/>
    <x v="2"/>
    <x v="24"/>
  </r>
  <r>
    <x v="246"/>
    <x v="206"/>
    <x v="9"/>
    <x v="39"/>
    <x v="1"/>
    <n v="43"/>
    <x v="246"/>
    <x v="43"/>
    <x v="4"/>
    <x v="2"/>
    <x v="0"/>
    <x v="0"/>
    <x v="0"/>
    <x v="0"/>
  </r>
  <r>
    <x v="247"/>
    <x v="207"/>
    <x v="2"/>
    <x v="17"/>
    <x v="0"/>
    <n v="29"/>
    <x v="247"/>
    <x v="34"/>
    <x v="1"/>
    <x v="3"/>
    <x v="1"/>
    <x v="0"/>
    <x v="0"/>
    <x v="0"/>
  </r>
  <r>
    <x v="248"/>
    <x v="103"/>
    <x v="1"/>
    <x v="15"/>
    <x v="1"/>
    <n v="31"/>
    <x v="248"/>
    <x v="66"/>
    <x v="4"/>
    <x v="4"/>
    <x v="0"/>
    <x v="0"/>
    <x v="0"/>
    <x v="0"/>
  </r>
  <r>
    <x v="249"/>
    <x v="208"/>
    <x v="5"/>
    <x v="30"/>
    <x v="1"/>
    <n v="23"/>
    <x v="249"/>
    <x v="6"/>
    <x v="3"/>
    <x v="0"/>
    <x v="0"/>
    <x v="0"/>
    <x v="0"/>
    <x v="0"/>
  </r>
  <r>
    <x v="250"/>
    <x v="209"/>
    <x v="4"/>
    <x v="37"/>
    <x v="1"/>
    <n v="52"/>
    <x v="250"/>
    <x v="42"/>
    <x v="1"/>
    <x v="4"/>
    <x v="1"/>
    <x v="0"/>
    <x v="0"/>
    <x v="0"/>
  </r>
  <r>
    <x v="251"/>
    <x v="210"/>
    <x v="8"/>
    <x v="20"/>
    <x v="0"/>
    <n v="40"/>
    <x v="251"/>
    <x v="27"/>
    <x v="3"/>
    <x v="3"/>
    <x v="0"/>
    <x v="0"/>
    <x v="0"/>
    <x v="0"/>
  </r>
  <r>
    <x v="252"/>
    <x v="211"/>
    <x v="9"/>
    <x v="43"/>
    <x v="0"/>
    <n v="51"/>
    <x v="252"/>
    <x v="44"/>
    <x v="2"/>
    <x v="3"/>
    <x v="1"/>
    <x v="0"/>
    <x v="0"/>
    <x v="0"/>
  </r>
  <r>
    <x v="253"/>
    <x v="212"/>
    <x v="9"/>
    <x v="39"/>
    <x v="0"/>
    <n v="43"/>
    <x v="253"/>
    <x v="13"/>
    <x v="1"/>
    <x v="1"/>
    <x v="1"/>
    <x v="0"/>
    <x v="0"/>
    <x v="0"/>
  </r>
  <r>
    <x v="254"/>
    <x v="184"/>
    <x v="1"/>
    <x v="1"/>
    <x v="0"/>
    <n v="36"/>
    <x v="254"/>
    <x v="44"/>
    <x v="1"/>
    <x v="3"/>
    <x v="1"/>
    <x v="0"/>
    <x v="0"/>
    <x v="0"/>
  </r>
  <r>
    <x v="255"/>
    <x v="213"/>
    <x v="7"/>
    <x v="23"/>
    <x v="1"/>
    <n v="24"/>
    <x v="255"/>
    <x v="54"/>
    <x v="1"/>
    <x v="3"/>
    <x v="0"/>
    <x v="0"/>
    <x v="0"/>
    <x v="0"/>
  </r>
  <r>
    <x v="256"/>
    <x v="214"/>
    <x v="6"/>
    <x v="21"/>
    <x v="1"/>
    <n v="41"/>
    <x v="256"/>
    <x v="6"/>
    <x v="4"/>
    <x v="4"/>
    <x v="0"/>
    <x v="0"/>
    <x v="0"/>
    <x v="0"/>
  </r>
  <r>
    <x v="257"/>
    <x v="215"/>
    <x v="9"/>
    <x v="43"/>
    <x v="0"/>
    <n v="52"/>
    <x v="257"/>
    <x v="62"/>
    <x v="4"/>
    <x v="1"/>
    <x v="1"/>
    <x v="0"/>
    <x v="0"/>
    <x v="0"/>
  </r>
  <r>
    <x v="258"/>
    <x v="216"/>
    <x v="6"/>
    <x v="34"/>
    <x v="1"/>
    <n v="34"/>
    <x v="258"/>
    <x v="31"/>
    <x v="1"/>
    <x v="2"/>
    <x v="0"/>
    <x v="0"/>
    <x v="0"/>
    <x v="0"/>
  </r>
  <r>
    <x v="259"/>
    <x v="7"/>
    <x v="2"/>
    <x v="14"/>
    <x v="0"/>
    <n v="39"/>
    <x v="259"/>
    <x v="5"/>
    <x v="1"/>
    <x v="0"/>
    <x v="1"/>
    <x v="0"/>
    <x v="0"/>
    <x v="0"/>
  </r>
  <r>
    <x v="260"/>
    <x v="217"/>
    <x v="6"/>
    <x v="21"/>
    <x v="0"/>
    <n v="44"/>
    <x v="260"/>
    <x v="26"/>
    <x v="2"/>
    <x v="2"/>
    <x v="1"/>
    <x v="0"/>
    <x v="0"/>
    <x v="0"/>
  </r>
  <r>
    <x v="261"/>
    <x v="218"/>
    <x v="5"/>
    <x v="18"/>
    <x v="1"/>
    <n v="44"/>
    <x v="261"/>
    <x v="52"/>
    <x v="1"/>
    <x v="3"/>
    <x v="1"/>
    <x v="0"/>
    <x v="0"/>
    <x v="0"/>
  </r>
  <r>
    <x v="262"/>
    <x v="189"/>
    <x v="1"/>
    <x v="12"/>
    <x v="0"/>
    <n v="28"/>
    <x v="262"/>
    <x v="41"/>
    <x v="4"/>
    <x v="3"/>
    <x v="0"/>
    <x v="0"/>
    <x v="0"/>
    <x v="0"/>
  </r>
  <r>
    <x v="263"/>
    <x v="219"/>
    <x v="3"/>
    <x v="40"/>
    <x v="1"/>
    <n v="33"/>
    <x v="263"/>
    <x v="66"/>
    <x v="0"/>
    <x v="4"/>
    <x v="1"/>
    <x v="0"/>
    <x v="0"/>
    <x v="0"/>
  </r>
  <r>
    <x v="264"/>
    <x v="220"/>
    <x v="5"/>
    <x v="30"/>
    <x v="1"/>
    <n v="29"/>
    <x v="264"/>
    <x v="45"/>
    <x v="4"/>
    <x v="2"/>
    <x v="0"/>
    <x v="0"/>
    <x v="0"/>
    <x v="0"/>
  </r>
  <r>
    <x v="265"/>
    <x v="221"/>
    <x v="9"/>
    <x v="31"/>
    <x v="1"/>
    <n v="41"/>
    <x v="265"/>
    <x v="63"/>
    <x v="4"/>
    <x v="0"/>
    <x v="1"/>
    <x v="0"/>
    <x v="0"/>
    <x v="0"/>
  </r>
  <r>
    <x v="266"/>
    <x v="222"/>
    <x v="4"/>
    <x v="4"/>
    <x v="0"/>
    <n v="53"/>
    <x v="266"/>
    <x v="64"/>
    <x v="1"/>
    <x v="2"/>
    <x v="0"/>
    <x v="0"/>
    <x v="0"/>
    <x v="0"/>
  </r>
  <r>
    <x v="267"/>
    <x v="82"/>
    <x v="2"/>
    <x v="14"/>
    <x v="1"/>
    <n v="44"/>
    <x v="267"/>
    <x v="45"/>
    <x v="1"/>
    <x v="1"/>
    <x v="0"/>
    <x v="0"/>
    <x v="0"/>
    <x v="0"/>
  </r>
  <r>
    <x v="268"/>
    <x v="223"/>
    <x v="4"/>
    <x v="4"/>
    <x v="1"/>
    <n v="51"/>
    <x v="268"/>
    <x v="16"/>
    <x v="3"/>
    <x v="4"/>
    <x v="0"/>
    <x v="0"/>
    <x v="0"/>
    <x v="0"/>
  </r>
  <r>
    <x v="269"/>
    <x v="150"/>
    <x v="4"/>
    <x v="36"/>
    <x v="1"/>
    <n v="58"/>
    <x v="269"/>
    <x v="21"/>
    <x v="4"/>
    <x v="4"/>
    <x v="0"/>
    <x v="0"/>
    <x v="0"/>
    <x v="0"/>
  </r>
  <r>
    <x v="270"/>
    <x v="224"/>
    <x v="6"/>
    <x v="21"/>
    <x v="1"/>
    <n v="23"/>
    <x v="270"/>
    <x v="6"/>
    <x v="2"/>
    <x v="1"/>
    <x v="0"/>
    <x v="0"/>
    <x v="0"/>
    <x v="0"/>
  </r>
  <r>
    <x v="271"/>
    <x v="225"/>
    <x v="5"/>
    <x v="35"/>
    <x v="0"/>
    <n v="47"/>
    <x v="271"/>
    <x v="33"/>
    <x v="0"/>
    <x v="4"/>
    <x v="1"/>
    <x v="0"/>
    <x v="0"/>
    <x v="0"/>
  </r>
  <r>
    <x v="272"/>
    <x v="226"/>
    <x v="6"/>
    <x v="34"/>
    <x v="1"/>
    <n v="29"/>
    <x v="272"/>
    <x v="43"/>
    <x v="1"/>
    <x v="0"/>
    <x v="0"/>
    <x v="0"/>
    <x v="0"/>
    <x v="0"/>
  </r>
  <r>
    <x v="273"/>
    <x v="227"/>
    <x v="8"/>
    <x v="33"/>
    <x v="0"/>
    <n v="32"/>
    <x v="273"/>
    <x v="32"/>
    <x v="3"/>
    <x v="2"/>
    <x v="1"/>
    <x v="0"/>
    <x v="0"/>
    <x v="0"/>
  </r>
  <r>
    <x v="274"/>
    <x v="228"/>
    <x v="3"/>
    <x v="40"/>
    <x v="0"/>
    <n v="33"/>
    <x v="274"/>
    <x v="9"/>
    <x v="1"/>
    <x v="2"/>
    <x v="1"/>
    <x v="0"/>
    <x v="0"/>
    <x v="0"/>
  </r>
  <r>
    <x v="275"/>
    <x v="192"/>
    <x v="7"/>
    <x v="26"/>
    <x v="0"/>
    <n v="34"/>
    <x v="275"/>
    <x v="19"/>
    <x v="4"/>
    <x v="3"/>
    <x v="0"/>
    <x v="0"/>
    <x v="0"/>
    <x v="0"/>
  </r>
  <r>
    <x v="276"/>
    <x v="176"/>
    <x v="1"/>
    <x v="11"/>
    <x v="0"/>
    <n v="28"/>
    <x v="276"/>
    <x v="6"/>
    <x v="2"/>
    <x v="2"/>
    <x v="0"/>
    <x v="0"/>
    <x v="0"/>
    <x v="0"/>
  </r>
  <r>
    <x v="277"/>
    <x v="6"/>
    <x v="6"/>
    <x v="7"/>
    <x v="1"/>
    <n v="39"/>
    <x v="277"/>
    <x v="35"/>
    <x v="0"/>
    <x v="4"/>
    <x v="0"/>
    <x v="1"/>
    <x v="5"/>
    <x v="25"/>
  </r>
  <r>
    <x v="278"/>
    <x v="40"/>
    <x v="3"/>
    <x v="9"/>
    <x v="0"/>
    <n v="51"/>
    <x v="278"/>
    <x v="23"/>
    <x v="1"/>
    <x v="1"/>
    <x v="1"/>
    <x v="0"/>
    <x v="0"/>
    <x v="0"/>
  </r>
  <r>
    <x v="279"/>
    <x v="229"/>
    <x v="2"/>
    <x v="8"/>
    <x v="0"/>
    <n v="29"/>
    <x v="279"/>
    <x v="14"/>
    <x v="3"/>
    <x v="3"/>
    <x v="0"/>
    <x v="0"/>
    <x v="0"/>
    <x v="0"/>
  </r>
  <r>
    <x v="280"/>
    <x v="230"/>
    <x v="7"/>
    <x v="23"/>
    <x v="1"/>
    <n v="54"/>
    <x v="280"/>
    <x v="0"/>
    <x v="2"/>
    <x v="2"/>
    <x v="0"/>
    <x v="0"/>
    <x v="0"/>
    <x v="0"/>
  </r>
  <r>
    <x v="281"/>
    <x v="44"/>
    <x v="0"/>
    <x v="27"/>
    <x v="0"/>
    <n v="51"/>
    <x v="281"/>
    <x v="60"/>
    <x v="3"/>
    <x v="4"/>
    <x v="0"/>
    <x v="0"/>
    <x v="0"/>
    <x v="0"/>
  </r>
  <r>
    <x v="282"/>
    <x v="208"/>
    <x v="5"/>
    <x v="18"/>
    <x v="1"/>
    <n v="47"/>
    <x v="282"/>
    <x v="21"/>
    <x v="4"/>
    <x v="2"/>
    <x v="1"/>
    <x v="0"/>
    <x v="0"/>
    <x v="0"/>
  </r>
  <r>
    <x v="283"/>
    <x v="231"/>
    <x v="2"/>
    <x v="38"/>
    <x v="0"/>
    <n v="24"/>
    <x v="283"/>
    <x v="4"/>
    <x v="0"/>
    <x v="3"/>
    <x v="0"/>
    <x v="0"/>
    <x v="0"/>
    <x v="0"/>
  </r>
  <r>
    <x v="284"/>
    <x v="232"/>
    <x v="1"/>
    <x v="1"/>
    <x v="1"/>
    <n v="47"/>
    <x v="284"/>
    <x v="50"/>
    <x v="0"/>
    <x v="1"/>
    <x v="0"/>
    <x v="0"/>
    <x v="0"/>
    <x v="0"/>
  </r>
  <r>
    <x v="285"/>
    <x v="35"/>
    <x v="8"/>
    <x v="20"/>
    <x v="0"/>
    <n v="23"/>
    <x v="285"/>
    <x v="58"/>
    <x v="1"/>
    <x v="1"/>
    <x v="0"/>
    <x v="0"/>
    <x v="0"/>
    <x v="0"/>
  </r>
  <r>
    <x v="286"/>
    <x v="233"/>
    <x v="0"/>
    <x v="29"/>
    <x v="0"/>
    <n v="50"/>
    <x v="286"/>
    <x v="5"/>
    <x v="2"/>
    <x v="0"/>
    <x v="1"/>
    <x v="0"/>
    <x v="0"/>
    <x v="0"/>
  </r>
  <r>
    <x v="287"/>
    <x v="234"/>
    <x v="1"/>
    <x v="12"/>
    <x v="0"/>
    <n v="33"/>
    <x v="287"/>
    <x v="14"/>
    <x v="3"/>
    <x v="4"/>
    <x v="1"/>
    <x v="0"/>
    <x v="0"/>
    <x v="0"/>
  </r>
  <r>
    <x v="288"/>
    <x v="50"/>
    <x v="2"/>
    <x v="17"/>
    <x v="1"/>
    <n v="42"/>
    <x v="288"/>
    <x v="34"/>
    <x v="0"/>
    <x v="3"/>
    <x v="0"/>
    <x v="0"/>
    <x v="0"/>
    <x v="0"/>
  </r>
  <r>
    <x v="289"/>
    <x v="218"/>
    <x v="9"/>
    <x v="31"/>
    <x v="0"/>
    <n v="48"/>
    <x v="289"/>
    <x v="64"/>
    <x v="4"/>
    <x v="2"/>
    <x v="1"/>
    <x v="0"/>
    <x v="0"/>
    <x v="0"/>
  </r>
  <r>
    <x v="290"/>
    <x v="235"/>
    <x v="0"/>
    <x v="25"/>
    <x v="1"/>
    <n v="51"/>
    <x v="290"/>
    <x v="47"/>
    <x v="2"/>
    <x v="2"/>
    <x v="1"/>
    <x v="0"/>
    <x v="0"/>
    <x v="0"/>
  </r>
  <r>
    <x v="291"/>
    <x v="236"/>
    <x v="6"/>
    <x v="21"/>
    <x v="0"/>
    <n v="38"/>
    <x v="291"/>
    <x v="45"/>
    <x v="3"/>
    <x v="1"/>
    <x v="0"/>
    <x v="0"/>
    <x v="0"/>
    <x v="0"/>
  </r>
  <r>
    <x v="292"/>
    <x v="237"/>
    <x v="5"/>
    <x v="45"/>
    <x v="0"/>
    <n v="36"/>
    <x v="292"/>
    <x v="24"/>
    <x v="3"/>
    <x v="1"/>
    <x v="1"/>
    <x v="0"/>
    <x v="0"/>
    <x v="0"/>
  </r>
  <r>
    <x v="293"/>
    <x v="238"/>
    <x v="2"/>
    <x v="17"/>
    <x v="0"/>
    <n v="53"/>
    <x v="293"/>
    <x v="62"/>
    <x v="2"/>
    <x v="4"/>
    <x v="0"/>
    <x v="0"/>
    <x v="0"/>
    <x v="0"/>
  </r>
  <r>
    <x v="294"/>
    <x v="239"/>
    <x v="3"/>
    <x v="16"/>
    <x v="1"/>
    <n v="29"/>
    <x v="294"/>
    <x v="21"/>
    <x v="4"/>
    <x v="2"/>
    <x v="1"/>
    <x v="0"/>
    <x v="0"/>
    <x v="0"/>
  </r>
  <r>
    <x v="295"/>
    <x v="59"/>
    <x v="3"/>
    <x v="9"/>
    <x v="0"/>
    <n v="55"/>
    <x v="295"/>
    <x v="23"/>
    <x v="2"/>
    <x v="4"/>
    <x v="0"/>
    <x v="0"/>
    <x v="0"/>
    <x v="0"/>
  </r>
  <r>
    <x v="296"/>
    <x v="240"/>
    <x v="0"/>
    <x v="5"/>
    <x v="0"/>
    <n v="54"/>
    <x v="296"/>
    <x v="57"/>
    <x v="1"/>
    <x v="0"/>
    <x v="1"/>
    <x v="0"/>
    <x v="0"/>
    <x v="0"/>
  </r>
  <r>
    <x v="297"/>
    <x v="241"/>
    <x v="0"/>
    <x v="0"/>
    <x v="1"/>
    <n v="57"/>
    <x v="297"/>
    <x v="5"/>
    <x v="2"/>
    <x v="2"/>
    <x v="0"/>
    <x v="0"/>
    <x v="0"/>
    <x v="0"/>
  </r>
  <r>
    <x v="298"/>
    <x v="242"/>
    <x v="1"/>
    <x v="12"/>
    <x v="1"/>
    <n v="34"/>
    <x v="298"/>
    <x v="31"/>
    <x v="2"/>
    <x v="1"/>
    <x v="1"/>
    <x v="1"/>
    <x v="6"/>
    <x v="26"/>
  </r>
  <r>
    <x v="299"/>
    <x v="2"/>
    <x v="8"/>
    <x v="22"/>
    <x v="0"/>
    <n v="29"/>
    <x v="299"/>
    <x v="64"/>
    <x v="3"/>
    <x v="0"/>
    <x v="0"/>
    <x v="0"/>
    <x v="0"/>
    <x v="0"/>
  </r>
  <r>
    <x v="300"/>
    <x v="243"/>
    <x v="5"/>
    <x v="18"/>
    <x v="0"/>
    <n v="40"/>
    <x v="300"/>
    <x v="56"/>
    <x v="3"/>
    <x v="3"/>
    <x v="0"/>
    <x v="0"/>
    <x v="0"/>
    <x v="0"/>
  </r>
  <r>
    <x v="301"/>
    <x v="6"/>
    <x v="7"/>
    <x v="42"/>
    <x v="1"/>
    <n v="23"/>
    <x v="301"/>
    <x v="2"/>
    <x v="2"/>
    <x v="2"/>
    <x v="0"/>
    <x v="0"/>
    <x v="0"/>
    <x v="0"/>
  </r>
  <r>
    <x v="302"/>
    <x v="28"/>
    <x v="1"/>
    <x v="1"/>
    <x v="1"/>
    <n v="51"/>
    <x v="302"/>
    <x v="1"/>
    <x v="1"/>
    <x v="1"/>
    <x v="1"/>
    <x v="0"/>
    <x v="0"/>
    <x v="0"/>
  </r>
  <r>
    <x v="303"/>
    <x v="120"/>
    <x v="9"/>
    <x v="43"/>
    <x v="0"/>
    <n v="45"/>
    <x v="303"/>
    <x v="27"/>
    <x v="0"/>
    <x v="3"/>
    <x v="1"/>
    <x v="0"/>
    <x v="0"/>
    <x v="0"/>
  </r>
  <r>
    <x v="304"/>
    <x v="219"/>
    <x v="1"/>
    <x v="15"/>
    <x v="0"/>
    <n v="28"/>
    <x v="304"/>
    <x v="51"/>
    <x v="3"/>
    <x v="2"/>
    <x v="1"/>
    <x v="0"/>
    <x v="0"/>
    <x v="0"/>
  </r>
  <r>
    <x v="305"/>
    <x v="244"/>
    <x v="9"/>
    <x v="44"/>
    <x v="1"/>
    <n v="22"/>
    <x v="305"/>
    <x v="34"/>
    <x v="4"/>
    <x v="0"/>
    <x v="0"/>
    <x v="0"/>
    <x v="0"/>
    <x v="0"/>
  </r>
  <r>
    <x v="306"/>
    <x v="245"/>
    <x v="6"/>
    <x v="34"/>
    <x v="1"/>
    <n v="36"/>
    <x v="306"/>
    <x v="32"/>
    <x v="0"/>
    <x v="2"/>
    <x v="1"/>
    <x v="0"/>
    <x v="0"/>
    <x v="0"/>
  </r>
  <r>
    <x v="307"/>
    <x v="49"/>
    <x v="7"/>
    <x v="19"/>
    <x v="1"/>
    <n v="47"/>
    <x v="307"/>
    <x v="63"/>
    <x v="2"/>
    <x v="0"/>
    <x v="1"/>
    <x v="0"/>
    <x v="0"/>
    <x v="0"/>
  </r>
  <r>
    <x v="308"/>
    <x v="210"/>
    <x v="0"/>
    <x v="0"/>
    <x v="1"/>
    <n v="49"/>
    <x v="308"/>
    <x v="66"/>
    <x v="1"/>
    <x v="2"/>
    <x v="1"/>
    <x v="0"/>
    <x v="0"/>
    <x v="0"/>
  </r>
  <r>
    <x v="309"/>
    <x v="246"/>
    <x v="7"/>
    <x v="19"/>
    <x v="0"/>
    <n v="49"/>
    <x v="309"/>
    <x v="36"/>
    <x v="3"/>
    <x v="1"/>
    <x v="0"/>
    <x v="0"/>
    <x v="0"/>
    <x v="0"/>
  </r>
  <r>
    <x v="310"/>
    <x v="35"/>
    <x v="9"/>
    <x v="31"/>
    <x v="0"/>
    <n v="35"/>
    <x v="310"/>
    <x v="6"/>
    <x v="1"/>
    <x v="0"/>
    <x v="1"/>
    <x v="0"/>
    <x v="0"/>
    <x v="0"/>
  </r>
  <r>
    <x v="311"/>
    <x v="247"/>
    <x v="3"/>
    <x v="16"/>
    <x v="0"/>
    <n v="30"/>
    <x v="311"/>
    <x v="43"/>
    <x v="4"/>
    <x v="4"/>
    <x v="1"/>
    <x v="0"/>
    <x v="0"/>
    <x v="0"/>
  </r>
  <r>
    <x v="312"/>
    <x v="248"/>
    <x v="2"/>
    <x v="2"/>
    <x v="1"/>
    <n v="48"/>
    <x v="312"/>
    <x v="52"/>
    <x v="4"/>
    <x v="1"/>
    <x v="1"/>
    <x v="0"/>
    <x v="0"/>
    <x v="0"/>
  </r>
  <r>
    <x v="313"/>
    <x v="249"/>
    <x v="6"/>
    <x v="7"/>
    <x v="0"/>
    <n v="47"/>
    <x v="313"/>
    <x v="12"/>
    <x v="1"/>
    <x v="2"/>
    <x v="0"/>
    <x v="0"/>
    <x v="0"/>
    <x v="0"/>
  </r>
  <r>
    <x v="314"/>
    <x v="250"/>
    <x v="1"/>
    <x v="12"/>
    <x v="1"/>
    <n v="35"/>
    <x v="314"/>
    <x v="34"/>
    <x v="1"/>
    <x v="3"/>
    <x v="1"/>
    <x v="0"/>
    <x v="0"/>
    <x v="0"/>
  </r>
  <r>
    <x v="315"/>
    <x v="114"/>
    <x v="5"/>
    <x v="18"/>
    <x v="0"/>
    <n v="47"/>
    <x v="315"/>
    <x v="52"/>
    <x v="3"/>
    <x v="3"/>
    <x v="0"/>
    <x v="0"/>
    <x v="0"/>
    <x v="0"/>
  </r>
  <r>
    <x v="316"/>
    <x v="4"/>
    <x v="7"/>
    <x v="26"/>
    <x v="1"/>
    <n v="42"/>
    <x v="316"/>
    <x v="7"/>
    <x v="0"/>
    <x v="3"/>
    <x v="1"/>
    <x v="0"/>
    <x v="0"/>
    <x v="0"/>
  </r>
  <r>
    <x v="317"/>
    <x v="59"/>
    <x v="0"/>
    <x v="5"/>
    <x v="1"/>
    <n v="24"/>
    <x v="317"/>
    <x v="46"/>
    <x v="2"/>
    <x v="2"/>
    <x v="1"/>
    <x v="0"/>
    <x v="0"/>
    <x v="0"/>
  </r>
  <r>
    <x v="318"/>
    <x v="244"/>
    <x v="4"/>
    <x v="41"/>
    <x v="1"/>
    <n v="33"/>
    <x v="318"/>
    <x v="31"/>
    <x v="0"/>
    <x v="2"/>
    <x v="1"/>
    <x v="0"/>
    <x v="0"/>
    <x v="0"/>
  </r>
  <r>
    <x v="319"/>
    <x v="251"/>
    <x v="7"/>
    <x v="10"/>
    <x v="1"/>
    <n v="42"/>
    <x v="319"/>
    <x v="62"/>
    <x v="1"/>
    <x v="2"/>
    <x v="0"/>
    <x v="0"/>
    <x v="0"/>
    <x v="0"/>
  </r>
  <r>
    <x v="320"/>
    <x v="226"/>
    <x v="0"/>
    <x v="27"/>
    <x v="1"/>
    <n v="34"/>
    <x v="320"/>
    <x v="13"/>
    <x v="3"/>
    <x v="2"/>
    <x v="0"/>
    <x v="0"/>
    <x v="0"/>
    <x v="0"/>
  </r>
  <r>
    <x v="321"/>
    <x v="252"/>
    <x v="2"/>
    <x v="14"/>
    <x v="0"/>
    <n v="55"/>
    <x v="321"/>
    <x v="57"/>
    <x v="0"/>
    <x v="4"/>
    <x v="0"/>
    <x v="0"/>
    <x v="0"/>
    <x v="0"/>
  </r>
  <r>
    <x v="322"/>
    <x v="253"/>
    <x v="1"/>
    <x v="12"/>
    <x v="0"/>
    <n v="27"/>
    <x v="322"/>
    <x v="44"/>
    <x v="0"/>
    <x v="4"/>
    <x v="1"/>
    <x v="0"/>
    <x v="0"/>
    <x v="0"/>
  </r>
  <r>
    <x v="323"/>
    <x v="254"/>
    <x v="3"/>
    <x v="40"/>
    <x v="0"/>
    <n v="23"/>
    <x v="323"/>
    <x v="20"/>
    <x v="3"/>
    <x v="4"/>
    <x v="0"/>
    <x v="0"/>
    <x v="0"/>
    <x v="0"/>
  </r>
  <r>
    <x v="324"/>
    <x v="83"/>
    <x v="5"/>
    <x v="45"/>
    <x v="0"/>
    <n v="39"/>
    <x v="324"/>
    <x v="33"/>
    <x v="0"/>
    <x v="1"/>
    <x v="1"/>
    <x v="0"/>
    <x v="0"/>
    <x v="0"/>
  </r>
  <r>
    <x v="325"/>
    <x v="255"/>
    <x v="6"/>
    <x v="21"/>
    <x v="0"/>
    <n v="56"/>
    <x v="325"/>
    <x v="45"/>
    <x v="2"/>
    <x v="2"/>
    <x v="1"/>
    <x v="0"/>
    <x v="0"/>
    <x v="0"/>
  </r>
  <r>
    <x v="326"/>
    <x v="256"/>
    <x v="8"/>
    <x v="33"/>
    <x v="1"/>
    <n v="43"/>
    <x v="326"/>
    <x v="50"/>
    <x v="4"/>
    <x v="4"/>
    <x v="0"/>
    <x v="0"/>
    <x v="0"/>
    <x v="0"/>
  </r>
  <r>
    <x v="327"/>
    <x v="10"/>
    <x v="8"/>
    <x v="20"/>
    <x v="1"/>
    <n v="54"/>
    <x v="327"/>
    <x v="1"/>
    <x v="4"/>
    <x v="3"/>
    <x v="0"/>
    <x v="0"/>
    <x v="0"/>
    <x v="0"/>
  </r>
  <r>
    <x v="328"/>
    <x v="60"/>
    <x v="5"/>
    <x v="35"/>
    <x v="1"/>
    <n v="35"/>
    <x v="328"/>
    <x v="24"/>
    <x v="2"/>
    <x v="2"/>
    <x v="0"/>
    <x v="0"/>
    <x v="0"/>
    <x v="0"/>
  </r>
  <r>
    <x v="329"/>
    <x v="257"/>
    <x v="7"/>
    <x v="42"/>
    <x v="0"/>
    <n v="44"/>
    <x v="329"/>
    <x v="10"/>
    <x v="2"/>
    <x v="0"/>
    <x v="1"/>
    <x v="0"/>
    <x v="0"/>
    <x v="0"/>
  </r>
  <r>
    <x v="330"/>
    <x v="54"/>
    <x v="8"/>
    <x v="33"/>
    <x v="1"/>
    <n v="21"/>
    <x v="330"/>
    <x v="61"/>
    <x v="0"/>
    <x v="2"/>
    <x v="1"/>
    <x v="1"/>
    <x v="5"/>
    <x v="27"/>
  </r>
  <r>
    <x v="331"/>
    <x v="124"/>
    <x v="5"/>
    <x v="18"/>
    <x v="0"/>
    <n v="55"/>
    <x v="331"/>
    <x v="54"/>
    <x v="0"/>
    <x v="2"/>
    <x v="0"/>
    <x v="0"/>
    <x v="0"/>
    <x v="0"/>
  </r>
  <r>
    <x v="332"/>
    <x v="258"/>
    <x v="9"/>
    <x v="28"/>
    <x v="1"/>
    <n v="54"/>
    <x v="332"/>
    <x v="12"/>
    <x v="3"/>
    <x v="1"/>
    <x v="1"/>
    <x v="0"/>
    <x v="0"/>
    <x v="0"/>
  </r>
  <r>
    <x v="333"/>
    <x v="259"/>
    <x v="1"/>
    <x v="11"/>
    <x v="0"/>
    <n v="38"/>
    <x v="333"/>
    <x v="13"/>
    <x v="3"/>
    <x v="3"/>
    <x v="0"/>
    <x v="1"/>
    <x v="8"/>
    <x v="28"/>
  </r>
  <r>
    <x v="334"/>
    <x v="260"/>
    <x v="8"/>
    <x v="20"/>
    <x v="1"/>
    <n v="40"/>
    <x v="334"/>
    <x v="30"/>
    <x v="1"/>
    <x v="3"/>
    <x v="0"/>
    <x v="0"/>
    <x v="0"/>
    <x v="0"/>
  </r>
  <r>
    <x v="335"/>
    <x v="76"/>
    <x v="0"/>
    <x v="27"/>
    <x v="0"/>
    <n v="45"/>
    <x v="335"/>
    <x v="52"/>
    <x v="0"/>
    <x v="3"/>
    <x v="1"/>
    <x v="0"/>
    <x v="0"/>
    <x v="0"/>
  </r>
  <r>
    <x v="336"/>
    <x v="7"/>
    <x v="9"/>
    <x v="28"/>
    <x v="0"/>
    <n v="48"/>
    <x v="336"/>
    <x v="45"/>
    <x v="0"/>
    <x v="4"/>
    <x v="0"/>
    <x v="1"/>
    <x v="3"/>
    <x v="29"/>
  </r>
  <r>
    <x v="337"/>
    <x v="43"/>
    <x v="1"/>
    <x v="1"/>
    <x v="1"/>
    <n v="34"/>
    <x v="337"/>
    <x v="20"/>
    <x v="4"/>
    <x v="0"/>
    <x v="0"/>
    <x v="0"/>
    <x v="0"/>
    <x v="0"/>
  </r>
  <r>
    <x v="338"/>
    <x v="261"/>
    <x v="0"/>
    <x v="29"/>
    <x v="1"/>
    <n v="32"/>
    <x v="338"/>
    <x v="39"/>
    <x v="1"/>
    <x v="1"/>
    <x v="0"/>
    <x v="0"/>
    <x v="0"/>
    <x v="0"/>
  </r>
  <r>
    <x v="339"/>
    <x v="262"/>
    <x v="9"/>
    <x v="43"/>
    <x v="1"/>
    <n v="40"/>
    <x v="339"/>
    <x v="8"/>
    <x v="1"/>
    <x v="1"/>
    <x v="0"/>
    <x v="0"/>
    <x v="0"/>
    <x v="0"/>
  </r>
  <r>
    <x v="340"/>
    <x v="154"/>
    <x v="6"/>
    <x v="7"/>
    <x v="0"/>
    <n v="29"/>
    <x v="340"/>
    <x v="7"/>
    <x v="3"/>
    <x v="4"/>
    <x v="1"/>
    <x v="0"/>
    <x v="0"/>
    <x v="0"/>
  </r>
  <r>
    <x v="341"/>
    <x v="78"/>
    <x v="5"/>
    <x v="30"/>
    <x v="0"/>
    <n v="35"/>
    <x v="341"/>
    <x v="7"/>
    <x v="0"/>
    <x v="3"/>
    <x v="0"/>
    <x v="0"/>
    <x v="0"/>
    <x v="0"/>
  </r>
  <r>
    <x v="342"/>
    <x v="66"/>
    <x v="4"/>
    <x v="37"/>
    <x v="0"/>
    <n v="22"/>
    <x v="342"/>
    <x v="46"/>
    <x v="3"/>
    <x v="0"/>
    <x v="0"/>
    <x v="0"/>
    <x v="0"/>
    <x v="0"/>
  </r>
  <r>
    <x v="343"/>
    <x v="120"/>
    <x v="3"/>
    <x v="9"/>
    <x v="0"/>
    <n v="32"/>
    <x v="343"/>
    <x v="31"/>
    <x v="3"/>
    <x v="0"/>
    <x v="0"/>
    <x v="0"/>
    <x v="0"/>
    <x v="0"/>
  </r>
  <r>
    <x v="344"/>
    <x v="114"/>
    <x v="4"/>
    <x v="4"/>
    <x v="1"/>
    <n v="25"/>
    <x v="344"/>
    <x v="30"/>
    <x v="4"/>
    <x v="4"/>
    <x v="0"/>
    <x v="1"/>
    <x v="7"/>
    <x v="30"/>
  </r>
  <r>
    <x v="345"/>
    <x v="263"/>
    <x v="9"/>
    <x v="43"/>
    <x v="0"/>
    <n v="44"/>
    <x v="345"/>
    <x v="60"/>
    <x v="1"/>
    <x v="1"/>
    <x v="0"/>
    <x v="0"/>
    <x v="0"/>
    <x v="0"/>
  </r>
  <r>
    <x v="346"/>
    <x v="264"/>
    <x v="8"/>
    <x v="24"/>
    <x v="0"/>
    <n v="27"/>
    <x v="346"/>
    <x v="41"/>
    <x v="0"/>
    <x v="2"/>
    <x v="1"/>
    <x v="1"/>
    <x v="7"/>
    <x v="31"/>
  </r>
  <r>
    <x v="347"/>
    <x v="207"/>
    <x v="8"/>
    <x v="33"/>
    <x v="1"/>
    <n v="22"/>
    <x v="347"/>
    <x v="4"/>
    <x v="2"/>
    <x v="0"/>
    <x v="0"/>
    <x v="0"/>
    <x v="0"/>
    <x v="0"/>
  </r>
  <r>
    <x v="348"/>
    <x v="120"/>
    <x v="4"/>
    <x v="4"/>
    <x v="0"/>
    <n v="21"/>
    <x v="348"/>
    <x v="54"/>
    <x v="0"/>
    <x v="2"/>
    <x v="0"/>
    <x v="0"/>
    <x v="0"/>
    <x v="0"/>
  </r>
  <r>
    <x v="349"/>
    <x v="265"/>
    <x v="1"/>
    <x v="15"/>
    <x v="1"/>
    <n v="45"/>
    <x v="349"/>
    <x v="50"/>
    <x v="0"/>
    <x v="1"/>
    <x v="1"/>
    <x v="0"/>
    <x v="0"/>
    <x v="0"/>
  </r>
  <r>
    <x v="350"/>
    <x v="266"/>
    <x v="2"/>
    <x v="14"/>
    <x v="1"/>
    <n v="25"/>
    <x v="350"/>
    <x v="8"/>
    <x v="4"/>
    <x v="4"/>
    <x v="1"/>
    <x v="0"/>
    <x v="0"/>
    <x v="0"/>
  </r>
  <r>
    <x v="351"/>
    <x v="267"/>
    <x v="2"/>
    <x v="14"/>
    <x v="1"/>
    <n v="44"/>
    <x v="351"/>
    <x v="48"/>
    <x v="1"/>
    <x v="4"/>
    <x v="0"/>
    <x v="1"/>
    <x v="8"/>
    <x v="32"/>
  </r>
  <r>
    <x v="352"/>
    <x v="268"/>
    <x v="4"/>
    <x v="36"/>
    <x v="0"/>
    <n v="27"/>
    <x v="352"/>
    <x v="59"/>
    <x v="1"/>
    <x v="3"/>
    <x v="0"/>
    <x v="1"/>
    <x v="6"/>
    <x v="33"/>
  </r>
  <r>
    <x v="353"/>
    <x v="269"/>
    <x v="3"/>
    <x v="9"/>
    <x v="0"/>
    <n v="49"/>
    <x v="353"/>
    <x v="45"/>
    <x v="0"/>
    <x v="3"/>
    <x v="0"/>
    <x v="1"/>
    <x v="6"/>
    <x v="34"/>
  </r>
  <r>
    <x v="354"/>
    <x v="221"/>
    <x v="9"/>
    <x v="39"/>
    <x v="0"/>
    <n v="33"/>
    <x v="354"/>
    <x v="21"/>
    <x v="1"/>
    <x v="1"/>
    <x v="0"/>
    <x v="0"/>
    <x v="0"/>
    <x v="0"/>
  </r>
  <r>
    <x v="355"/>
    <x v="31"/>
    <x v="3"/>
    <x v="40"/>
    <x v="0"/>
    <n v="57"/>
    <x v="355"/>
    <x v="9"/>
    <x v="4"/>
    <x v="1"/>
    <x v="0"/>
    <x v="0"/>
    <x v="0"/>
    <x v="0"/>
  </r>
  <r>
    <x v="356"/>
    <x v="127"/>
    <x v="6"/>
    <x v="7"/>
    <x v="1"/>
    <n v="57"/>
    <x v="356"/>
    <x v="22"/>
    <x v="4"/>
    <x v="0"/>
    <x v="1"/>
    <x v="0"/>
    <x v="0"/>
    <x v="0"/>
  </r>
  <r>
    <x v="357"/>
    <x v="95"/>
    <x v="1"/>
    <x v="1"/>
    <x v="0"/>
    <n v="34"/>
    <x v="357"/>
    <x v="28"/>
    <x v="1"/>
    <x v="1"/>
    <x v="0"/>
    <x v="0"/>
    <x v="0"/>
    <x v="0"/>
  </r>
  <r>
    <x v="358"/>
    <x v="118"/>
    <x v="6"/>
    <x v="34"/>
    <x v="1"/>
    <n v="40"/>
    <x v="358"/>
    <x v="9"/>
    <x v="2"/>
    <x v="0"/>
    <x v="0"/>
    <x v="0"/>
    <x v="0"/>
    <x v="0"/>
  </r>
  <r>
    <x v="359"/>
    <x v="270"/>
    <x v="6"/>
    <x v="34"/>
    <x v="1"/>
    <n v="49"/>
    <x v="359"/>
    <x v="66"/>
    <x v="3"/>
    <x v="3"/>
    <x v="1"/>
    <x v="0"/>
    <x v="0"/>
    <x v="0"/>
  </r>
  <r>
    <x v="360"/>
    <x v="271"/>
    <x v="1"/>
    <x v="12"/>
    <x v="1"/>
    <n v="44"/>
    <x v="360"/>
    <x v="5"/>
    <x v="4"/>
    <x v="1"/>
    <x v="0"/>
    <x v="0"/>
    <x v="0"/>
    <x v="0"/>
  </r>
  <r>
    <x v="361"/>
    <x v="270"/>
    <x v="0"/>
    <x v="25"/>
    <x v="0"/>
    <n v="31"/>
    <x v="361"/>
    <x v="63"/>
    <x v="1"/>
    <x v="2"/>
    <x v="1"/>
    <x v="0"/>
    <x v="0"/>
    <x v="0"/>
  </r>
  <r>
    <x v="362"/>
    <x v="272"/>
    <x v="3"/>
    <x v="9"/>
    <x v="1"/>
    <n v="21"/>
    <x v="362"/>
    <x v="60"/>
    <x v="2"/>
    <x v="3"/>
    <x v="1"/>
    <x v="0"/>
    <x v="0"/>
    <x v="0"/>
  </r>
  <r>
    <x v="363"/>
    <x v="170"/>
    <x v="1"/>
    <x v="15"/>
    <x v="0"/>
    <n v="44"/>
    <x v="363"/>
    <x v="68"/>
    <x v="4"/>
    <x v="0"/>
    <x v="0"/>
    <x v="0"/>
    <x v="0"/>
    <x v="0"/>
  </r>
  <r>
    <x v="364"/>
    <x v="273"/>
    <x v="1"/>
    <x v="15"/>
    <x v="0"/>
    <n v="22"/>
    <x v="364"/>
    <x v="19"/>
    <x v="3"/>
    <x v="0"/>
    <x v="0"/>
    <x v="0"/>
    <x v="0"/>
    <x v="0"/>
  </r>
  <r>
    <x v="365"/>
    <x v="274"/>
    <x v="0"/>
    <x v="0"/>
    <x v="1"/>
    <n v="43"/>
    <x v="365"/>
    <x v="39"/>
    <x v="4"/>
    <x v="1"/>
    <x v="0"/>
    <x v="0"/>
    <x v="0"/>
    <x v="0"/>
  </r>
  <r>
    <x v="366"/>
    <x v="275"/>
    <x v="1"/>
    <x v="12"/>
    <x v="0"/>
    <n v="51"/>
    <x v="366"/>
    <x v="4"/>
    <x v="0"/>
    <x v="0"/>
    <x v="1"/>
    <x v="0"/>
    <x v="0"/>
    <x v="0"/>
  </r>
  <r>
    <x v="367"/>
    <x v="276"/>
    <x v="3"/>
    <x v="3"/>
    <x v="0"/>
    <n v="23"/>
    <x v="367"/>
    <x v="14"/>
    <x v="0"/>
    <x v="2"/>
    <x v="1"/>
    <x v="0"/>
    <x v="0"/>
    <x v="0"/>
  </r>
  <r>
    <x v="368"/>
    <x v="241"/>
    <x v="0"/>
    <x v="25"/>
    <x v="1"/>
    <n v="54"/>
    <x v="368"/>
    <x v="50"/>
    <x v="2"/>
    <x v="1"/>
    <x v="0"/>
    <x v="0"/>
    <x v="0"/>
    <x v="0"/>
  </r>
  <r>
    <x v="369"/>
    <x v="277"/>
    <x v="1"/>
    <x v="12"/>
    <x v="0"/>
    <n v="35"/>
    <x v="369"/>
    <x v="26"/>
    <x v="4"/>
    <x v="0"/>
    <x v="0"/>
    <x v="0"/>
    <x v="0"/>
    <x v="0"/>
  </r>
  <r>
    <x v="370"/>
    <x v="57"/>
    <x v="6"/>
    <x v="34"/>
    <x v="1"/>
    <n v="33"/>
    <x v="370"/>
    <x v="27"/>
    <x v="3"/>
    <x v="3"/>
    <x v="0"/>
    <x v="0"/>
    <x v="0"/>
    <x v="0"/>
  </r>
  <r>
    <x v="371"/>
    <x v="278"/>
    <x v="5"/>
    <x v="6"/>
    <x v="1"/>
    <n v="34"/>
    <x v="371"/>
    <x v="38"/>
    <x v="0"/>
    <x v="1"/>
    <x v="1"/>
    <x v="1"/>
    <x v="3"/>
    <x v="32"/>
  </r>
  <r>
    <x v="372"/>
    <x v="279"/>
    <x v="4"/>
    <x v="41"/>
    <x v="1"/>
    <n v="44"/>
    <x v="372"/>
    <x v="47"/>
    <x v="1"/>
    <x v="2"/>
    <x v="0"/>
    <x v="0"/>
    <x v="0"/>
    <x v="0"/>
  </r>
  <r>
    <x v="373"/>
    <x v="38"/>
    <x v="2"/>
    <x v="14"/>
    <x v="0"/>
    <n v="45"/>
    <x v="373"/>
    <x v="63"/>
    <x v="3"/>
    <x v="3"/>
    <x v="1"/>
    <x v="0"/>
    <x v="0"/>
    <x v="0"/>
  </r>
  <r>
    <x v="374"/>
    <x v="280"/>
    <x v="3"/>
    <x v="40"/>
    <x v="0"/>
    <n v="32"/>
    <x v="374"/>
    <x v="34"/>
    <x v="4"/>
    <x v="0"/>
    <x v="0"/>
    <x v="1"/>
    <x v="1"/>
    <x v="35"/>
  </r>
  <r>
    <x v="375"/>
    <x v="281"/>
    <x v="9"/>
    <x v="39"/>
    <x v="1"/>
    <n v="36"/>
    <x v="375"/>
    <x v="62"/>
    <x v="3"/>
    <x v="4"/>
    <x v="0"/>
    <x v="0"/>
    <x v="0"/>
    <x v="0"/>
  </r>
  <r>
    <x v="376"/>
    <x v="270"/>
    <x v="9"/>
    <x v="31"/>
    <x v="0"/>
    <n v="47"/>
    <x v="376"/>
    <x v="15"/>
    <x v="2"/>
    <x v="4"/>
    <x v="1"/>
    <x v="0"/>
    <x v="0"/>
    <x v="0"/>
  </r>
  <r>
    <x v="377"/>
    <x v="282"/>
    <x v="6"/>
    <x v="21"/>
    <x v="0"/>
    <n v="55"/>
    <x v="377"/>
    <x v="50"/>
    <x v="3"/>
    <x v="4"/>
    <x v="1"/>
    <x v="0"/>
    <x v="0"/>
    <x v="0"/>
  </r>
  <r>
    <x v="378"/>
    <x v="248"/>
    <x v="2"/>
    <x v="17"/>
    <x v="1"/>
    <n v="41"/>
    <x v="378"/>
    <x v="27"/>
    <x v="1"/>
    <x v="1"/>
    <x v="1"/>
    <x v="0"/>
    <x v="0"/>
    <x v="0"/>
  </r>
  <r>
    <x v="379"/>
    <x v="283"/>
    <x v="5"/>
    <x v="35"/>
    <x v="1"/>
    <n v="33"/>
    <x v="379"/>
    <x v="68"/>
    <x v="2"/>
    <x v="1"/>
    <x v="0"/>
    <x v="0"/>
    <x v="0"/>
    <x v="0"/>
  </r>
  <r>
    <x v="380"/>
    <x v="284"/>
    <x v="6"/>
    <x v="34"/>
    <x v="0"/>
    <n v="49"/>
    <x v="380"/>
    <x v="19"/>
    <x v="1"/>
    <x v="4"/>
    <x v="1"/>
    <x v="0"/>
    <x v="0"/>
    <x v="0"/>
  </r>
  <r>
    <x v="381"/>
    <x v="228"/>
    <x v="5"/>
    <x v="32"/>
    <x v="0"/>
    <n v="23"/>
    <x v="381"/>
    <x v="46"/>
    <x v="3"/>
    <x v="2"/>
    <x v="0"/>
    <x v="0"/>
    <x v="0"/>
    <x v="0"/>
  </r>
  <r>
    <x v="382"/>
    <x v="38"/>
    <x v="9"/>
    <x v="43"/>
    <x v="0"/>
    <n v="56"/>
    <x v="382"/>
    <x v="64"/>
    <x v="1"/>
    <x v="2"/>
    <x v="0"/>
    <x v="0"/>
    <x v="0"/>
    <x v="0"/>
  </r>
  <r>
    <x v="383"/>
    <x v="285"/>
    <x v="2"/>
    <x v="8"/>
    <x v="0"/>
    <n v="55"/>
    <x v="383"/>
    <x v="35"/>
    <x v="2"/>
    <x v="3"/>
    <x v="0"/>
    <x v="0"/>
    <x v="0"/>
    <x v="0"/>
  </r>
  <r>
    <x v="384"/>
    <x v="126"/>
    <x v="7"/>
    <x v="10"/>
    <x v="1"/>
    <n v="36"/>
    <x v="384"/>
    <x v="34"/>
    <x v="3"/>
    <x v="2"/>
    <x v="0"/>
    <x v="0"/>
    <x v="0"/>
    <x v="0"/>
  </r>
  <r>
    <x v="385"/>
    <x v="223"/>
    <x v="3"/>
    <x v="3"/>
    <x v="0"/>
    <n v="28"/>
    <x v="385"/>
    <x v="36"/>
    <x v="1"/>
    <x v="0"/>
    <x v="1"/>
    <x v="0"/>
    <x v="0"/>
    <x v="0"/>
  </r>
  <r>
    <x v="386"/>
    <x v="123"/>
    <x v="3"/>
    <x v="9"/>
    <x v="1"/>
    <n v="29"/>
    <x v="386"/>
    <x v="11"/>
    <x v="0"/>
    <x v="0"/>
    <x v="1"/>
    <x v="0"/>
    <x v="0"/>
    <x v="0"/>
  </r>
  <r>
    <x v="387"/>
    <x v="101"/>
    <x v="4"/>
    <x v="4"/>
    <x v="0"/>
    <n v="55"/>
    <x v="387"/>
    <x v="8"/>
    <x v="3"/>
    <x v="4"/>
    <x v="1"/>
    <x v="0"/>
    <x v="0"/>
    <x v="0"/>
  </r>
  <r>
    <x v="388"/>
    <x v="286"/>
    <x v="2"/>
    <x v="8"/>
    <x v="0"/>
    <n v="53"/>
    <x v="388"/>
    <x v="4"/>
    <x v="3"/>
    <x v="1"/>
    <x v="0"/>
    <x v="0"/>
    <x v="0"/>
    <x v="0"/>
  </r>
  <r>
    <x v="389"/>
    <x v="287"/>
    <x v="5"/>
    <x v="45"/>
    <x v="1"/>
    <n v="29"/>
    <x v="389"/>
    <x v="48"/>
    <x v="4"/>
    <x v="0"/>
    <x v="1"/>
    <x v="0"/>
    <x v="0"/>
    <x v="0"/>
  </r>
  <r>
    <x v="390"/>
    <x v="266"/>
    <x v="7"/>
    <x v="10"/>
    <x v="0"/>
    <n v="30"/>
    <x v="390"/>
    <x v="6"/>
    <x v="2"/>
    <x v="0"/>
    <x v="0"/>
    <x v="0"/>
    <x v="0"/>
    <x v="0"/>
  </r>
  <r>
    <x v="391"/>
    <x v="288"/>
    <x v="6"/>
    <x v="34"/>
    <x v="1"/>
    <n v="26"/>
    <x v="391"/>
    <x v="26"/>
    <x v="4"/>
    <x v="0"/>
    <x v="0"/>
    <x v="0"/>
    <x v="0"/>
    <x v="0"/>
  </r>
  <r>
    <x v="392"/>
    <x v="206"/>
    <x v="3"/>
    <x v="9"/>
    <x v="0"/>
    <n v="41"/>
    <x v="392"/>
    <x v="31"/>
    <x v="0"/>
    <x v="1"/>
    <x v="0"/>
    <x v="0"/>
    <x v="0"/>
    <x v="0"/>
  </r>
  <r>
    <x v="393"/>
    <x v="289"/>
    <x v="8"/>
    <x v="24"/>
    <x v="1"/>
    <n v="55"/>
    <x v="393"/>
    <x v="13"/>
    <x v="3"/>
    <x v="3"/>
    <x v="0"/>
    <x v="0"/>
    <x v="0"/>
    <x v="0"/>
  </r>
  <r>
    <x v="394"/>
    <x v="290"/>
    <x v="8"/>
    <x v="24"/>
    <x v="0"/>
    <n v="39"/>
    <x v="394"/>
    <x v="45"/>
    <x v="0"/>
    <x v="2"/>
    <x v="0"/>
    <x v="1"/>
    <x v="7"/>
    <x v="36"/>
  </r>
  <r>
    <x v="395"/>
    <x v="291"/>
    <x v="4"/>
    <x v="37"/>
    <x v="0"/>
    <n v="24"/>
    <x v="395"/>
    <x v="40"/>
    <x v="0"/>
    <x v="3"/>
    <x v="1"/>
    <x v="0"/>
    <x v="0"/>
    <x v="0"/>
  </r>
  <r>
    <x v="396"/>
    <x v="289"/>
    <x v="5"/>
    <x v="30"/>
    <x v="1"/>
    <n v="49"/>
    <x v="396"/>
    <x v="32"/>
    <x v="1"/>
    <x v="2"/>
    <x v="0"/>
    <x v="1"/>
    <x v="1"/>
    <x v="37"/>
  </r>
  <r>
    <x v="397"/>
    <x v="292"/>
    <x v="9"/>
    <x v="39"/>
    <x v="1"/>
    <n v="38"/>
    <x v="397"/>
    <x v="4"/>
    <x v="4"/>
    <x v="3"/>
    <x v="0"/>
    <x v="0"/>
    <x v="0"/>
    <x v="0"/>
  </r>
  <r>
    <x v="398"/>
    <x v="293"/>
    <x v="0"/>
    <x v="29"/>
    <x v="1"/>
    <n v="24"/>
    <x v="398"/>
    <x v="13"/>
    <x v="4"/>
    <x v="2"/>
    <x v="0"/>
    <x v="0"/>
    <x v="0"/>
    <x v="0"/>
  </r>
  <r>
    <x v="399"/>
    <x v="294"/>
    <x v="6"/>
    <x v="13"/>
    <x v="1"/>
    <n v="21"/>
    <x v="399"/>
    <x v="11"/>
    <x v="0"/>
    <x v="0"/>
    <x v="0"/>
    <x v="0"/>
    <x v="0"/>
    <x v="0"/>
  </r>
  <r>
    <x v="400"/>
    <x v="16"/>
    <x v="4"/>
    <x v="36"/>
    <x v="0"/>
    <n v="21"/>
    <x v="400"/>
    <x v="17"/>
    <x v="0"/>
    <x v="1"/>
    <x v="1"/>
    <x v="0"/>
    <x v="0"/>
    <x v="0"/>
  </r>
  <r>
    <x v="401"/>
    <x v="295"/>
    <x v="6"/>
    <x v="21"/>
    <x v="0"/>
    <n v="25"/>
    <x v="401"/>
    <x v="0"/>
    <x v="1"/>
    <x v="2"/>
    <x v="1"/>
    <x v="1"/>
    <x v="4"/>
    <x v="38"/>
  </r>
  <r>
    <x v="402"/>
    <x v="44"/>
    <x v="0"/>
    <x v="29"/>
    <x v="0"/>
    <n v="40"/>
    <x v="402"/>
    <x v="59"/>
    <x v="3"/>
    <x v="4"/>
    <x v="0"/>
    <x v="0"/>
    <x v="0"/>
    <x v="0"/>
  </r>
  <r>
    <x v="403"/>
    <x v="296"/>
    <x v="9"/>
    <x v="28"/>
    <x v="1"/>
    <n v="31"/>
    <x v="403"/>
    <x v="28"/>
    <x v="1"/>
    <x v="1"/>
    <x v="1"/>
    <x v="0"/>
    <x v="0"/>
    <x v="0"/>
  </r>
  <r>
    <x v="404"/>
    <x v="297"/>
    <x v="9"/>
    <x v="43"/>
    <x v="0"/>
    <n v="34"/>
    <x v="404"/>
    <x v="30"/>
    <x v="2"/>
    <x v="0"/>
    <x v="0"/>
    <x v="1"/>
    <x v="3"/>
    <x v="39"/>
  </r>
  <r>
    <x v="405"/>
    <x v="25"/>
    <x v="4"/>
    <x v="37"/>
    <x v="0"/>
    <n v="48"/>
    <x v="405"/>
    <x v="39"/>
    <x v="0"/>
    <x v="0"/>
    <x v="1"/>
    <x v="0"/>
    <x v="0"/>
    <x v="0"/>
  </r>
  <r>
    <x v="406"/>
    <x v="150"/>
    <x v="0"/>
    <x v="25"/>
    <x v="0"/>
    <n v="22"/>
    <x v="406"/>
    <x v="34"/>
    <x v="4"/>
    <x v="0"/>
    <x v="1"/>
    <x v="1"/>
    <x v="1"/>
    <x v="40"/>
  </r>
  <r>
    <x v="407"/>
    <x v="298"/>
    <x v="1"/>
    <x v="15"/>
    <x v="0"/>
    <n v="39"/>
    <x v="407"/>
    <x v="10"/>
    <x v="3"/>
    <x v="2"/>
    <x v="1"/>
    <x v="0"/>
    <x v="0"/>
    <x v="0"/>
  </r>
  <r>
    <x v="408"/>
    <x v="299"/>
    <x v="0"/>
    <x v="25"/>
    <x v="0"/>
    <n v="25"/>
    <x v="408"/>
    <x v="61"/>
    <x v="3"/>
    <x v="4"/>
    <x v="0"/>
    <x v="0"/>
    <x v="0"/>
    <x v="0"/>
  </r>
  <r>
    <x v="409"/>
    <x v="282"/>
    <x v="9"/>
    <x v="43"/>
    <x v="0"/>
    <n v="44"/>
    <x v="409"/>
    <x v="42"/>
    <x v="3"/>
    <x v="0"/>
    <x v="0"/>
    <x v="0"/>
    <x v="0"/>
    <x v="0"/>
  </r>
  <r>
    <x v="410"/>
    <x v="216"/>
    <x v="0"/>
    <x v="0"/>
    <x v="1"/>
    <n v="21"/>
    <x v="410"/>
    <x v="16"/>
    <x v="3"/>
    <x v="2"/>
    <x v="0"/>
    <x v="0"/>
    <x v="0"/>
    <x v="0"/>
  </r>
  <r>
    <x v="411"/>
    <x v="300"/>
    <x v="6"/>
    <x v="7"/>
    <x v="0"/>
    <n v="48"/>
    <x v="411"/>
    <x v="26"/>
    <x v="3"/>
    <x v="0"/>
    <x v="1"/>
    <x v="0"/>
    <x v="0"/>
    <x v="0"/>
  </r>
  <r>
    <x v="412"/>
    <x v="86"/>
    <x v="1"/>
    <x v="15"/>
    <x v="0"/>
    <n v="26"/>
    <x v="333"/>
    <x v="62"/>
    <x v="4"/>
    <x v="1"/>
    <x v="1"/>
    <x v="0"/>
    <x v="0"/>
    <x v="0"/>
  </r>
  <r>
    <x v="413"/>
    <x v="301"/>
    <x v="9"/>
    <x v="31"/>
    <x v="0"/>
    <n v="46"/>
    <x v="412"/>
    <x v="31"/>
    <x v="1"/>
    <x v="4"/>
    <x v="1"/>
    <x v="0"/>
    <x v="0"/>
    <x v="0"/>
  </r>
  <r>
    <x v="414"/>
    <x v="302"/>
    <x v="2"/>
    <x v="14"/>
    <x v="1"/>
    <n v="24"/>
    <x v="413"/>
    <x v="9"/>
    <x v="3"/>
    <x v="1"/>
    <x v="1"/>
    <x v="0"/>
    <x v="0"/>
    <x v="0"/>
  </r>
  <r>
    <x v="415"/>
    <x v="303"/>
    <x v="0"/>
    <x v="27"/>
    <x v="1"/>
    <n v="40"/>
    <x v="414"/>
    <x v="50"/>
    <x v="4"/>
    <x v="2"/>
    <x v="0"/>
    <x v="0"/>
    <x v="0"/>
    <x v="0"/>
  </r>
  <r>
    <x v="416"/>
    <x v="304"/>
    <x v="5"/>
    <x v="32"/>
    <x v="0"/>
    <n v="43"/>
    <x v="415"/>
    <x v="43"/>
    <x v="3"/>
    <x v="2"/>
    <x v="0"/>
    <x v="0"/>
    <x v="0"/>
    <x v="0"/>
  </r>
  <r>
    <x v="417"/>
    <x v="305"/>
    <x v="9"/>
    <x v="39"/>
    <x v="1"/>
    <n v="38"/>
    <x v="416"/>
    <x v="53"/>
    <x v="1"/>
    <x v="2"/>
    <x v="0"/>
    <x v="0"/>
    <x v="0"/>
    <x v="0"/>
  </r>
  <r>
    <x v="418"/>
    <x v="20"/>
    <x v="2"/>
    <x v="8"/>
    <x v="1"/>
    <n v="37"/>
    <x v="417"/>
    <x v="6"/>
    <x v="0"/>
    <x v="4"/>
    <x v="1"/>
    <x v="0"/>
    <x v="0"/>
    <x v="0"/>
  </r>
  <r>
    <x v="419"/>
    <x v="306"/>
    <x v="8"/>
    <x v="24"/>
    <x v="1"/>
    <n v="52"/>
    <x v="418"/>
    <x v="20"/>
    <x v="3"/>
    <x v="2"/>
    <x v="0"/>
    <x v="0"/>
    <x v="0"/>
    <x v="0"/>
  </r>
  <r>
    <x v="420"/>
    <x v="76"/>
    <x v="2"/>
    <x v="2"/>
    <x v="1"/>
    <n v="35"/>
    <x v="419"/>
    <x v="64"/>
    <x v="2"/>
    <x v="0"/>
    <x v="0"/>
    <x v="0"/>
    <x v="0"/>
    <x v="0"/>
  </r>
  <r>
    <x v="421"/>
    <x v="307"/>
    <x v="7"/>
    <x v="19"/>
    <x v="0"/>
    <n v="44"/>
    <x v="420"/>
    <x v="29"/>
    <x v="1"/>
    <x v="2"/>
    <x v="1"/>
    <x v="0"/>
    <x v="0"/>
    <x v="0"/>
  </r>
  <r>
    <x v="422"/>
    <x v="55"/>
    <x v="1"/>
    <x v="12"/>
    <x v="1"/>
    <n v="41"/>
    <x v="421"/>
    <x v="9"/>
    <x v="3"/>
    <x v="0"/>
    <x v="1"/>
    <x v="0"/>
    <x v="0"/>
    <x v="0"/>
  </r>
  <r>
    <x v="423"/>
    <x v="308"/>
    <x v="2"/>
    <x v="2"/>
    <x v="0"/>
    <n v="28"/>
    <x v="422"/>
    <x v="18"/>
    <x v="3"/>
    <x v="0"/>
    <x v="1"/>
    <x v="0"/>
    <x v="0"/>
    <x v="0"/>
  </r>
  <r>
    <x v="424"/>
    <x v="309"/>
    <x v="9"/>
    <x v="44"/>
    <x v="1"/>
    <n v="46"/>
    <x v="423"/>
    <x v="24"/>
    <x v="0"/>
    <x v="3"/>
    <x v="1"/>
    <x v="1"/>
    <x v="1"/>
    <x v="41"/>
  </r>
  <r>
    <x v="425"/>
    <x v="8"/>
    <x v="2"/>
    <x v="38"/>
    <x v="1"/>
    <n v="56"/>
    <x v="424"/>
    <x v="32"/>
    <x v="0"/>
    <x v="4"/>
    <x v="0"/>
    <x v="0"/>
    <x v="0"/>
    <x v="0"/>
  </r>
  <r>
    <x v="426"/>
    <x v="33"/>
    <x v="2"/>
    <x v="8"/>
    <x v="0"/>
    <n v="36"/>
    <x v="425"/>
    <x v="44"/>
    <x v="1"/>
    <x v="0"/>
    <x v="1"/>
    <x v="0"/>
    <x v="0"/>
    <x v="0"/>
  </r>
  <r>
    <x v="427"/>
    <x v="310"/>
    <x v="7"/>
    <x v="42"/>
    <x v="1"/>
    <n v="30"/>
    <x v="426"/>
    <x v="17"/>
    <x v="4"/>
    <x v="1"/>
    <x v="0"/>
    <x v="0"/>
    <x v="0"/>
    <x v="0"/>
  </r>
  <r>
    <x v="428"/>
    <x v="311"/>
    <x v="1"/>
    <x v="11"/>
    <x v="1"/>
    <n v="42"/>
    <x v="427"/>
    <x v="17"/>
    <x v="3"/>
    <x v="3"/>
    <x v="0"/>
    <x v="0"/>
    <x v="0"/>
    <x v="0"/>
  </r>
  <r>
    <x v="429"/>
    <x v="245"/>
    <x v="0"/>
    <x v="25"/>
    <x v="1"/>
    <n v="47"/>
    <x v="428"/>
    <x v="65"/>
    <x v="2"/>
    <x v="2"/>
    <x v="0"/>
    <x v="1"/>
    <x v="5"/>
    <x v="42"/>
  </r>
  <r>
    <x v="430"/>
    <x v="168"/>
    <x v="0"/>
    <x v="0"/>
    <x v="1"/>
    <n v="54"/>
    <x v="429"/>
    <x v="37"/>
    <x v="0"/>
    <x v="2"/>
    <x v="1"/>
    <x v="0"/>
    <x v="0"/>
    <x v="0"/>
  </r>
  <r>
    <x v="431"/>
    <x v="232"/>
    <x v="8"/>
    <x v="22"/>
    <x v="1"/>
    <n v="53"/>
    <x v="430"/>
    <x v="41"/>
    <x v="4"/>
    <x v="2"/>
    <x v="0"/>
    <x v="0"/>
    <x v="0"/>
    <x v="0"/>
  </r>
  <r>
    <x v="432"/>
    <x v="312"/>
    <x v="0"/>
    <x v="5"/>
    <x v="1"/>
    <n v="48"/>
    <x v="431"/>
    <x v="41"/>
    <x v="0"/>
    <x v="4"/>
    <x v="0"/>
    <x v="0"/>
    <x v="0"/>
    <x v="0"/>
  </r>
  <r>
    <x v="433"/>
    <x v="138"/>
    <x v="3"/>
    <x v="9"/>
    <x v="0"/>
    <n v="41"/>
    <x v="432"/>
    <x v="27"/>
    <x v="4"/>
    <x v="2"/>
    <x v="0"/>
    <x v="0"/>
    <x v="0"/>
    <x v="0"/>
  </r>
  <r>
    <x v="434"/>
    <x v="313"/>
    <x v="7"/>
    <x v="23"/>
    <x v="1"/>
    <n v="30"/>
    <x v="433"/>
    <x v="60"/>
    <x v="0"/>
    <x v="4"/>
    <x v="1"/>
    <x v="1"/>
    <x v="5"/>
    <x v="43"/>
  </r>
  <r>
    <x v="435"/>
    <x v="314"/>
    <x v="3"/>
    <x v="9"/>
    <x v="1"/>
    <n v="55"/>
    <x v="434"/>
    <x v="57"/>
    <x v="4"/>
    <x v="3"/>
    <x v="1"/>
    <x v="1"/>
    <x v="7"/>
    <x v="44"/>
  </r>
  <r>
    <x v="436"/>
    <x v="42"/>
    <x v="8"/>
    <x v="24"/>
    <x v="1"/>
    <n v="26"/>
    <x v="435"/>
    <x v="33"/>
    <x v="2"/>
    <x v="3"/>
    <x v="0"/>
    <x v="0"/>
    <x v="0"/>
    <x v="0"/>
  </r>
  <r>
    <x v="437"/>
    <x v="142"/>
    <x v="5"/>
    <x v="32"/>
    <x v="0"/>
    <n v="30"/>
    <x v="436"/>
    <x v="4"/>
    <x v="3"/>
    <x v="3"/>
    <x v="1"/>
    <x v="0"/>
    <x v="0"/>
    <x v="0"/>
  </r>
  <r>
    <x v="438"/>
    <x v="140"/>
    <x v="6"/>
    <x v="13"/>
    <x v="0"/>
    <n v="37"/>
    <x v="437"/>
    <x v="50"/>
    <x v="3"/>
    <x v="0"/>
    <x v="0"/>
    <x v="0"/>
    <x v="0"/>
    <x v="0"/>
  </r>
  <r>
    <x v="439"/>
    <x v="315"/>
    <x v="1"/>
    <x v="15"/>
    <x v="1"/>
    <n v="50"/>
    <x v="438"/>
    <x v="60"/>
    <x v="2"/>
    <x v="0"/>
    <x v="1"/>
    <x v="0"/>
    <x v="0"/>
    <x v="0"/>
  </r>
  <r>
    <x v="440"/>
    <x v="316"/>
    <x v="5"/>
    <x v="32"/>
    <x v="1"/>
    <n v="33"/>
    <x v="439"/>
    <x v="13"/>
    <x v="4"/>
    <x v="2"/>
    <x v="0"/>
    <x v="0"/>
    <x v="0"/>
    <x v="0"/>
  </r>
  <r>
    <x v="441"/>
    <x v="201"/>
    <x v="4"/>
    <x v="4"/>
    <x v="1"/>
    <n v="22"/>
    <x v="440"/>
    <x v="24"/>
    <x v="4"/>
    <x v="3"/>
    <x v="1"/>
    <x v="0"/>
    <x v="0"/>
    <x v="0"/>
  </r>
  <r>
    <x v="442"/>
    <x v="317"/>
    <x v="9"/>
    <x v="28"/>
    <x v="0"/>
    <n v="28"/>
    <x v="441"/>
    <x v="35"/>
    <x v="0"/>
    <x v="3"/>
    <x v="1"/>
    <x v="0"/>
    <x v="0"/>
    <x v="0"/>
  </r>
  <r>
    <x v="443"/>
    <x v="56"/>
    <x v="4"/>
    <x v="37"/>
    <x v="0"/>
    <n v="52"/>
    <x v="442"/>
    <x v="1"/>
    <x v="3"/>
    <x v="0"/>
    <x v="1"/>
    <x v="0"/>
    <x v="0"/>
    <x v="0"/>
  </r>
  <r>
    <x v="444"/>
    <x v="318"/>
    <x v="9"/>
    <x v="39"/>
    <x v="1"/>
    <n v="32"/>
    <x v="443"/>
    <x v="46"/>
    <x v="2"/>
    <x v="2"/>
    <x v="1"/>
    <x v="0"/>
    <x v="0"/>
    <x v="0"/>
  </r>
  <r>
    <x v="445"/>
    <x v="319"/>
    <x v="5"/>
    <x v="18"/>
    <x v="1"/>
    <n v="39"/>
    <x v="444"/>
    <x v="65"/>
    <x v="1"/>
    <x v="0"/>
    <x v="0"/>
    <x v="0"/>
    <x v="0"/>
    <x v="0"/>
  </r>
  <r>
    <x v="446"/>
    <x v="289"/>
    <x v="8"/>
    <x v="22"/>
    <x v="1"/>
    <n v="38"/>
    <x v="445"/>
    <x v="29"/>
    <x v="4"/>
    <x v="0"/>
    <x v="1"/>
    <x v="0"/>
    <x v="0"/>
    <x v="0"/>
  </r>
  <r>
    <x v="447"/>
    <x v="320"/>
    <x v="1"/>
    <x v="15"/>
    <x v="1"/>
    <n v="45"/>
    <x v="446"/>
    <x v="57"/>
    <x v="0"/>
    <x v="1"/>
    <x v="1"/>
    <x v="0"/>
    <x v="0"/>
    <x v="0"/>
  </r>
  <r>
    <x v="448"/>
    <x v="211"/>
    <x v="3"/>
    <x v="40"/>
    <x v="0"/>
    <n v="38"/>
    <x v="447"/>
    <x v="51"/>
    <x v="1"/>
    <x v="1"/>
    <x v="1"/>
    <x v="0"/>
    <x v="0"/>
    <x v="0"/>
  </r>
  <r>
    <x v="449"/>
    <x v="321"/>
    <x v="7"/>
    <x v="19"/>
    <x v="0"/>
    <n v="24"/>
    <x v="448"/>
    <x v="44"/>
    <x v="2"/>
    <x v="3"/>
    <x v="1"/>
    <x v="0"/>
    <x v="0"/>
    <x v="0"/>
  </r>
  <r>
    <x v="450"/>
    <x v="322"/>
    <x v="7"/>
    <x v="23"/>
    <x v="1"/>
    <n v="36"/>
    <x v="449"/>
    <x v="9"/>
    <x v="0"/>
    <x v="3"/>
    <x v="0"/>
    <x v="0"/>
    <x v="0"/>
    <x v="0"/>
  </r>
  <r>
    <x v="451"/>
    <x v="262"/>
    <x v="7"/>
    <x v="42"/>
    <x v="0"/>
    <n v="43"/>
    <x v="450"/>
    <x v="50"/>
    <x v="1"/>
    <x v="1"/>
    <x v="1"/>
    <x v="0"/>
    <x v="0"/>
    <x v="0"/>
  </r>
  <r>
    <x v="452"/>
    <x v="96"/>
    <x v="3"/>
    <x v="40"/>
    <x v="1"/>
    <n v="43"/>
    <x v="451"/>
    <x v="20"/>
    <x v="2"/>
    <x v="4"/>
    <x v="1"/>
    <x v="0"/>
    <x v="0"/>
    <x v="0"/>
  </r>
  <r>
    <x v="453"/>
    <x v="24"/>
    <x v="7"/>
    <x v="10"/>
    <x v="0"/>
    <n v="32"/>
    <x v="452"/>
    <x v="65"/>
    <x v="3"/>
    <x v="1"/>
    <x v="1"/>
    <x v="0"/>
    <x v="0"/>
    <x v="0"/>
  </r>
  <r>
    <x v="454"/>
    <x v="323"/>
    <x v="7"/>
    <x v="42"/>
    <x v="1"/>
    <n v="22"/>
    <x v="453"/>
    <x v="61"/>
    <x v="0"/>
    <x v="4"/>
    <x v="0"/>
    <x v="0"/>
    <x v="0"/>
    <x v="0"/>
  </r>
  <r>
    <x v="455"/>
    <x v="76"/>
    <x v="4"/>
    <x v="36"/>
    <x v="1"/>
    <n v="42"/>
    <x v="454"/>
    <x v="50"/>
    <x v="3"/>
    <x v="2"/>
    <x v="0"/>
    <x v="0"/>
    <x v="0"/>
    <x v="0"/>
  </r>
  <r>
    <x v="456"/>
    <x v="324"/>
    <x v="9"/>
    <x v="31"/>
    <x v="1"/>
    <n v="28"/>
    <x v="455"/>
    <x v="61"/>
    <x v="4"/>
    <x v="4"/>
    <x v="1"/>
    <x v="0"/>
    <x v="0"/>
    <x v="0"/>
  </r>
  <r>
    <x v="457"/>
    <x v="264"/>
    <x v="6"/>
    <x v="13"/>
    <x v="0"/>
    <n v="40"/>
    <x v="456"/>
    <x v="47"/>
    <x v="2"/>
    <x v="3"/>
    <x v="0"/>
    <x v="0"/>
    <x v="0"/>
    <x v="0"/>
  </r>
  <r>
    <x v="458"/>
    <x v="262"/>
    <x v="8"/>
    <x v="24"/>
    <x v="1"/>
    <n v="56"/>
    <x v="457"/>
    <x v="63"/>
    <x v="3"/>
    <x v="3"/>
    <x v="0"/>
    <x v="0"/>
    <x v="0"/>
    <x v="0"/>
  </r>
  <r>
    <x v="459"/>
    <x v="325"/>
    <x v="9"/>
    <x v="43"/>
    <x v="0"/>
    <n v="39"/>
    <x v="458"/>
    <x v="41"/>
    <x v="3"/>
    <x v="1"/>
    <x v="1"/>
    <x v="0"/>
    <x v="0"/>
    <x v="0"/>
  </r>
  <r>
    <x v="460"/>
    <x v="326"/>
    <x v="4"/>
    <x v="37"/>
    <x v="1"/>
    <n v="32"/>
    <x v="459"/>
    <x v="66"/>
    <x v="4"/>
    <x v="0"/>
    <x v="0"/>
    <x v="0"/>
    <x v="0"/>
    <x v="0"/>
  </r>
  <r>
    <x v="461"/>
    <x v="327"/>
    <x v="7"/>
    <x v="42"/>
    <x v="1"/>
    <n v="52"/>
    <x v="460"/>
    <x v="59"/>
    <x v="2"/>
    <x v="3"/>
    <x v="1"/>
    <x v="0"/>
    <x v="0"/>
    <x v="0"/>
  </r>
  <r>
    <x v="462"/>
    <x v="328"/>
    <x v="7"/>
    <x v="26"/>
    <x v="0"/>
    <n v="31"/>
    <x v="461"/>
    <x v="30"/>
    <x v="3"/>
    <x v="4"/>
    <x v="0"/>
    <x v="1"/>
    <x v="3"/>
    <x v="45"/>
  </r>
  <r>
    <x v="463"/>
    <x v="324"/>
    <x v="8"/>
    <x v="22"/>
    <x v="0"/>
    <n v="34"/>
    <x v="462"/>
    <x v="48"/>
    <x v="3"/>
    <x v="2"/>
    <x v="0"/>
    <x v="0"/>
    <x v="0"/>
    <x v="0"/>
  </r>
  <r>
    <x v="464"/>
    <x v="329"/>
    <x v="2"/>
    <x v="2"/>
    <x v="1"/>
    <n v="24"/>
    <x v="463"/>
    <x v="68"/>
    <x v="1"/>
    <x v="1"/>
    <x v="0"/>
    <x v="0"/>
    <x v="0"/>
    <x v="0"/>
  </r>
  <r>
    <x v="465"/>
    <x v="330"/>
    <x v="9"/>
    <x v="43"/>
    <x v="0"/>
    <n v="45"/>
    <x v="464"/>
    <x v="67"/>
    <x v="4"/>
    <x v="4"/>
    <x v="0"/>
    <x v="0"/>
    <x v="0"/>
    <x v="0"/>
  </r>
  <r>
    <x v="466"/>
    <x v="331"/>
    <x v="8"/>
    <x v="20"/>
    <x v="1"/>
    <n v="49"/>
    <x v="465"/>
    <x v="7"/>
    <x v="4"/>
    <x v="1"/>
    <x v="0"/>
    <x v="0"/>
    <x v="0"/>
    <x v="0"/>
  </r>
  <r>
    <x v="467"/>
    <x v="332"/>
    <x v="3"/>
    <x v="40"/>
    <x v="1"/>
    <n v="25"/>
    <x v="466"/>
    <x v="3"/>
    <x v="3"/>
    <x v="4"/>
    <x v="1"/>
    <x v="0"/>
    <x v="0"/>
    <x v="0"/>
  </r>
  <r>
    <x v="468"/>
    <x v="333"/>
    <x v="9"/>
    <x v="28"/>
    <x v="1"/>
    <n v="42"/>
    <x v="467"/>
    <x v="15"/>
    <x v="1"/>
    <x v="0"/>
    <x v="0"/>
    <x v="0"/>
    <x v="0"/>
    <x v="0"/>
  </r>
  <r>
    <x v="469"/>
    <x v="152"/>
    <x v="5"/>
    <x v="35"/>
    <x v="1"/>
    <n v="48"/>
    <x v="468"/>
    <x v="33"/>
    <x v="3"/>
    <x v="4"/>
    <x v="1"/>
    <x v="0"/>
    <x v="0"/>
    <x v="0"/>
  </r>
  <r>
    <x v="470"/>
    <x v="194"/>
    <x v="7"/>
    <x v="23"/>
    <x v="0"/>
    <n v="56"/>
    <x v="469"/>
    <x v="5"/>
    <x v="2"/>
    <x v="1"/>
    <x v="1"/>
    <x v="0"/>
    <x v="0"/>
    <x v="0"/>
  </r>
  <r>
    <x v="471"/>
    <x v="320"/>
    <x v="2"/>
    <x v="17"/>
    <x v="1"/>
    <n v="24"/>
    <x v="470"/>
    <x v="13"/>
    <x v="4"/>
    <x v="3"/>
    <x v="0"/>
    <x v="0"/>
    <x v="0"/>
    <x v="0"/>
  </r>
  <r>
    <x v="472"/>
    <x v="42"/>
    <x v="9"/>
    <x v="28"/>
    <x v="0"/>
    <n v="21"/>
    <x v="471"/>
    <x v="2"/>
    <x v="4"/>
    <x v="0"/>
    <x v="0"/>
    <x v="0"/>
    <x v="0"/>
    <x v="0"/>
  </r>
  <r>
    <x v="473"/>
    <x v="209"/>
    <x v="8"/>
    <x v="20"/>
    <x v="1"/>
    <n v="22"/>
    <x v="472"/>
    <x v="11"/>
    <x v="3"/>
    <x v="3"/>
    <x v="0"/>
    <x v="0"/>
    <x v="0"/>
    <x v="0"/>
  </r>
  <r>
    <x v="474"/>
    <x v="334"/>
    <x v="0"/>
    <x v="27"/>
    <x v="1"/>
    <n v="40"/>
    <x v="473"/>
    <x v="13"/>
    <x v="3"/>
    <x v="2"/>
    <x v="0"/>
    <x v="0"/>
    <x v="0"/>
    <x v="0"/>
  </r>
  <r>
    <x v="475"/>
    <x v="306"/>
    <x v="0"/>
    <x v="5"/>
    <x v="0"/>
    <n v="32"/>
    <x v="474"/>
    <x v="49"/>
    <x v="4"/>
    <x v="2"/>
    <x v="1"/>
    <x v="1"/>
    <x v="7"/>
    <x v="46"/>
  </r>
  <r>
    <x v="476"/>
    <x v="25"/>
    <x v="8"/>
    <x v="22"/>
    <x v="0"/>
    <n v="49"/>
    <x v="475"/>
    <x v="44"/>
    <x v="4"/>
    <x v="0"/>
    <x v="1"/>
    <x v="0"/>
    <x v="0"/>
    <x v="0"/>
  </r>
  <r>
    <x v="477"/>
    <x v="335"/>
    <x v="4"/>
    <x v="41"/>
    <x v="1"/>
    <n v="27"/>
    <x v="476"/>
    <x v="30"/>
    <x v="1"/>
    <x v="1"/>
    <x v="0"/>
    <x v="0"/>
    <x v="0"/>
    <x v="0"/>
  </r>
  <r>
    <x v="478"/>
    <x v="320"/>
    <x v="6"/>
    <x v="21"/>
    <x v="1"/>
    <n v="45"/>
    <x v="477"/>
    <x v="43"/>
    <x v="0"/>
    <x v="0"/>
    <x v="0"/>
    <x v="0"/>
    <x v="0"/>
    <x v="0"/>
  </r>
  <r>
    <x v="479"/>
    <x v="308"/>
    <x v="4"/>
    <x v="36"/>
    <x v="0"/>
    <n v="40"/>
    <x v="478"/>
    <x v="7"/>
    <x v="0"/>
    <x v="2"/>
    <x v="1"/>
    <x v="0"/>
    <x v="0"/>
    <x v="0"/>
  </r>
  <r>
    <x v="480"/>
    <x v="251"/>
    <x v="1"/>
    <x v="15"/>
    <x v="1"/>
    <n v="49"/>
    <x v="479"/>
    <x v="50"/>
    <x v="1"/>
    <x v="4"/>
    <x v="0"/>
    <x v="1"/>
    <x v="3"/>
    <x v="47"/>
  </r>
  <r>
    <x v="481"/>
    <x v="186"/>
    <x v="9"/>
    <x v="28"/>
    <x v="0"/>
    <n v="26"/>
    <x v="480"/>
    <x v="25"/>
    <x v="4"/>
    <x v="2"/>
    <x v="0"/>
    <x v="0"/>
    <x v="0"/>
    <x v="0"/>
  </r>
  <r>
    <x v="482"/>
    <x v="176"/>
    <x v="4"/>
    <x v="4"/>
    <x v="0"/>
    <n v="25"/>
    <x v="481"/>
    <x v="30"/>
    <x v="2"/>
    <x v="2"/>
    <x v="0"/>
    <x v="0"/>
    <x v="0"/>
    <x v="0"/>
  </r>
  <r>
    <x v="483"/>
    <x v="165"/>
    <x v="1"/>
    <x v="11"/>
    <x v="0"/>
    <n v="54"/>
    <x v="482"/>
    <x v="32"/>
    <x v="2"/>
    <x v="2"/>
    <x v="1"/>
    <x v="0"/>
    <x v="0"/>
    <x v="0"/>
  </r>
  <r>
    <x v="484"/>
    <x v="236"/>
    <x v="4"/>
    <x v="37"/>
    <x v="1"/>
    <n v="47"/>
    <x v="483"/>
    <x v="12"/>
    <x v="1"/>
    <x v="1"/>
    <x v="0"/>
    <x v="0"/>
    <x v="0"/>
    <x v="0"/>
  </r>
  <r>
    <x v="485"/>
    <x v="336"/>
    <x v="4"/>
    <x v="41"/>
    <x v="1"/>
    <n v="57"/>
    <x v="484"/>
    <x v="60"/>
    <x v="4"/>
    <x v="1"/>
    <x v="0"/>
    <x v="0"/>
    <x v="0"/>
    <x v="0"/>
  </r>
  <r>
    <x v="486"/>
    <x v="337"/>
    <x v="3"/>
    <x v="9"/>
    <x v="0"/>
    <n v="45"/>
    <x v="485"/>
    <x v="19"/>
    <x v="3"/>
    <x v="4"/>
    <x v="0"/>
    <x v="0"/>
    <x v="0"/>
    <x v="0"/>
  </r>
  <r>
    <x v="487"/>
    <x v="84"/>
    <x v="5"/>
    <x v="32"/>
    <x v="0"/>
    <n v="46"/>
    <x v="486"/>
    <x v="12"/>
    <x v="3"/>
    <x v="2"/>
    <x v="1"/>
    <x v="0"/>
    <x v="0"/>
    <x v="0"/>
  </r>
  <r>
    <x v="488"/>
    <x v="338"/>
    <x v="5"/>
    <x v="35"/>
    <x v="0"/>
    <n v="36"/>
    <x v="487"/>
    <x v="40"/>
    <x v="2"/>
    <x v="4"/>
    <x v="1"/>
    <x v="0"/>
    <x v="0"/>
    <x v="0"/>
  </r>
  <r>
    <x v="489"/>
    <x v="105"/>
    <x v="3"/>
    <x v="3"/>
    <x v="0"/>
    <n v="40"/>
    <x v="488"/>
    <x v="62"/>
    <x v="4"/>
    <x v="2"/>
    <x v="0"/>
    <x v="0"/>
    <x v="0"/>
    <x v="0"/>
  </r>
  <r>
    <x v="490"/>
    <x v="266"/>
    <x v="0"/>
    <x v="25"/>
    <x v="1"/>
    <n v="40"/>
    <x v="489"/>
    <x v="28"/>
    <x v="2"/>
    <x v="3"/>
    <x v="0"/>
    <x v="0"/>
    <x v="0"/>
    <x v="0"/>
  </r>
  <r>
    <x v="491"/>
    <x v="267"/>
    <x v="4"/>
    <x v="41"/>
    <x v="1"/>
    <n v="49"/>
    <x v="490"/>
    <x v="11"/>
    <x v="0"/>
    <x v="2"/>
    <x v="0"/>
    <x v="0"/>
    <x v="0"/>
    <x v="0"/>
  </r>
  <r>
    <x v="492"/>
    <x v="339"/>
    <x v="1"/>
    <x v="11"/>
    <x v="1"/>
    <n v="53"/>
    <x v="491"/>
    <x v="33"/>
    <x v="0"/>
    <x v="4"/>
    <x v="1"/>
    <x v="0"/>
    <x v="0"/>
    <x v="0"/>
  </r>
  <r>
    <x v="493"/>
    <x v="10"/>
    <x v="6"/>
    <x v="21"/>
    <x v="1"/>
    <n v="32"/>
    <x v="492"/>
    <x v="69"/>
    <x v="4"/>
    <x v="1"/>
    <x v="0"/>
    <x v="0"/>
    <x v="0"/>
    <x v="0"/>
  </r>
  <r>
    <x v="494"/>
    <x v="98"/>
    <x v="7"/>
    <x v="19"/>
    <x v="0"/>
    <n v="24"/>
    <x v="493"/>
    <x v="57"/>
    <x v="1"/>
    <x v="2"/>
    <x v="0"/>
    <x v="0"/>
    <x v="0"/>
    <x v="0"/>
  </r>
  <r>
    <x v="495"/>
    <x v="340"/>
    <x v="3"/>
    <x v="9"/>
    <x v="0"/>
    <n v="28"/>
    <x v="494"/>
    <x v="1"/>
    <x v="2"/>
    <x v="2"/>
    <x v="1"/>
    <x v="1"/>
    <x v="1"/>
    <x v="48"/>
  </r>
  <r>
    <x v="496"/>
    <x v="341"/>
    <x v="4"/>
    <x v="37"/>
    <x v="1"/>
    <n v="51"/>
    <x v="495"/>
    <x v="31"/>
    <x v="1"/>
    <x v="1"/>
    <x v="0"/>
    <x v="0"/>
    <x v="0"/>
    <x v="0"/>
  </r>
  <r>
    <x v="497"/>
    <x v="317"/>
    <x v="9"/>
    <x v="39"/>
    <x v="1"/>
    <n v="39"/>
    <x v="496"/>
    <x v="1"/>
    <x v="0"/>
    <x v="4"/>
    <x v="1"/>
    <x v="0"/>
    <x v="0"/>
    <x v="0"/>
  </r>
  <r>
    <x v="498"/>
    <x v="164"/>
    <x v="4"/>
    <x v="36"/>
    <x v="1"/>
    <n v="35"/>
    <x v="497"/>
    <x v="11"/>
    <x v="2"/>
    <x v="2"/>
    <x v="0"/>
    <x v="0"/>
    <x v="0"/>
    <x v="0"/>
  </r>
  <r>
    <x v="499"/>
    <x v="342"/>
    <x v="1"/>
    <x v="1"/>
    <x v="1"/>
    <n v="51"/>
    <x v="498"/>
    <x v="41"/>
    <x v="0"/>
    <x v="2"/>
    <x v="1"/>
    <x v="0"/>
    <x v="0"/>
    <x v="0"/>
  </r>
</pivotCacheRecords>
</file>

<file path=xl/pivotCache/pivotCacheRecords3.xml><?xml version="1.0" encoding="utf-8"?>
<pivotCacheRecords xmlns="http://schemas.openxmlformats.org/spreadsheetml/2006/main" xmlns:r="http://schemas.openxmlformats.org/officeDocument/2006/relationships" count="500">
  <r>
    <s v="EMP00001"/>
    <s v="Ram Gupta"/>
    <x v="0"/>
    <x v="0"/>
    <n v="5.2"/>
    <n v="46289"/>
    <n v="555468"/>
    <n v="9.5"/>
    <n v="52769"/>
    <n v="608237"/>
    <x v="0"/>
    <n v="13.5"/>
  </r>
  <r>
    <s v="EMP00002"/>
    <s v="Rohan Rao"/>
    <x v="1"/>
    <x v="1"/>
    <n v="7.4"/>
    <n v="40280"/>
    <n v="483360"/>
    <n v="14.3"/>
    <n v="69120"/>
    <n v="552480"/>
    <x v="1"/>
    <n v="4.7"/>
  </r>
  <r>
    <s v="EMP00003"/>
    <s v="Yash Upadhyay"/>
    <x v="1"/>
    <x v="1"/>
    <n v="3"/>
    <n v="56893"/>
    <n v="682716"/>
    <n v="11.9"/>
    <n v="81243"/>
    <n v="763959"/>
    <x v="2"/>
    <n v="4.8"/>
  </r>
  <r>
    <s v="EMP00004"/>
    <s v="Aryan Joshi"/>
    <x v="2"/>
    <x v="2"/>
    <n v="3.9"/>
    <n v="64421"/>
    <n v="773052"/>
    <n v="14.9"/>
    <n v="115185"/>
    <n v="888237"/>
    <x v="3"/>
    <n v="12.4"/>
  </r>
  <r>
    <s v="EMP00005"/>
    <s v="Karan Kapoor"/>
    <x v="3"/>
    <x v="3"/>
    <n v="6.7"/>
    <n v="75052"/>
    <n v="900624"/>
    <n v="14"/>
    <n v="126087"/>
    <n v="1026711"/>
    <x v="2"/>
    <n v="8.3000000000000007"/>
  </r>
  <r>
    <s v="EMP00006"/>
    <s v="Vikram Malhotra"/>
    <x v="4"/>
    <x v="4"/>
    <n v="1.7"/>
    <n v="44361"/>
    <n v="532332"/>
    <n v="6.4"/>
    <n v="34069"/>
    <n v="566401"/>
    <x v="4"/>
    <n v="11.7"/>
  </r>
  <r>
    <s v="EMP00007"/>
    <s v="Rinku Verma"/>
    <x v="0"/>
    <x v="5"/>
    <n v="1.3"/>
    <n v="53203"/>
    <n v="638436"/>
    <n v="11.7"/>
    <n v="74697"/>
    <n v="713133"/>
    <x v="5"/>
    <n v="5.4"/>
  </r>
  <r>
    <s v="EMP00008"/>
    <s v="Karan Gupta"/>
    <x v="5"/>
    <x v="6"/>
    <n v="6.9"/>
    <n v="58512"/>
    <n v="702144"/>
    <n v="14"/>
    <n v="98300"/>
    <n v="800444"/>
    <x v="2"/>
    <n v="8.3000000000000007"/>
  </r>
  <r>
    <s v="EMP00009"/>
    <s v="Nisha Joshi"/>
    <x v="6"/>
    <x v="7"/>
    <n v="5.9"/>
    <n v="76520"/>
    <n v="918240"/>
    <n v="5.9"/>
    <n v="54176"/>
    <n v="972416"/>
    <x v="4"/>
    <n v="8.1999999999999993"/>
  </r>
  <r>
    <s v="EMP00010"/>
    <s v="Yash Malhotra"/>
    <x v="2"/>
    <x v="2"/>
    <n v="5"/>
    <n v="49417"/>
    <n v="593004"/>
    <n v="10.5"/>
    <n v="62265"/>
    <n v="655269"/>
    <x v="5"/>
    <n v="13.6"/>
  </r>
  <r>
    <s v="EMP00011"/>
    <s v="Arun Singh"/>
    <x v="2"/>
    <x v="8"/>
    <n v="7.1"/>
    <n v="58021"/>
    <n v="696252"/>
    <n v="13.1"/>
    <n v="91209"/>
    <n v="787461"/>
    <x v="5"/>
    <n v="14.3"/>
  </r>
  <r>
    <s v="EMP00012"/>
    <s v="Neha Tiwari"/>
    <x v="3"/>
    <x v="9"/>
    <n v="5.4"/>
    <n v="102341"/>
    <n v="1228092"/>
    <n v="11"/>
    <n v="135090"/>
    <n v="1363182"/>
    <x v="4"/>
    <n v="5.9"/>
  </r>
  <r>
    <s v="EMP00013"/>
    <s v="Aryan Rao"/>
    <x v="7"/>
    <x v="10"/>
    <n v="6.1"/>
    <n v="62718"/>
    <n v="752616"/>
    <n v="8.5"/>
    <n v="63972"/>
    <n v="816588"/>
    <x v="2"/>
    <n v="8.6999999999999993"/>
  </r>
  <r>
    <s v="EMP00014"/>
    <s v="Ishita Kumar"/>
    <x v="1"/>
    <x v="11"/>
    <n v="3.3"/>
    <n v="75447"/>
    <n v="905364"/>
    <n v="7.6"/>
    <n v="68808"/>
    <n v="974172"/>
    <x v="0"/>
    <n v="13.8"/>
  </r>
  <r>
    <s v="EMP00015"/>
    <s v="Anshul Patel"/>
    <x v="1"/>
    <x v="12"/>
    <n v="6.5"/>
    <n v="48033"/>
    <n v="576396"/>
    <n v="17.3"/>
    <n v="99717"/>
    <n v="676113"/>
    <x v="0"/>
    <n v="9.1999999999999993"/>
  </r>
  <r>
    <s v="EMP00016"/>
    <s v="Rahul Khan"/>
    <x v="6"/>
    <x v="13"/>
    <n v="1.1000000000000001"/>
    <n v="89348"/>
    <n v="1072176"/>
    <n v="4.0999999999999996"/>
    <n v="43959"/>
    <n v="1116135"/>
    <x v="1"/>
    <n v="9.6999999999999993"/>
  </r>
  <r>
    <s v="EMP00017"/>
    <s v="Vihaan Gupta"/>
    <x v="1"/>
    <x v="1"/>
    <n v="4.8"/>
    <n v="112012"/>
    <n v="1344144"/>
    <n v="5.9"/>
    <n v="79304"/>
    <n v="1423448"/>
    <x v="5"/>
    <n v="9.1999999999999993"/>
  </r>
  <r>
    <s v="EMP00018"/>
    <s v="Neha Khan"/>
    <x v="2"/>
    <x v="14"/>
    <n v="7.7"/>
    <n v="122646"/>
    <n v="1471752"/>
    <n v="16"/>
    <n v="235480"/>
    <n v="1707232"/>
    <x v="4"/>
    <n v="6.3"/>
  </r>
  <r>
    <s v="EMP00019"/>
    <s v="Rohan Kumar"/>
    <x v="1"/>
    <x v="15"/>
    <n v="2.1"/>
    <n v="107818"/>
    <n v="1293816"/>
    <n v="12.1"/>
    <n v="156552"/>
    <n v="1450368"/>
    <x v="1"/>
    <n v="8.9"/>
  </r>
  <r>
    <s v="EMP00020"/>
    <s v="Ananya Kapoor"/>
    <x v="3"/>
    <x v="16"/>
    <n v="2.2999999999999998"/>
    <n v="30552"/>
    <n v="366624"/>
    <n v="12.2"/>
    <n v="44728"/>
    <n v="411352"/>
    <x v="2"/>
    <n v="8.4"/>
  </r>
  <r>
    <s v="EMP00021"/>
    <s v="Arjun Sethi"/>
    <x v="2"/>
    <x v="17"/>
    <n v="1.4"/>
    <n v="38322"/>
    <n v="459864"/>
    <n v="12.7"/>
    <n v="58403"/>
    <n v="518267"/>
    <x v="4"/>
    <n v="13.9"/>
  </r>
  <r>
    <s v="EMP00022"/>
    <s v="Diya Khan"/>
    <x v="0"/>
    <x v="5"/>
    <n v="2.4"/>
    <n v="100063"/>
    <n v="1200756"/>
    <n v="17.100000000000001"/>
    <n v="205329"/>
    <n v="1406085"/>
    <x v="1"/>
    <n v="13.9"/>
  </r>
  <r>
    <s v="EMP00023"/>
    <s v="Meera Malhotra"/>
    <x v="1"/>
    <x v="12"/>
    <n v="5.5"/>
    <n v="121447"/>
    <n v="1457364"/>
    <n v="16.2"/>
    <n v="236093"/>
    <n v="1693457"/>
    <x v="2"/>
    <n v="8.4"/>
  </r>
  <r>
    <s v="EMP00024"/>
    <s v="Arjun Tiwari"/>
    <x v="3"/>
    <x v="9"/>
    <n v="5"/>
    <n v="57451"/>
    <n v="689412"/>
    <n v="12.6"/>
    <n v="86866"/>
    <n v="776278"/>
    <x v="4"/>
    <n v="3.4"/>
  </r>
  <r>
    <s v="EMP00025"/>
    <s v="Arjun Singh"/>
    <x v="5"/>
    <x v="18"/>
    <n v="5.3"/>
    <n v="28942"/>
    <n v="347304"/>
    <n v="14.6"/>
    <n v="50706"/>
    <n v="398010"/>
    <x v="1"/>
    <n v="4.8"/>
  </r>
  <r>
    <s v="EMP00026"/>
    <s v="Ishita Khan"/>
    <x v="7"/>
    <x v="19"/>
    <n v="7"/>
    <n v="95391"/>
    <n v="1144692"/>
    <n v="6.3"/>
    <n v="72116"/>
    <n v="1216808"/>
    <x v="0"/>
    <n v="9.4"/>
  </r>
  <r>
    <s v="EMP00027"/>
    <s v="Ishita Sethi"/>
    <x v="8"/>
    <x v="20"/>
    <n v="1.3"/>
    <n v="89953"/>
    <n v="1079436"/>
    <n v="11.5"/>
    <n v="124135"/>
    <n v="1203571"/>
    <x v="0"/>
    <n v="5"/>
  </r>
  <r>
    <s v="EMP00028"/>
    <s v="Sara Nair"/>
    <x v="6"/>
    <x v="21"/>
    <n v="2.9"/>
    <n v="74438"/>
    <n v="893256"/>
    <n v="7"/>
    <n v="62528"/>
    <n v="955784"/>
    <x v="1"/>
    <n v="9.8000000000000007"/>
  </r>
  <r>
    <s v="EMP00029"/>
    <s v="Vihaan Gupta"/>
    <x v="8"/>
    <x v="22"/>
    <n v="3.2"/>
    <n v="123448"/>
    <n v="1481376"/>
    <n v="16.100000000000001"/>
    <n v="238502"/>
    <n v="1719878"/>
    <x v="1"/>
    <n v="3"/>
  </r>
  <r>
    <s v="EMP00030"/>
    <s v="Sara Patel"/>
    <x v="7"/>
    <x v="23"/>
    <n v="2.7"/>
    <n v="46373"/>
    <n v="556476"/>
    <n v="11.9"/>
    <n v="66221"/>
    <n v="622697"/>
    <x v="1"/>
    <n v="8.6999999999999993"/>
  </r>
  <r>
    <s v="EMP00031"/>
    <s v="Ananya Singh"/>
    <x v="2"/>
    <x v="14"/>
    <n v="2.8"/>
    <n v="100132"/>
    <n v="1201584"/>
    <n v="16.100000000000001"/>
    <n v="193455"/>
    <n v="1395039"/>
    <x v="5"/>
    <n v="11"/>
  </r>
  <r>
    <s v="EMP00032"/>
    <s v="Pooja Sethi"/>
    <x v="1"/>
    <x v="1"/>
    <n v="5.9"/>
    <n v="81269"/>
    <n v="975228"/>
    <n v="16.5"/>
    <n v="160913"/>
    <n v="1136141"/>
    <x v="5"/>
    <n v="11.2"/>
  </r>
  <r>
    <s v="EMP00033"/>
    <s v="Aditya Khan"/>
    <x v="7"/>
    <x v="10"/>
    <n v="3.5"/>
    <n v="28282"/>
    <n v="339384"/>
    <n v="17.8"/>
    <n v="60410"/>
    <n v="399794"/>
    <x v="5"/>
    <n v="6"/>
  </r>
  <r>
    <s v="EMP00034"/>
    <s v="Rohan Mehta"/>
    <x v="8"/>
    <x v="24"/>
    <n v="2.2999999999999998"/>
    <n v="48289"/>
    <n v="579468"/>
    <n v="4.5999999999999996"/>
    <n v="26656"/>
    <n v="606124"/>
    <x v="2"/>
    <n v="10.4"/>
  </r>
  <r>
    <s v="EMP00035"/>
    <s v="Aman Sethi"/>
    <x v="7"/>
    <x v="19"/>
    <n v="7.1"/>
    <n v="34572"/>
    <n v="414864"/>
    <n v="7"/>
    <n v="29040"/>
    <n v="443904"/>
    <x v="2"/>
    <n v="4.0999999999999996"/>
  </r>
  <r>
    <s v="EMP00036"/>
    <s v="Arjun Dwivedi"/>
    <x v="1"/>
    <x v="15"/>
    <n v="6.8"/>
    <n v="52356"/>
    <n v="628272"/>
    <n v="16.5"/>
    <n v="103665"/>
    <n v="731937"/>
    <x v="1"/>
    <n v="8.6999999999999993"/>
  </r>
  <r>
    <s v="EMP00037"/>
    <s v="Aman Dwivedi"/>
    <x v="0"/>
    <x v="25"/>
    <n v="1.4"/>
    <n v="60271"/>
    <n v="723252"/>
    <n v="15.9"/>
    <n v="114997"/>
    <n v="838249"/>
    <x v="4"/>
    <n v="3.4"/>
  </r>
  <r>
    <s v="EMP00038"/>
    <s v="Rahul Tiwari"/>
    <x v="5"/>
    <x v="18"/>
    <n v="1.2"/>
    <n v="102085"/>
    <n v="1225020"/>
    <n v="6.6"/>
    <n v="80851"/>
    <n v="1305871"/>
    <x v="0"/>
    <n v="7.1"/>
  </r>
  <r>
    <s v="EMP00039"/>
    <s v="Aryan Mehta"/>
    <x v="2"/>
    <x v="17"/>
    <n v="4.8"/>
    <n v="79876"/>
    <n v="958512"/>
    <n v="14.9"/>
    <n v="142818"/>
    <n v="1101330"/>
    <x v="0"/>
    <n v="6.2"/>
  </r>
  <r>
    <s v="EMP00040"/>
    <s v="Aman Gupta"/>
    <x v="8"/>
    <x v="24"/>
    <n v="2.6"/>
    <n v="109416"/>
    <n v="1312992"/>
    <n v="11"/>
    <n v="144429"/>
    <n v="1457421"/>
    <x v="3"/>
    <n v="9.1999999999999993"/>
  </r>
  <r>
    <s v="EMP00041"/>
    <s v="Vikram Kapoor"/>
    <x v="0"/>
    <x v="5"/>
    <n v="4.8"/>
    <n v="45361"/>
    <n v="544332"/>
    <n v="5.5"/>
    <n v="29938"/>
    <n v="574270"/>
    <x v="3"/>
    <n v="13.2"/>
  </r>
  <r>
    <s v="EMP00042"/>
    <s v="Arun Mishra"/>
    <x v="0"/>
    <x v="25"/>
    <n v="6"/>
    <n v="85433"/>
    <n v="1025196"/>
    <n v="17.2"/>
    <n v="176334"/>
    <n v="1201530"/>
    <x v="4"/>
    <n v="5.8"/>
  </r>
  <r>
    <s v="EMP00043"/>
    <s v="Ananya Kumar"/>
    <x v="2"/>
    <x v="8"/>
    <n v="4.4000000000000004"/>
    <n v="114951"/>
    <n v="1379412"/>
    <n v="7.9"/>
    <n v="108974"/>
    <n v="1488386"/>
    <x v="4"/>
    <n v="14"/>
  </r>
  <r>
    <s v="EMP00044"/>
    <s v="Meera Dwivedi"/>
    <x v="2"/>
    <x v="2"/>
    <n v="6"/>
    <n v="63697"/>
    <n v="764364"/>
    <n v="5.5"/>
    <n v="42040"/>
    <n v="806404"/>
    <x v="3"/>
    <n v="12.4"/>
  </r>
  <r>
    <s v="EMP00045"/>
    <s v="Kabir Singh"/>
    <x v="7"/>
    <x v="26"/>
    <n v="2.1"/>
    <n v="92032"/>
    <n v="1104384"/>
    <n v="13"/>
    <n v="143570"/>
    <n v="1247954"/>
    <x v="4"/>
    <n v="14.2"/>
  </r>
  <r>
    <s v="EMP00046"/>
    <s v="Lakhan Kumar"/>
    <x v="0"/>
    <x v="27"/>
    <n v="7.7"/>
    <n v="71719"/>
    <n v="860628"/>
    <n v="14.5"/>
    <n v="124791"/>
    <n v="985419"/>
    <x v="5"/>
    <n v="7.1"/>
  </r>
  <r>
    <s v="EMP00047"/>
    <s v="Aarav Gupta"/>
    <x v="2"/>
    <x v="17"/>
    <n v="3"/>
    <n v="101519"/>
    <n v="1218228"/>
    <n v="15.1"/>
    <n v="183952"/>
    <n v="1402180"/>
    <x v="3"/>
    <n v="4.5999999999999996"/>
  </r>
  <r>
    <s v="EMP00048"/>
    <s v="Aryan Nair"/>
    <x v="0"/>
    <x v="25"/>
    <n v="1.2"/>
    <n v="100420"/>
    <n v="1205040"/>
    <n v="10.9"/>
    <n v="131349"/>
    <n v="1336389"/>
    <x v="5"/>
    <n v="11.2"/>
  </r>
  <r>
    <s v="EMP00049"/>
    <s v="Rohan Rao"/>
    <x v="9"/>
    <x v="28"/>
    <n v="7.3"/>
    <n v="74898"/>
    <n v="898776"/>
    <n v="12.4"/>
    <n v="111448"/>
    <n v="1010224"/>
    <x v="0"/>
    <n v="7.8"/>
  </r>
  <r>
    <s v="EMP00050"/>
    <s v="Divyansh Patel"/>
    <x v="0"/>
    <x v="29"/>
    <n v="5.0999999999999996"/>
    <n v="49299"/>
    <n v="591588"/>
    <n v="9.1999999999999993"/>
    <n v="54426"/>
    <n v="646014"/>
    <x v="3"/>
    <n v="4.2"/>
  </r>
  <r>
    <s v="EMP00051"/>
    <s v="Karan Rao"/>
    <x v="6"/>
    <x v="13"/>
    <n v="3.1"/>
    <n v="115806"/>
    <n v="1389672"/>
    <n v="17.399999999999999"/>
    <n v="241803"/>
    <n v="1631475"/>
    <x v="5"/>
    <n v="9.1"/>
  </r>
  <r>
    <s v="EMP00052"/>
    <s v="Ishita Joshi"/>
    <x v="2"/>
    <x v="17"/>
    <n v="7.3"/>
    <n v="89694"/>
    <n v="1076328"/>
    <n v="13.5"/>
    <n v="145304"/>
    <n v="1221632"/>
    <x v="5"/>
    <n v="8"/>
  </r>
  <r>
    <s v="EMP00053"/>
    <s v="Govind Joshi"/>
    <x v="8"/>
    <x v="24"/>
    <n v="5.2"/>
    <n v="31101"/>
    <n v="373212"/>
    <n v="10.199999999999999"/>
    <n v="38068"/>
    <n v="411280"/>
    <x v="3"/>
    <n v="13.6"/>
  </r>
  <r>
    <s v="EMP00054"/>
    <s v="Anshul Chauhan"/>
    <x v="6"/>
    <x v="7"/>
    <n v="4.5999999999999996"/>
    <n v="74025"/>
    <n v="888300"/>
    <n v="6.4"/>
    <n v="56851"/>
    <n v="945151"/>
    <x v="2"/>
    <n v="12.5"/>
  </r>
  <r>
    <s v="EMP00055"/>
    <s v="Aman Khan"/>
    <x v="6"/>
    <x v="7"/>
    <n v="4.8"/>
    <n v="51405"/>
    <n v="616860"/>
    <n v="9.6"/>
    <n v="59219"/>
    <n v="676079"/>
    <x v="5"/>
    <n v="5"/>
  </r>
  <r>
    <s v="EMP00056"/>
    <s v="Satyam Chauhan"/>
    <x v="5"/>
    <x v="30"/>
    <n v="4.2"/>
    <n v="85199"/>
    <n v="1022388"/>
    <n v="8.6999999999999993"/>
    <n v="88948"/>
    <n v="1111336"/>
    <x v="5"/>
    <n v="7.9"/>
  </r>
  <r>
    <s v="EMP00057"/>
    <s v="Sara Sharma"/>
    <x v="0"/>
    <x v="27"/>
    <n v="7.2"/>
    <n v="120901"/>
    <n v="1450812"/>
    <n v="17.399999999999999"/>
    <n v="252441"/>
    <n v="1703253"/>
    <x v="4"/>
    <n v="14.2"/>
  </r>
  <r>
    <s v="EMP00058"/>
    <s v="Vikram Tiwari"/>
    <x v="1"/>
    <x v="15"/>
    <n v="7"/>
    <n v="115062"/>
    <n v="1380744"/>
    <n v="17.899999999999999"/>
    <n v="247153"/>
    <n v="1627897"/>
    <x v="0"/>
    <n v="11.4"/>
  </r>
  <r>
    <s v="EMP00059"/>
    <s v="Govind Nair"/>
    <x v="4"/>
    <x v="4"/>
    <n v="2.1"/>
    <n v="68538"/>
    <n v="822456"/>
    <n v="10.8"/>
    <n v="88825"/>
    <n v="911281"/>
    <x v="2"/>
    <n v="7.6"/>
  </r>
  <r>
    <s v="EMP00060"/>
    <s v="Sara Malhotra"/>
    <x v="3"/>
    <x v="9"/>
    <n v="6.3"/>
    <n v="53144"/>
    <n v="637728"/>
    <n v="15.4"/>
    <n v="98210"/>
    <n v="735938"/>
    <x v="3"/>
    <n v="9.5"/>
  </r>
  <r>
    <s v="EMP00061"/>
    <s v="Meera Mehta"/>
    <x v="9"/>
    <x v="31"/>
    <n v="1.6"/>
    <n v="28053"/>
    <n v="336636"/>
    <n v="15.2"/>
    <n v="51169"/>
    <n v="387805"/>
    <x v="4"/>
    <n v="14.6"/>
  </r>
  <r>
    <s v="EMP00062"/>
    <s v="Govind Joshi"/>
    <x v="7"/>
    <x v="10"/>
    <n v="2.8"/>
    <n v="85954"/>
    <n v="1031448"/>
    <n v="9.6999999999999993"/>
    <n v="100050"/>
    <n v="1131498"/>
    <x v="4"/>
    <n v="13.9"/>
  </r>
  <r>
    <s v="EMP00063"/>
    <s v="Govind Dwivedi"/>
    <x v="1"/>
    <x v="12"/>
    <n v="4.5999999999999996"/>
    <n v="95561"/>
    <n v="1146732"/>
    <n v="7.8"/>
    <n v="89445"/>
    <n v="1236177"/>
    <x v="4"/>
    <n v="4"/>
  </r>
  <r>
    <s v="EMP00064"/>
    <s v="Aryan Sharma"/>
    <x v="3"/>
    <x v="3"/>
    <n v="5.2"/>
    <n v="54100"/>
    <n v="649200"/>
    <n v="10.1"/>
    <n v="65569"/>
    <n v="714769"/>
    <x v="4"/>
    <n v="12.7"/>
  </r>
  <r>
    <s v="EMP00065"/>
    <s v="Neha Upadhyay"/>
    <x v="5"/>
    <x v="32"/>
    <n v="2.6"/>
    <n v="82321"/>
    <n v="987852"/>
    <n v="6.2"/>
    <n v="61247"/>
    <n v="1049099"/>
    <x v="0"/>
    <n v="6.2"/>
  </r>
  <r>
    <s v="EMP00066"/>
    <s v="Anshul Sharma"/>
    <x v="7"/>
    <x v="10"/>
    <n v="5"/>
    <n v="47342"/>
    <n v="568104"/>
    <n v="15.9"/>
    <n v="90329"/>
    <n v="658433"/>
    <x v="4"/>
    <n v="13"/>
  </r>
  <r>
    <s v="EMP00067"/>
    <s v="Aditi Mishra"/>
    <x v="0"/>
    <x v="27"/>
    <n v="1.9"/>
    <n v="88889"/>
    <n v="1066668"/>
    <n v="5.5"/>
    <n v="58667"/>
    <n v="1125335"/>
    <x v="0"/>
    <n v="7.9"/>
  </r>
  <r>
    <s v="EMP00068"/>
    <s v="Rahul Mishra"/>
    <x v="7"/>
    <x v="19"/>
    <n v="2.5"/>
    <n v="115500"/>
    <n v="1386000"/>
    <n v="10.4"/>
    <n v="144144"/>
    <n v="1530144"/>
    <x v="2"/>
    <n v="11.9"/>
  </r>
  <r>
    <s v="EMP00069"/>
    <s v="Yash Patel"/>
    <x v="4"/>
    <x v="4"/>
    <n v="3"/>
    <n v="99810"/>
    <n v="1197720"/>
    <n v="4.3"/>
    <n v="51502"/>
    <n v="1249222"/>
    <x v="1"/>
    <n v="10.3"/>
  </r>
  <r>
    <s v="EMP00070"/>
    <s v="Pooja Rao"/>
    <x v="8"/>
    <x v="33"/>
    <n v="4.5999999999999996"/>
    <n v="96327"/>
    <n v="1155924"/>
    <n v="16.8"/>
    <n v="194195"/>
    <n v="1350119"/>
    <x v="2"/>
    <n v="7.9"/>
  </r>
  <r>
    <s v="EMP00071"/>
    <s v="Vihaan Tiwari"/>
    <x v="2"/>
    <x v="14"/>
    <n v="5.0999999999999996"/>
    <n v="63614"/>
    <n v="763368"/>
    <n v="6.5"/>
    <n v="49619"/>
    <n v="812987"/>
    <x v="1"/>
    <n v="9.6999999999999993"/>
  </r>
  <r>
    <s v="EMP00072"/>
    <s v="Rinku Kumar"/>
    <x v="1"/>
    <x v="1"/>
    <n v="5.2"/>
    <n v="78205"/>
    <n v="938460"/>
    <n v="10.6"/>
    <n v="99477"/>
    <n v="1037937"/>
    <x v="0"/>
    <n v="3.2"/>
  </r>
  <r>
    <s v="EMP00073"/>
    <s v="Yash Nair"/>
    <x v="7"/>
    <x v="19"/>
    <n v="4"/>
    <n v="99121"/>
    <n v="1189452"/>
    <n v="4.7"/>
    <n v="55904"/>
    <n v="1245356"/>
    <x v="2"/>
    <n v="3.8"/>
  </r>
  <r>
    <s v="EMP00074"/>
    <s v="Aarav Upadhyay"/>
    <x v="5"/>
    <x v="32"/>
    <n v="1.2"/>
    <n v="119163"/>
    <n v="1429956"/>
    <n v="8.4"/>
    <n v="120116"/>
    <n v="1550072"/>
    <x v="4"/>
    <n v="14"/>
  </r>
  <r>
    <s v="EMP00075"/>
    <s v="Karan Nair"/>
    <x v="6"/>
    <x v="34"/>
    <n v="4.4000000000000004"/>
    <n v="79116"/>
    <n v="949392"/>
    <n v="5.8"/>
    <n v="55065"/>
    <n v="1004457"/>
    <x v="5"/>
    <n v="5.6"/>
  </r>
  <r>
    <s v="EMP00076"/>
    <s v="Pooja Sharma"/>
    <x v="1"/>
    <x v="15"/>
    <n v="4.7"/>
    <n v="85125"/>
    <n v="1021500"/>
    <n v="12.2"/>
    <n v="124623"/>
    <n v="1146123"/>
    <x v="0"/>
    <n v="13.8"/>
  </r>
  <r>
    <s v="EMP00077"/>
    <s v="Satyam Mishra"/>
    <x v="6"/>
    <x v="7"/>
    <n v="2.5"/>
    <n v="44728"/>
    <n v="536736"/>
    <n v="8.1999999999999993"/>
    <n v="44012"/>
    <n v="580748"/>
    <x v="0"/>
    <n v="7.1"/>
  </r>
  <r>
    <s v="EMP00078"/>
    <s v="Karan Das"/>
    <x v="5"/>
    <x v="35"/>
    <n v="2.9"/>
    <n v="45786"/>
    <n v="549432"/>
    <n v="10.1"/>
    <n v="55493"/>
    <n v="604925"/>
    <x v="3"/>
    <n v="11.4"/>
  </r>
  <r>
    <s v="EMP00079"/>
    <s v="Yash Tiwari"/>
    <x v="9"/>
    <x v="28"/>
    <n v="4.0999999999999996"/>
    <n v="55742"/>
    <n v="668904"/>
    <n v="8"/>
    <n v="53512"/>
    <n v="722416"/>
    <x v="3"/>
    <n v="12.7"/>
  </r>
  <r>
    <s v="EMP00080"/>
    <s v="Pooja Sharma"/>
    <x v="3"/>
    <x v="9"/>
    <n v="4.9000000000000004"/>
    <n v="38735"/>
    <n v="464820"/>
    <n v="14.4"/>
    <n v="66934"/>
    <n v="531754"/>
    <x v="0"/>
    <n v="14.1"/>
  </r>
  <r>
    <s v="EMP00081"/>
    <s v="Aditi Sharma"/>
    <x v="1"/>
    <x v="1"/>
    <n v="7"/>
    <n v="113426"/>
    <n v="1361112"/>
    <n v="6.4"/>
    <n v="87111"/>
    <n v="1448223"/>
    <x v="5"/>
    <n v="12.5"/>
  </r>
  <r>
    <s v="EMP00082"/>
    <s v="Pooja Gupta"/>
    <x v="7"/>
    <x v="23"/>
    <n v="5.0999999999999996"/>
    <n v="44544"/>
    <n v="534528"/>
    <n v="14.6"/>
    <n v="78041"/>
    <n v="612569"/>
    <x v="2"/>
    <n v="12.6"/>
  </r>
  <r>
    <s v="EMP00083"/>
    <s v="Satyam Dwivedi"/>
    <x v="4"/>
    <x v="36"/>
    <n v="3.6"/>
    <n v="49992"/>
    <n v="599904"/>
    <n v="13.4"/>
    <n v="80387"/>
    <n v="680291"/>
    <x v="4"/>
    <n v="9.3000000000000007"/>
  </r>
  <r>
    <s v="EMP00084"/>
    <s v="Vikram Mehta"/>
    <x v="0"/>
    <x v="25"/>
    <n v="1.3"/>
    <n v="31365"/>
    <n v="376380"/>
    <n v="11.8"/>
    <n v="44413"/>
    <n v="420793"/>
    <x v="1"/>
    <n v="3.4"/>
  </r>
  <r>
    <s v="EMP00085"/>
    <s v="Rinku Rao"/>
    <x v="4"/>
    <x v="37"/>
    <n v="6.9"/>
    <n v="105607"/>
    <n v="1267284"/>
    <n v="16.8"/>
    <n v="212904"/>
    <n v="1480188"/>
    <x v="5"/>
    <n v="6.2"/>
  </r>
  <r>
    <s v="EMP00086"/>
    <s v="Riya Nair"/>
    <x v="0"/>
    <x v="29"/>
    <n v="7.3"/>
    <n v="73508"/>
    <n v="882096"/>
    <n v="6"/>
    <n v="52926"/>
    <n v="935022"/>
    <x v="2"/>
    <n v="8.3000000000000007"/>
  </r>
  <r>
    <s v="EMP00087"/>
    <s v="Ananya Nair"/>
    <x v="3"/>
    <x v="3"/>
    <n v="3"/>
    <n v="92251"/>
    <n v="1107012"/>
    <n v="17"/>
    <n v="188192"/>
    <n v="1295204"/>
    <x v="0"/>
    <n v="7.2"/>
  </r>
  <r>
    <s v="EMP00088"/>
    <s v="Rahul Khan"/>
    <x v="3"/>
    <x v="9"/>
    <n v="5.8"/>
    <n v="124180"/>
    <n v="1490160"/>
    <n v="5"/>
    <n v="74508"/>
    <n v="1564668"/>
    <x v="3"/>
    <n v="3.9"/>
  </r>
  <r>
    <s v="EMP00089"/>
    <s v="Vihaan Rao"/>
    <x v="4"/>
    <x v="37"/>
    <n v="1.1000000000000001"/>
    <n v="63179"/>
    <n v="758148"/>
    <n v="10.1"/>
    <n v="76573"/>
    <n v="834721"/>
    <x v="1"/>
    <n v="5.4"/>
  </r>
  <r>
    <s v="EMP00090"/>
    <s v="Satyam Malhotra"/>
    <x v="0"/>
    <x v="29"/>
    <n v="2.5"/>
    <n v="102691"/>
    <n v="1232292"/>
    <n v="13.8"/>
    <n v="170056"/>
    <n v="1402348"/>
    <x v="0"/>
    <n v="3.9"/>
  </r>
  <r>
    <s v="EMP00091"/>
    <s v="Rohan Kapoor"/>
    <x v="3"/>
    <x v="3"/>
    <n v="5.7"/>
    <n v="91904"/>
    <n v="1102848"/>
    <n v="6"/>
    <n v="66171"/>
    <n v="1169019"/>
    <x v="4"/>
    <n v="4.2"/>
  </r>
  <r>
    <s v="EMP00092"/>
    <s v="Rahul Joshi"/>
    <x v="2"/>
    <x v="38"/>
    <n v="1.5"/>
    <n v="29330"/>
    <n v="351960"/>
    <n v="4.3"/>
    <n v="15134"/>
    <n v="367094"/>
    <x v="0"/>
    <n v="9.6999999999999993"/>
  </r>
  <r>
    <s v="EMP00093"/>
    <s v="Rinku Sethi"/>
    <x v="0"/>
    <x v="25"/>
    <n v="1.5"/>
    <n v="59499"/>
    <n v="713988"/>
    <n v="5.0999999999999996"/>
    <n v="36413"/>
    <n v="750401"/>
    <x v="2"/>
    <n v="14.6"/>
  </r>
  <r>
    <s v="EMP00094"/>
    <s v="Aditya Rao"/>
    <x v="8"/>
    <x v="33"/>
    <n v="4.4000000000000004"/>
    <n v="57045"/>
    <n v="684540"/>
    <n v="13.3"/>
    <n v="91044"/>
    <n v="775584"/>
    <x v="5"/>
    <n v="10.199999999999999"/>
  </r>
  <r>
    <s v="EMP00095"/>
    <s v="Nisha Nair"/>
    <x v="2"/>
    <x v="8"/>
    <n v="1.5"/>
    <n v="97588"/>
    <n v="1171056"/>
    <n v="15.6"/>
    <n v="182685"/>
    <n v="1353741"/>
    <x v="4"/>
    <n v="8.9"/>
  </r>
  <r>
    <s v="EMP00096"/>
    <s v="Kabir Rao"/>
    <x v="1"/>
    <x v="11"/>
    <n v="4.7"/>
    <n v="68189"/>
    <n v="818268"/>
    <n v="6.7"/>
    <n v="54824"/>
    <n v="873092"/>
    <x v="2"/>
    <n v="13.2"/>
  </r>
  <r>
    <s v="EMP00097"/>
    <s v="Diya Joshi"/>
    <x v="0"/>
    <x v="25"/>
    <n v="1.7"/>
    <n v="118461"/>
    <n v="1421532"/>
    <n v="8.1"/>
    <n v="115144"/>
    <n v="1536676"/>
    <x v="1"/>
    <n v="4.4000000000000004"/>
  </r>
  <r>
    <s v="EMP00098"/>
    <s v="Meera Gupta"/>
    <x v="7"/>
    <x v="10"/>
    <n v="1.9"/>
    <n v="106222"/>
    <n v="1274664"/>
    <n v="14.5"/>
    <n v="184826"/>
    <n v="1459490"/>
    <x v="0"/>
    <n v="6.2"/>
  </r>
  <r>
    <s v="EMP00099"/>
    <s v="Aarav Mishra"/>
    <x v="7"/>
    <x v="26"/>
    <n v="5.7"/>
    <n v="67618"/>
    <n v="811416"/>
    <n v="8.1999999999999993"/>
    <n v="66536"/>
    <n v="877952"/>
    <x v="4"/>
    <n v="8"/>
  </r>
  <r>
    <s v="EMP00100"/>
    <s v="Rinku Kumar"/>
    <x v="9"/>
    <x v="39"/>
    <n v="1.5"/>
    <n v="66290"/>
    <n v="795480"/>
    <n v="16.600000000000001"/>
    <n v="132050"/>
    <n v="927530"/>
    <x v="0"/>
    <n v="11"/>
  </r>
  <r>
    <s v="EMP00101"/>
    <s v="Pooja Das"/>
    <x v="8"/>
    <x v="22"/>
    <n v="4.5999999999999996"/>
    <n v="89524"/>
    <n v="1074288"/>
    <n v="5.9"/>
    <n v="63383"/>
    <n v="1137671"/>
    <x v="2"/>
    <n v="6.8"/>
  </r>
  <r>
    <s v="EMP00102"/>
    <s v="Arun Verma"/>
    <x v="3"/>
    <x v="16"/>
    <n v="2.4"/>
    <n v="42953"/>
    <n v="515436"/>
    <n v="10.199999999999999"/>
    <n v="52574"/>
    <n v="568010"/>
    <x v="4"/>
    <n v="8.1"/>
  </r>
  <r>
    <s v="EMP00103"/>
    <s v="Aryan Upadhyay"/>
    <x v="6"/>
    <x v="34"/>
    <n v="7.1"/>
    <n v="47887"/>
    <n v="574644"/>
    <n v="16.399999999999999"/>
    <n v="94242"/>
    <n v="668886"/>
    <x v="4"/>
    <n v="12.5"/>
  </r>
  <r>
    <s v="EMP00104"/>
    <s v="Satyam Dwivedi"/>
    <x v="2"/>
    <x v="2"/>
    <n v="1.5"/>
    <n v="82548"/>
    <n v="990576"/>
    <n v="7.9"/>
    <n v="78256"/>
    <n v="1068832"/>
    <x v="3"/>
    <n v="13.9"/>
  </r>
  <r>
    <s v="EMP00105"/>
    <s v="Karan Upadhyay"/>
    <x v="4"/>
    <x v="36"/>
    <n v="2.8"/>
    <n v="66974"/>
    <n v="803688"/>
    <n v="13.9"/>
    <n v="111713"/>
    <n v="915401"/>
    <x v="5"/>
    <n v="12.9"/>
  </r>
  <r>
    <s v="EMP00106"/>
    <s v="Rohan Khan"/>
    <x v="6"/>
    <x v="7"/>
    <n v="5.4"/>
    <n v="109987"/>
    <n v="1319844"/>
    <n v="7.7"/>
    <n v="101628"/>
    <n v="1421472"/>
    <x v="5"/>
    <n v="5.7"/>
  </r>
  <r>
    <s v="EMP00107"/>
    <s v="Diya Sharma"/>
    <x v="0"/>
    <x v="25"/>
    <n v="1.6"/>
    <n v="37838"/>
    <n v="454056"/>
    <n v="7.9"/>
    <n v="35870"/>
    <n v="489926"/>
    <x v="0"/>
    <n v="11.6"/>
  </r>
  <r>
    <s v="EMP00108"/>
    <s v="Meera Mehta"/>
    <x v="6"/>
    <x v="34"/>
    <n v="7.4"/>
    <n v="58340"/>
    <n v="700080"/>
    <n v="9.1"/>
    <n v="63707"/>
    <n v="763787"/>
    <x v="5"/>
    <n v="7.9"/>
  </r>
  <r>
    <s v="EMP00109"/>
    <s v="Divyansh Joshi"/>
    <x v="8"/>
    <x v="22"/>
    <n v="1.1000000000000001"/>
    <n v="114662"/>
    <n v="1375944"/>
    <n v="9.5"/>
    <n v="130715"/>
    <n v="1506659"/>
    <x v="3"/>
    <n v="8.8000000000000007"/>
  </r>
  <r>
    <s v="EMP00110"/>
    <s v="Arjun Singh"/>
    <x v="6"/>
    <x v="13"/>
    <n v="4.8"/>
    <n v="46643"/>
    <n v="559716"/>
    <n v="15.4"/>
    <n v="86196"/>
    <n v="645912"/>
    <x v="4"/>
    <n v="13.1"/>
  </r>
  <r>
    <s v="EMP00111"/>
    <s v="Rinku Mehta"/>
    <x v="9"/>
    <x v="39"/>
    <n v="6.4"/>
    <n v="89433"/>
    <n v="1073196"/>
    <n v="6"/>
    <n v="64392"/>
    <n v="1137588"/>
    <x v="4"/>
    <n v="7.6"/>
  </r>
  <r>
    <s v="EMP00112"/>
    <s v="Aditi Nair"/>
    <x v="6"/>
    <x v="7"/>
    <n v="6.8"/>
    <n v="106385"/>
    <n v="1276620"/>
    <n v="7.4"/>
    <n v="94470"/>
    <n v="1371090"/>
    <x v="1"/>
    <n v="7.3"/>
  </r>
  <r>
    <s v="EMP00113"/>
    <s v="Arun Upadhyay"/>
    <x v="3"/>
    <x v="40"/>
    <n v="5.2"/>
    <n v="116381"/>
    <n v="1396572"/>
    <n v="12.1"/>
    <n v="168985"/>
    <n v="1565557"/>
    <x v="0"/>
    <n v="8.6999999999999993"/>
  </r>
  <r>
    <s v="EMP00114"/>
    <s v="Pooja Chauhan"/>
    <x v="4"/>
    <x v="41"/>
    <n v="7.3"/>
    <n v="50962"/>
    <n v="611544"/>
    <n v="7.8"/>
    <n v="47700"/>
    <n v="659244"/>
    <x v="1"/>
    <n v="6.8"/>
  </r>
  <r>
    <s v="EMP00115"/>
    <s v="Arun Sethi"/>
    <x v="8"/>
    <x v="24"/>
    <n v="2.9"/>
    <n v="111202"/>
    <n v="1334424"/>
    <n v="9.6999999999999993"/>
    <n v="129439"/>
    <n v="1463863"/>
    <x v="5"/>
    <n v="8"/>
  </r>
  <r>
    <s v="EMP00116"/>
    <s v="Govind Gupta"/>
    <x v="0"/>
    <x v="27"/>
    <n v="4"/>
    <n v="70081"/>
    <n v="840972"/>
    <n v="9.3000000000000007"/>
    <n v="78210"/>
    <n v="919182"/>
    <x v="1"/>
    <n v="9"/>
  </r>
  <r>
    <s v="EMP00117"/>
    <s v="Aditya Mishra"/>
    <x v="9"/>
    <x v="39"/>
    <n v="4.5"/>
    <n v="114846"/>
    <n v="1378152"/>
    <n v="9.6"/>
    <n v="132303"/>
    <n v="1510455"/>
    <x v="1"/>
    <n v="12.7"/>
  </r>
  <r>
    <s v="EMP00118"/>
    <s v="Ananya Malhotra"/>
    <x v="5"/>
    <x v="35"/>
    <n v="4.9000000000000004"/>
    <n v="70372"/>
    <n v="844464"/>
    <n v="17.5"/>
    <n v="147781"/>
    <n v="992245"/>
    <x v="0"/>
    <n v="4.0999999999999996"/>
  </r>
  <r>
    <s v="EMP00119"/>
    <s v="Rahul Kapoor"/>
    <x v="1"/>
    <x v="1"/>
    <n v="7.1"/>
    <n v="52586"/>
    <n v="631032"/>
    <n v="8.1999999999999993"/>
    <n v="51745"/>
    <n v="682777"/>
    <x v="3"/>
    <n v="4.2"/>
  </r>
  <r>
    <s v="EMP00120"/>
    <s v="Riya Kumar"/>
    <x v="4"/>
    <x v="37"/>
    <n v="5.5"/>
    <n v="63003"/>
    <n v="756036"/>
    <n v="16.8"/>
    <n v="127014"/>
    <n v="883050"/>
    <x v="0"/>
    <n v="14.5"/>
  </r>
  <r>
    <s v="EMP00121"/>
    <s v="Satyam Rao"/>
    <x v="2"/>
    <x v="14"/>
    <n v="7.4"/>
    <n v="110578"/>
    <n v="1326936"/>
    <n v="16.7"/>
    <n v="221598"/>
    <n v="1548534"/>
    <x v="2"/>
    <n v="5"/>
  </r>
  <r>
    <s v="EMP00122"/>
    <s v="Ishita Gupta"/>
    <x v="9"/>
    <x v="39"/>
    <n v="3.2"/>
    <n v="40217"/>
    <n v="482604"/>
    <n v="14.9"/>
    <n v="71908"/>
    <n v="554512"/>
    <x v="2"/>
    <n v="4.3"/>
  </r>
  <r>
    <s v="EMP00123"/>
    <s v="Rinku Khan"/>
    <x v="8"/>
    <x v="22"/>
    <n v="4.5"/>
    <n v="94698"/>
    <n v="1136376"/>
    <n v="17.899999999999999"/>
    <n v="203411"/>
    <n v="1339787"/>
    <x v="5"/>
    <n v="11.9"/>
  </r>
  <r>
    <s v="EMP00124"/>
    <s v="Aryan Malhotra"/>
    <x v="6"/>
    <x v="34"/>
    <n v="2.6"/>
    <n v="100255"/>
    <n v="1203060"/>
    <n v="6.8"/>
    <n v="81808"/>
    <n v="1284868"/>
    <x v="2"/>
    <n v="13.5"/>
  </r>
  <r>
    <s v="EMP00125"/>
    <s v="Vihaan Chauhan"/>
    <x v="7"/>
    <x v="42"/>
    <n v="4.5999999999999996"/>
    <n v="82387"/>
    <n v="988644"/>
    <n v="8"/>
    <n v="79092"/>
    <n v="1067736"/>
    <x v="5"/>
    <n v="11.3"/>
  </r>
  <r>
    <s v="EMP00126"/>
    <s v="Govind Sethi"/>
    <x v="2"/>
    <x v="2"/>
    <n v="1.2"/>
    <n v="104011"/>
    <n v="1248132"/>
    <n v="5.9"/>
    <n v="73640"/>
    <n v="1321772"/>
    <x v="5"/>
    <n v="7.8"/>
  </r>
  <r>
    <s v="EMP00127"/>
    <s v="Lakhan Mishra"/>
    <x v="9"/>
    <x v="43"/>
    <n v="4"/>
    <n v="100340"/>
    <n v="1204080"/>
    <n v="4.2"/>
    <n v="50571"/>
    <n v="1254651"/>
    <x v="5"/>
    <n v="9.9"/>
  </r>
  <r>
    <s v="EMP00128"/>
    <s v="Aditya Rao"/>
    <x v="6"/>
    <x v="34"/>
    <n v="5.0999999999999996"/>
    <n v="102946"/>
    <n v="1235352"/>
    <n v="6.7"/>
    <n v="82769"/>
    <n v="1318121"/>
    <x v="3"/>
    <n v="3.5"/>
  </r>
  <r>
    <s v="EMP00129"/>
    <s v="Govind Kumar"/>
    <x v="6"/>
    <x v="13"/>
    <n v="3.5"/>
    <n v="78604"/>
    <n v="943248"/>
    <n v="4.7"/>
    <n v="44333"/>
    <n v="987581"/>
    <x v="3"/>
    <n v="4.2"/>
  </r>
  <r>
    <s v="EMP00130"/>
    <s v="Karan Gupta"/>
    <x v="8"/>
    <x v="22"/>
    <n v="1.1000000000000001"/>
    <n v="71515"/>
    <n v="858180"/>
    <n v="12.7"/>
    <n v="108989"/>
    <n v="967169"/>
    <x v="3"/>
    <n v="5.3"/>
  </r>
  <r>
    <s v="EMP00131"/>
    <s v="Karan Kumar"/>
    <x v="8"/>
    <x v="22"/>
    <n v="6.1"/>
    <n v="81736"/>
    <n v="980832"/>
    <n v="9.1"/>
    <n v="89256"/>
    <n v="1070088"/>
    <x v="5"/>
    <n v="7.8"/>
  </r>
  <r>
    <s v="EMP00132"/>
    <s v="Aditya Verma"/>
    <x v="0"/>
    <x v="27"/>
    <n v="0.8"/>
    <n v="118794"/>
    <n v="1425528"/>
    <n v="4.8"/>
    <n v="68425"/>
    <n v="1493953"/>
    <x v="3"/>
    <n v="11"/>
  </r>
  <r>
    <s v="EMP00133"/>
    <s v="Satyam Verma"/>
    <x v="3"/>
    <x v="9"/>
    <n v="1.7"/>
    <n v="32705"/>
    <n v="392460"/>
    <n v="11.5"/>
    <n v="45133"/>
    <n v="437593"/>
    <x v="2"/>
    <n v="8.8000000000000007"/>
  </r>
  <r>
    <s v="EMP00134"/>
    <s v="Lakhan Gupta"/>
    <x v="7"/>
    <x v="26"/>
    <n v="2.9"/>
    <n v="40903"/>
    <n v="490836"/>
    <n v="8.9"/>
    <n v="43684"/>
    <n v="534520"/>
    <x v="3"/>
    <n v="8.5"/>
  </r>
  <r>
    <s v="EMP00135"/>
    <s v="Divyansh Singh"/>
    <x v="8"/>
    <x v="20"/>
    <n v="7.2"/>
    <n v="70516"/>
    <n v="846192"/>
    <n v="14.5"/>
    <n v="122698"/>
    <n v="968890"/>
    <x v="4"/>
    <n v="6.8"/>
  </r>
  <r>
    <s v="EMP00136"/>
    <s v="Rahul Nair"/>
    <x v="2"/>
    <x v="38"/>
    <n v="6.1"/>
    <n v="60007"/>
    <n v="720084"/>
    <n v="17.899999999999999"/>
    <n v="128895"/>
    <n v="848979"/>
    <x v="2"/>
    <n v="12.2"/>
  </r>
  <r>
    <s v="EMP00137"/>
    <s v="Karan Malhotra"/>
    <x v="4"/>
    <x v="36"/>
    <n v="6.9"/>
    <n v="107887"/>
    <n v="1294644"/>
    <n v="5.3"/>
    <n v="68616"/>
    <n v="1363260"/>
    <x v="3"/>
    <n v="3.6"/>
  </r>
  <r>
    <s v="EMP00138"/>
    <s v="Yash Khan"/>
    <x v="4"/>
    <x v="36"/>
    <n v="6.1"/>
    <n v="58433"/>
    <n v="701196"/>
    <n v="9"/>
    <n v="63108"/>
    <n v="764304"/>
    <x v="3"/>
    <n v="7"/>
  </r>
  <r>
    <s v="EMP00139"/>
    <s v="Riya Patel"/>
    <x v="8"/>
    <x v="24"/>
    <n v="4.5"/>
    <n v="116815"/>
    <n v="1401780"/>
    <n v="13.2"/>
    <n v="185035"/>
    <n v="1586815"/>
    <x v="2"/>
    <n v="15"/>
  </r>
  <r>
    <s v="EMP00140"/>
    <s v="Sara Khan"/>
    <x v="0"/>
    <x v="27"/>
    <n v="4.4000000000000004"/>
    <n v="111746"/>
    <n v="1340952"/>
    <n v="7.8"/>
    <n v="104594"/>
    <n v="1445546"/>
    <x v="5"/>
    <n v="4.3"/>
  </r>
  <r>
    <s v="EMP00141"/>
    <s v="Ishita Malhotra"/>
    <x v="8"/>
    <x v="24"/>
    <n v="2.2999999999999998"/>
    <n v="41979"/>
    <n v="503748"/>
    <n v="16.8"/>
    <n v="84630"/>
    <n v="588378"/>
    <x v="5"/>
    <n v="3.4"/>
  </r>
  <r>
    <s v="EMP00142"/>
    <s v="Aditya Khan"/>
    <x v="4"/>
    <x v="4"/>
    <n v="7.5"/>
    <n v="114275"/>
    <n v="1371300"/>
    <n v="14.2"/>
    <n v="194725"/>
    <n v="1566025"/>
    <x v="3"/>
    <n v="13.7"/>
  </r>
  <r>
    <s v="EMP00143"/>
    <s v="Satyam Kapoor"/>
    <x v="5"/>
    <x v="18"/>
    <n v="4.5"/>
    <n v="58162"/>
    <n v="697944"/>
    <n v="6.5"/>
    <n v="45366"/>
    <n v="743310"/>
    <x v="0"/>
    <n v="4.8"/>
  </r>
  <r>
    <s v="EMP00144"/>
    <s v="Anshul Singh"/>
    <x v="7"/>
    <x v="23"/>
    <n v="6.7"/>
    <n v="110242"/>
    <n v="1322904"/>
    <n v="15.5"/>
    <n v="205050"/>
    <n v="1527954"/>
    <x v="0"/>
    <n v="11.1"/>
  </r>
  <r>
    <s v="EMP00145"/>
    <s v="Aryan Verma"/>
    <x v="2"/>
    <x v="14"/>
    <n v="3.7"/>
    <n v="123991"/>
    <n v="1487892"/>
    <n v="8.6999999999999993"/>
    <n v="129447"/>
    <n v="1617339"/>
    <x v="5"/>
    <n v="3"/>
  </r>
  <r>
    <s v="EMP00146"/>
    <s v="Divyansh Mishra"/>
    <x v="2"/>
    <x v="38"/>
    <n v="5.5"/>
    <n v="45322"/>
    <n v="543864"/>
    <n v="6.7"/>
    <n v="36439"/>
    <n v="580303"/>
    <x v="4"/>
    <n v="4.7"/>
  </r>
  <r>
    <s v="EMP00147"/>
    <s v="Ram Tiwari"/>
    <x v="3"/>
    <x v="40"/>
    <n v="2.2999999999999998"/>
    <n v="66684"/>
    <n v="800208"/>
    <n v="14.6"/>
    <n v="116830"/>
    <n v="917038"/>
    <x v="4"/>
    <n v="7.3"/>
  </r>
  <r>
    <s v="EMP00148"/>
    <s v="Ram Malhotra"/>
    <x v="0"/>
    <x v="27"/>
    <n v="5.2"/>
    <n v="116647"/>
    <n v="1399764"/>
    <n v="16.7"/>
    <n v="233761"/>
    <n v="1633525"/>
    <x v="5"/>
    <n v="9.9"/>
  </r>
  <r>
    <s v="EMP00149"/>
    <s v="Riya Gupta"/>
    <x v="1"/>
    <x v="11"/>
    <n v="7.6"/>
    <n v="62663"/>
    <n v="751956"/>
    <n v="15.8"/>
    <n v="118809"/>
    <n v="870765"/>
    <x v="0"/>
    <n v="7.4"/>
  </r>
  <r>
    <s v="EMP00150"/>
    <s v="Nisha Gupta"/>
    <x v="8"/>
    <x v="24"/>
    <n v="3.5"/>
    <n v="111695"/>
    <n v="1340340"/>
    <n v="14.9"/>
    <n v="199711"/>
    <n v="1540051"/>
    <x v="5"/>
    <n v="3.8"/>
  </r>
  <r>
    <s v="EMP00151"/>
    <s v="Ishita Verma"/>
    <x v="7"/>
    <x v="10"/>
    <n v="4.0999999999999996"/>
    <n v="107964"/>
    <n v="1295568"/>
    <n v="13.7"/>
    <n v="177493"/>
    <n v="1473061"/>
    <x v="4"/>
    <n v="8.1999999999999993"/>
  </r>
  <r>
    <s v="EMP00152"/>
    <s v="Aditi Mehta"/>
    <x v="8"/>
    <x v="24"/>
    <n v="6.2"/>
    <n v="33943"/>
    <n v="407316"/>
    <n v="8.6999999999999993"/>
    <n v="35436"/>
    <n v="442752"/>
    <x v="2"/>
    <n v="7.5"/>
  </r>
  <r>
    <s v="EMP00153"/>
    <s v="Aditya Das"/>
    <x v="8"/>
    <x v="22"/>
    <n v="1.7"/>
    <n v="45781"/>
    <n v="549372"/>
    <n v="4.5999999999999996"/>
    <n v="25271"/>
    <n v="574643"/>
    <x v="3"/>
    <n v="4"/>
  </r>
  <r>
    <s v="EMP00154"/>
    <s v="Satyam Nair"/>
    <x v="3"/>
    <x v="9"/>
    <n v="6.6"/>
    <n v="92139"/>
    <n v="1105668"/>
    <n v="13"/>
    <n v="143737"/>
    <n v="1249405"/>
    <x v="4"/>
    <n v="5.5"/>
  </r>
  <r>
    <s v="EMP00155"/>
    <s v="Ishita Kapoor"/>
    <x v="2"/>
    <x v="2"/>
    <n v="2.8"/>
    <n v="86287"/>
    <n v="1035444"/>
    <n v="11.7"/>
    <n v="121147"/>
    <n v="1156591"/>
    <x v="0"/>
    <n v="6"/>
  </r>
  <r>
    <s v="EMP00156"/>
    <s v="Rohan Gupta"/>
    <x v="0"/>
    <x v="29"/>
    <n v="3.3"/>
    <n v="64160"/>
    <n v="769920"/>
    <n v="13.7"/>
    <n v="105479"/>
    <n v="875399"/>
    <x v="2"/>
    <n v="9.4"/>
  </r>
  <r>
    <s v="EMP00157"/>
    <s v="Ishita Kumar"/>
    <x v="8"/>
    <x v="22"/>
    <n v="7.2"/>
    <n v="71713"/>
    <n v="860556"/>
    <n v="9.6"/>
    <n v="82613"/>
    <n v="943169"/>
    <x v="5"/>
    <n v="6.2"/>
  </r>
  <r>
    <s v="EMP00158"/>
    <s v="Rohan Rao"/>
    <x v="4"/>
    <x v="36"/>
    <n v="5.4"/>
    <n v="104858"/>
    <n v="1258296"/>
    <n v="15.6"/>
    <n v="196294"/>
    <n v="1454590"/>
    <x v="0"/>
    <n v="10.5"/>
  </r>
  <r>
    <s v="EMP00159"/>
    <s v="Riya Khan"/>
    <x v="3"/>
    <x v="16"/>
    <n v="6.1"/>
    <n v="45038"/>
    <n v="540456"/>
    <n v="10.6"/>
    <n v="57288"/>
    <n v="597744"/>
    <x v="2"/>
    <n v="12.9"/>
  </r>
  <r>
    <s v="EMP00160"/>
    <s v="Divyansh Rao"/>
    <x v="9"/>
    <x v="28"/>
    <n v="7.6"/>
    <n v="74955"/>
    <n v="899460"/>
    <n v="13.2"/>
    <n v="118729"/>
    <n v="1018189"/>
    <x v="5"/>
    <n v="3.9"/>
  </r>
  <r>
    <s v="EMP00161"/>
    <s v="Aryan Nair"/>
    <x v="4"/>
    <x v="4"/>
    <n v="4.8"/>
    <n v="34868"/>
    <n v="418416"/>
    <n v="15.7"/>
    <n v="65691"/>
    <n v="484107"/>
    <x v="3"/>
    <n v="4.4000000000000004"/>
  </r>
  <r>
    <s v="EMP00162"/>
    <s v="Rahul Upadhyay"/>
    <x v="1"/>
    <x v="1"/>
    <n v="2.7"/>
    <n v="75453"/>
    <n v="905436"/>
    <n v="4.9000000000000004"/>
    <n v="44366"/>
    <n v="949802"/>
    <x v="5"/>
    <n v="13.8"/>
  </r>
  <r>
    <s v="EMP00163"/>
    <s v="Yash Sharma"/>
    <x v="0"/>
    <x v="27"/>
    <n v="1.9"/>
    <n v="67535"/>
    <n v="810420"/>
    <n v="9.6999999999999993"/>
    <n v="78611"/>
    <n v="889031"/>
    <x v="1"/>
    <n v="14.4"/>
  </r>
  <r>
    <s v="EMP00164"/>
    <s v="Rinku Das"/>
    <x v="5"/>
    <x v="35"/>
    <n v="6.5"/>
    <n v="92260"/>
    <n v="1107120"/>
    <n v="9.3000000000000007"/>
    <n v="102962"/>
    <n v="1210082"/>
    <x v="4"/>
    <n v="8.9"/>
  </r>
  <r>
    <s v="EMP00165"/>
    <s v="Kabir Dwivedi"/>
    <x v="0"/>
    <x v="0"/>
    <n v="7"/>
    <n v="44540"/>
    <n v="534480"/>
    <n v="10.7"/>
    <n v="57189"/>
    <n v="591669"/>
    <x v="2"/>
    <n v="4.5"/>
  </r>
  <r>
    <s v="EMP00166"/>
    <s v="Rahul Dwivedi"/>
    <x v="4"/>
    <x v="4"/>
    <n v="4.4000000000000004"/>
    <n v="87469"/>
    <n v="1049628"/>
    <n v="6.9"/>
    <n v="72424"/>
    <n v="1122052"/>
    <x v="5"/>
    <n v="7.2"/>
  </r>
  <r>
    <s v="EMP00167"/>
    <s v="Yash Rao"/>
    <x v="6"/>
    <x v="13"/>
    <n v="5.3"/>
    <n v="84370"/>
    <n v="1012440"/>
    <n v="16.100000000000001"/>
    <n v="163003"/>
    <n v="1175443"/>
    <x v="5"/>
    <n v="6.9"/>
  </r>
  <r>
    <s v="EMP00168"/>
    <s v="Ananya Tiwari"/>
    <x v="6"/>
    <x v="7"/>
    <n v="3.1"/>
    <n v="123631"/>
    <n v="1483572"/>
    <n v="12.2"/>
    <n v="180996"/>
    <n v="1664568"/>
    <x v="1"/>
    <n v="14.1"/>
  </r>
  <r>
    <s v="EMP00169"/>
    <s v="Vikram Sethi"/>
    <x v="6"/>
    <x v="7"/>
    <n v="6"/>
    <n v="118023"/>
    <n v="1416276"/>
    <n v="7.1"/>
    <n v="100556"/>
    <n v="1516832"/>
    <x v="2"/>
    <n v="11"/>
  </r>
  <r>
    <s v="EMP00170"/>
    <s v="Ram Kapoor"/>
    <x v="0"/>
    <x v="0"/>
    <n v="2.9"/>
    <n v="40656"/>
    <n v="487872"/>
    <n v="6.1"/>
    <n v="29760"/>
    <n v="517632"/>
    <x v="2"/>
    <n v="12.6"/>
  </r>
  <r>
    <s v="EMP00171"/>
    <s v="Vihaan Gupta"/>
    <x v="9"/>
    <x v="31"/>
    <n v="1.4"/>
    <n v="101620"/>
    <n v="1219440"/>
    <n v="15.3"/>
    <n v="186574"/>
    <n v="1406014"/>
    <x v="4"/>
    <n v="14.6"/>
  </r>
  <r>
    <s v="EMP00172"/>
    <s v="Meera Kapoor"/>
    <x v="6"/>
    <x v="7"/>
    <n v="4.5"/>
    <n v="106696"/>
    <n v="1280352"/>
    <n v="16.600000000000001"/>
    <n v="212538"/>
    <n v="1492890"/>
    <x v="2"/>
    <n v="6.7"/>
  </r>
  <r>
    <s v="EMP00173"/>
    <s v="Karan Gupta"/>
    <x v="0"/>
    <x v="5"/>
    <n v="2.2999999999999998"/>
    <n v="57392"/>
    <n v="688704"/>
    <n v="7.6"/>
    <n v="52342"/>
    <n v="741046"/>
    <x v="0"/>
    <n v="7.6"/>
  </r>
  <r>
    <s v="EMP00174"/>
    <s v="Divyansh Nair"/>
    <x v="3"/>
    <x v="40"/>
    <n v="1.3"/>
    <n v="57643"/>
    <n v="691716"/>
    <n v="13.8"/>
    <n v="95457"/>
    <n v="787173"/>
    <x v="2"/>
    <n v="12.9"/>
  </r>
  <r>
    <s v="EMP00175"/>
    <s v="Rinku Mehta"/>
    <x v="1"/>
    <x v="1"/>
    <n v="5.7"/>
    <n v="63818"/>
    <n v="765816"/>
    <n v="5.6"/>
    <n v="42886"/>
    <n v="808702"/>
    <x v="2"/>
    <n v="14.1"/>
  </r>
  <r>
    <s v="EMP00176"/>
    <s v="Govind Malhotra"/>
    <x v="3"/>
    <x v="40"/>
    <n v="6.1"/>
    <n v="102228"/>
    <n v="1226736"/>
    <n v="15.3"/>
    <n v="187691"/>
    <n v="1414427"/>
    <x v="2"/>
    <n v="3.9"/>
  </r>
  <r>
    <s v="EMP00177"/>
    <s v="Aditya Nair"/>
    <x v="0"/>
    <x v="25"/>
    <n v="1.8"/>
    <n v="56197"/>
    <n v="674364"/>
    <n v="7.2"/>
    <n v="48554"/>
    <n v="722918"/>
    <x v="5"/>
    <n v="14.5"/>
  </r>
  <r>
    <s v="EMP00178"/>
    <s v="Vihaan Upadhyay"/>
    <x v="8"/>
    <x v="24"/>
    <n v="4.3"/>
    <n v="122581"/>
    <n v="1470972"/>
    <n v="7.6"/>
    <n v="111794"/>
    <n v="1582766"/>
    <x v="1"/>
    <n v="3"/>
  </r>
  <r>
    <s v="EMP00179"/>
    <s v="Aditi Verma"/>
    <x v="4"/>
    <x v="41"/>
    <n v="6"/>
    <n v="108981"/>
    <n v="1307772"/>
    <n v="15.8"/>
    <n v="206628"/>
    <n v="1514400"/>
    <x v="5"/>
    <n v="8"/>
  </r>
  <r>
    <s v="EMP00180"/>
    <s v="Sara Khan"/>
    <x v="2"/>
    <x v="14"/>
    <n v="0.9"/>
    <n v="85939"/>
    <n v="1031268"/>
    <n v="5.6"/>
    <n v="57751"/>
    <n v="1089019"/>
    <x v="2"/>
    <n v="3.1"/>
  </r>
  <r>
    <s v="EMP00181"/>
    <s v="Meera Upadhyay"/>
    <x v="7"/>
    <x v="42"/>
    <n v="2.9"/>
    <n v="42534"/>
    <n v="510408"/>
    <n v="14.1"/>
    <n v="71968"/>
    <n v="582376"/>
    <x v="3"/>
    <n v="6.3"/>
  </r>
  <r>
    <s v="EMP00182"/>
    <s v="Aditi Sharma"/>
    <x v="8"/>
    <x v="24"/>
    <n v="3.3"/>
    <n v="106554"/>
    <n v="1278648"/>
    <n v="11.8"/>
    <n v="150880"/>
    <n v="1429528"/>
    <x v="5"/>
    <n v="14.2"/>
  </r>
  <r>
    <s v="EMP00183"/>
    <s v="Vihaan Gupta"/>
    <x v="7"/>
    <x v="26"/>
    <n v="4.9000000000000004"/>
    <n v="65938"/>
    <n v="791256"/>
    <n v="9.1999999999999993"/>
    <n v="72796"/>
    <n v="864052"/>
    <x v="3"/>
    <n v="5.4"/>
  </r>
  <r>
    <s v="EMP00184"/>
    <s v="Riya Rao"/>
    <x v="5"/>
    <x v="35"/>
    <n v="6.3"/>
    <n v="77834"/>
    <n v="934008"/>
    <n v="16.7"/>
    <n v="155979"/>
    <n v="1089987"/>
    <x v="4"/>
    <n v="8.8000000000000007"/>
  </r>
  <r>
    <s v="EMP00185"/>
    <s v="Aarav Das"/>
    <x v="1"/>
    <x v="11"/>
    <n v="7.3"/>
    <n v="85176"/>
    <n v="1022112"/>
    <n v="11.2"/>
    <n v="114477"/>
    <n v="1136589"/>
    <x v="2"/>
    <n v="13.2"/>
  </r>
  <r>
    <s v="EMP00186"/>
    <s v="Anshul Nair"/>
    <x v="0"/>
    <x v="29"/>
    <n v="3.2"/>
    <n v="120995"/>
    <n v="1451940"/>
    <n v="6.6"/>
    <n v="95828"/>
    <n v="1547768"/>
    <x v="2"/>
    <n v="5.5"/>
  </r>
  <r>
    <s v="EMP00187"/>
    <s v="Divyansh Dwivedi"/>
    <x v="2"/>
    <x v="2"/>
    <n v="4.0999999999999996"/>
    <n v="50527"/>
    <n v="606324"/>
    <n v="13.7"/>
    <n v="83066"/>
    <n v="689390"/>
    <x v="1"/>
    <n v="13.9"/>
  </r>
  <r>
    <s v="EMP00188"/>
    <s v="Sara Upadhyay"/>
    <x v="8"/>
    <x v="24"/>
    <n v="6.6"/>
    <n v="59891"/>
    <n v="718692"/>
    <n v="7.9"/>
    <n v="56777"/>
    <n v="775469"/>
    <x v="1"/>
    <n v="7.2"/>
  </r>
  <r>
    <s v="EMP00189"/>
    <s v="Vihaan Patel"/>
    <x v="6"/>
    <x v="13"/>
    <n v="3.9"/>
    <n v="57041"/>
    <n v="684492"/>
    <n v="11"/>
    <n v="75294"/>
    <n v="759786"/>
    <x v="0"/>
    <n v="3"/>
  </r>
  <r>
    <s v="EMP00190"/>
    <s v="Neha Kapoor"/>
    <x v="0"/>
    <x v="5"/>
    <n v="2"/>
    <n v="53415"/>
    <n v="640980"/>
    <n v="13.3"/>
    <n v="85250"/>
    <n v="726230"/>
    <x v="1"/>
    <n v="7.4"/>
  </r>
  <r>
    <s v="EMP00191"/>
    <s v="Rohan Patel"/>
    <x v="3"/>
    <x v="16"/>
    <n v="6.1"/>
    <n v="61550"/>
    <n v="738600"/>
    <n v="6"/>
    <n v="44316"/>
    <n v="782916"/>
    <x v="5"/>
    <n v="6.1"/>
  </r>
  <r>
    <s v="EMP00192"/>
    <s v="Lakhan Upadhyay"/>
    <x v="4"/>
    <x v="36"/>
    <n v="2.2000000000000002"/>
    <n v="88811"/>
    <n v="1065732"/>
    <n v="14.3"/>
    <n v="152400"/>
    <n v="1218132"/>
    <x v="3"/>
    <n v="8.1"/>
  </r>
  <r>
    <s v="EMP00193"/>
    <s v="Arjun Sethi"/>
    <x v="4"/>
    <x v="37"/>
    <n v="6.1"/>
    <n v="85640"/>
    <n v="1027680"/>
    <n v="14.4"/>
    <n v="147986"/>
    <n v="1175666"/>
    <x v="1"/>
    <n v="4.0999999999999996"/>
  </r>
  <r>
    <s v="EMP00194"/>
    <s v="Rahul Verma"/>
    <x v="8"/>
    <x v="24"/>
    <n v="7.1"/>
    <n v="74129"/>
    <n v="889548"/>
    <n v="6.8"/>
    <n v="60489"/>
    <n v="950037"/>
    <x v="0"/>
    <n v="7.1"/>
  </r>
  <r>
    <s v="EMP00195"/>
    <s v="Arun Mehta"/>
    <x v="2"/>
    <x v="14"/>
    <n v="7.1"/>
    <n v="76331"/>
    <n v="915972"/>
    <n v="11.3"/>
    <n v="103505"/>
    <n v="1019477"/>
    <x v="3"/>
    <n v="3"/>
  </r>
  <r>
    <s v="EMP00196"/>
    <s v="Divyansh Singh"/>
    <x v="0"/>
    <x v="0"/>
    <n v="1.2"/>
    <n v="100655"/>
    <n v="1207860"/>
    <n v="8.6999999999999993"/>
    <n v="105084"/>
    <n v="1312944"/>
    <x v="1"/>
    <n v="12.7"/>
  </r>
  <r>
    <s v="EMP00197"/>
    <s v="Aditi Das"/>
    <x v="8"/>
    <x v="20"/>
    <n v="2.1"/>
    <n v="47773"/>
    <n v="573276"/>
    <n v="4.5999999999999996"/>
    <n v="26371"/>
    <n v="599647"/>
    <x v="0"/>
    <n v="10.199999999999999"/>
  </r>
  <r>
    <s v="EMP00198"/>
    <s v="Ishita Das"/>
    <x v="0"/>
    <x v="29"/>
    <n v="5.8"/>
    <n v="33130"/>
    <n v="397560"/>
    <n v="10.7"/>
    <n v="42539"/>
    <n v="440099"/>
    <x v="2"/>
    <n v="9.8000000000000007"/>
  </r>
  <r>
    <s v="EMP00199"/>
    <s v="Sara Tiwari"/>
    <x v="8"/>
    <x v="20"/>
    <n v="4.5999999999999996"/>
    <n v="78779"/>
    <n v="945348"/>
    <n v="17.399999999999999"/>
    <n v="164491"/>
    <n v="1109839"/>
    <x v="0"/>
    <n v="9.3000000000000007"/>
  </r>
  <r>
    <s v="EMP00200"/>
    <s v="Riya Malhotra"/>
    <x v="4"/>
    <x v="41"/>
    <n v="4"/>
    <n v="40387"/>
    <n v="484644"/>
    <n v="9.4"/>
    <n v="45557"/>
    <n v="530201"/>
    <x v="2"/>
    <n v="7.6"/>
  </r>
  <r>
    <s v="EMP00201"/>
    <s v="Govind Kumar"/>
    <x v="2"/>
    <x v="38"/>
    <n v="6.8"/>
    <n v="104380"/>
    <n v="1252560"/>
    <n v="9.6999999999999993"/>
    <n v="121498"/>
    <n v="1374058"/>
    <x v="2"/>
    <n v="4.2"/>
  </r>
  <r>
    <s v="EMP00202"/>
    <s v="Arjun Mehta"/>
    <x v="3"/>
    <x v="40"/>
    <n v="1.1000000000000001"/>
    <n v="120908"/>
    <n v="1450896"/>
    <n v="16.899999999999999"/>
    <n v="245201"/>
    <n v="1696097"/>
    <x v="3"/>
    <n v="11.9"/>
  </r>
  <r>
    <s v="EMP00203"/>
    <s v="Anshul Nair"/>
    <x v="1"/>
    <x v="12"/>
    <n v="1.8"/>
    <n v="40249"/>
    <n v="482988"/>
    <n v="14.5"/>
    <n v="70033"/>
    <n v="553021"/>
    <x v="0"/>
    <n v="9.1999999999999993"/>
  </r>
  <r>
    <s v="EMP00204"/>
    <s v="Rohan Tiwari"/>
    <x v="1"/>
    <x v="11"/>
    <n v="4.3"/>
    <n v="51627"/>
    <n v="619524"/>
    <n v="7.5"/>
    <n v="46464"/>
    <n v="665988"/>
    <x v="3"/>
    <n v="9.9"/>
  </r>
  <r>
    <s v="EMP00205"/>
    <s v="Meera Gupta"/>
    <x v="8"/>
    <x v="20"/>
    <n v="6"/>
    <n v="38114"/>
    <n v="457368"/>
    <n v="8.6999999999999993"/>
    <n v="39791"/>
    <n v="497159"/>
    <x v="1"/>
    <n v="3.3"/>
  </r>
  <r>
    <s v="EMP00206"/>
    <s v="Aryan Patel"/>
    <x v="1"/>
    <x v="1"/>
    <n v="1"/>
    <n v="77377"/>
    <n v="928524"/>
    <n v="13.4"/>
    <n v="124422"/>
    <n v="1052946"/>
    <x v="2"/>
    <n v="4"/>
  </r>
  <r>
    <s v="EMP00207"/>
    <s v="Nisha Rao"/>
    <x v="9"/>
    <x v="31"/>
    <n v="7.3"/>
    <n v="81852"/>
    <n v="982224"/>
    <n v="6.8"/>
    <n v="66791"/>
    <n v="1049015"/>
    <x v="0"/>
    <n v="7.3"/>
  </r>
  <r>
    <s v="EMP00208"/>
    <s v="Meera Sethi"/>
    <x v="8"/>
    <x v="24"/>
    <n v="1.8"/>
    <n v="59348"/>
    <n v="712176"/>
    <n v="15.5"/>
    <n v="110387"/>
    <n v="822563"/>
    <x v="0"/>
    <n v="5.3"/>
  </r>
  <r>
    <s v="EMP00209"/>
    <s v="Rahul Chauhan"/>
    <x v="7"/>
    <x v="26"/>
    <n v="4.5999999999999996"/>
    <n v="78052"/>
    <n v="936624"/>
    <n v="12.7"/>
    <n v="118951"/>
    <n v="1055575"/>
    <x v="3"/>
    <n v="6.1"/>
  </r>
  <r>
    <s v="EMP00210"/>
    <s v="Anshul Sethi"/>
    <x v="6"/>
    <x v="21"/>
    <n v="4.9000000000000004"/>
    <n v="34839"/>
    <n v="418068"/>
    <n v="16.600000000000001"/>
    <n v="69399"/>
    <n v="487467"/>
    <x v="2"/>
    <n v="9.1"/>
  </r>
  <r>
    <s v="EMP00211"/>
    <s v="Kabir Das"/>
    <x v="3"/>
    <x v="3"/>
    <n v="6.8"/>
    <n v="49012"/>
    <n v="588144"/>
    <n v="14.4"/>
    <n v="84693"/>
    <n v="672837"/>
    <x v="2"/>
    <n v="13.9"/>
  </r>
  <r>
    <s v="EMP00212"/>
    <s v="Neha Kapoor"/>
    <x v="1"/>
    <x v="15"/>
    <n v="5.3"/>
    <n v="87130"/>
    <n v="1045560"/>
    <n v="11.5"/>
    <n v="120239"/>
    <n v="1165799"/>
    <x v="3"/>
    <n v="4.4000000000000004"/>
  </r>
  <r>
    <s v="EMP00213"/>
    <s v="Ishita Malhotra"/>
    <x v="5"/>
    <x v="35"/>
    <n v="2.1"/>
    <n v="77015"/>
    <n v="924180"/>
    <n v="8.9"/>
    <n v="82252"/>
    <n v="1006432"/>
    <x v="1"/>
    <n v="7.4"/>
  </r>
  <r>
    <s v="EMP00214"/>
    <s v="Arun Tiwari"/>
    <x v="0"/>
    <x v="29"/>
    <n v="4.2"/>
    <n v="40987"/>
    <n v="491844"/>
    <n v="12.7"/>
    <n v="62464"/>
    <n v="554308"/>
    <x v="1"/>
    <n v="3.2"/>
  </r>
  <r>
    <s v="EMP00215"/>
    <s v="Arun Kumar"/>
    <x v="9"/>
    <x v="44"/>
    <n v="2.4"/>
    <n v="119235"/>
    <n v="1430820"/>
    <n v="4.8"/>
    <n v="68679"/>
    <n v="1499499"/>
    <x v="3"/>
    <n v="10.9"/>
  </r>
  <r>
    <s v="EMP00216"/>
    <s v="Rohan Kumar"/>
    <x v="8"/>
    <x v="33"/>
    <n v="7.5"/>
    <n v="61544"/>
    <n v="738528"/>
    <n v="7.9"/>
    <n v="58344"/>
    <n v="796872"/>
    <x v="1"/>
    <n v="8.6"/>
  </r>
  <r>
    <s v="EMP00217"/>
    <s v="Ananya Singh"/>
    <x v="1"/>
    <x v="12"/>
    <n v="5.0999999999999996"/>
    <n v="67472"/>
    <n v="809664"/>
    <n v="4.3"/>
    <n v="34816"/>
    <n v="844480"/>
    <x v="5"/>
    <n v="9.5"/>
  </r>
  <r>
    <s v="EMP00218"/>
    <s v="Satyam Mishra"/>
    <x v="7"/>
    <x v="10"/>
    <n v="6.5"/>
    <n v="93513"/>
    <n v="1122156"/>
    <n v="6.9"/>
    <n v="77429"/>
    <n v="1199585"/>
    <x v="5"/>
    <n v="9"/>
  </r>
  <r>
    <s v="EMP00219"/>
    <s v="Aarav Dwivedi"/>
    <x v="5"/>
    <x v="6"/>
    <n v="4.5"/>
    <n v="84261"/>
    <n v="1011132"/>
    <n v="17.7"/>
    <n v="178970"/>
    <n v="1190102"/>
    <x v="2"/>
    <n v="10.4"/>
  </r>
  <r>
    <s v="EMP00220"/>
    <s v="Nisha Verma"/>
    <x v="3"/>
    <x v="16"/>
    <n v="6.8"/>
    <n v="96614"/>
    <n v="1159368"/>
    <n v="12.2"/>
    <n v="141443"/>
    <n v="1300811"/>
    <x v="2"/>
    <n v="6.2"/>
  </r>
  <r>
    <s v="EMP00221"/>
    <s v="Aditya Kapoor"/>
    <x v="1"/>
    <x v="1"/>
    <n v="7.3"/>
    <n v="111318"/>
    <n v="1335816"/>
    <n v="14.4"/>
    <n v="192358"/>
    <n v="1528174"/>
    <x v="2"/>
    <n v="5.8"/>
  </r>
  <r>
    <s v="EMP00222"/>
    <s v="Ram Gupta"/>
    <x v="2"/>
    <x v="2"/>
    <n v="3.9"/>
    <n v="59604"/>
    <n v="715248"/>
    <n v="8.6"/>
    <n v="61511"/>
    <n v="776759"/>
    <x v="4"/>
    <n v="7.9"/>
  </r>
  <r>
    <s v="EMP00223"/>
    <s v="Vihaan Patel"/>
    <x v="4"/>
    <x v="4"/>
    <n v="3.8"/>
    <n v="99567"/>
    <n v="1194804"/>
    <n v="11.2"/>
    <n v="133818"/>
    <n v="1328622"/>
    <x v="2"/>
    <n v="12.1"/>
  </r>
  <r>
    <s v="EMP00224"/>
    <s v="Lakhan Das"/>
    <x v="8"/>
    <x v="33"/>
    <n v="7"/>
    <n v="121853"/>
    <n v="1462236"/>
    <n v="7.5"/>
    <n v="109668"/>
    <n v="1571904"/>
    <x v="2"/>
    <n v="11"/>
  </r>
  <r>
    <s v="EMP00225"/>
    <s v="Vihaan Mehta"/>
    <x v="5"/>
    <x v="45"/>
    <n v="5.5"/>
    <n v="33492"/>
    <n v="401904"/>
    <n v="15.4"/>
    <n v="61893"/>
    <n v="463797"/>
    <x v="3"/>
    <n v="7.7"/>
  </r>
  <r>
    <s v="EMP00226"/>
    <s v="Rohan Mehta"/>
    <x v="1"/>
    <x v="12"/>
    <n v="7.3"/>
    <n v="112790"/>
    <n v="1353480"/>
    <n v="9.5"/>
    <n v="128581"/>
    <n v="1482061"/>
    <x v="2"/>
    <n v="13.5"/>
  </r>
  <r>
    <s v="EMP00227"/>
    <s v="Sara Malhotra"/>
    <x v="3"/>
    <x v="3"/>
    <n v="6.4"/>
    <n v="76237"/>
    <n v="914844"/>
    <n v="6.7"/>
    <n v="61295"/>
    <n v="976139"/>
    <x v="0"/>
    <n v="4.8"/>
  </r>
  <r>
    <s v="EMP00228"/>
    <s v="Pooja Kapoor"/>
    <x v="8"/>
    <x v="33"/>
    <n v="2.2000000000000002"/>
    <n v="118710"/>
    <n v="1424520"/>
    <n v="12.7"/>
    <n v="180914"/>
    <n v="1605434"/>
    <x v="3"/>
    <n v="4.5999999999999996"/>
  </r>
  <r>
    <s v="EMP00229"/>
    <s v="Satyam Patel"/>
    <x v="1"/>
    <x v="11"/>
    <n v="6.9"/>
    <n v="84440"/>
    <n v="1013280"/>
    <n v="8.1"/>
    <n v="82076"/>
    <n v="1095356"/>
    <x v="0"/>
    <n v="11.9"/>
  </r>
  <r>
    <s v="EMP00230"/>
    <s v="Govind Mehta"/>
    <x v="1"/>
    <x v="11"/>
    <n v="6.9"/>
    <n v="70981"/>
    <n v="851772"/>
    <n v="13.6"/>
    <n v="115841"/>
    <n v="967613"/>
    <x v="1"/>
    <n v="6.3"/>
  </r>
  <r>
    <s v="EMP00231"/>
    <s v="Yash Singh"/>
    <x v="2"/>
    <x v="14"/>
    <n v="2.8"/>
    <n v="74077"/>
    <n v="888924"/>
    <n v="15.1"/>
    <n v="134228"/>
    <n v="1023152"/>
    <x v="5"/>
    <n v="8"/>
  </r>
  <r>
    <s v="EMP00232"/>
    <s v="Anshul Malhotra"/>
    <x v="3"/>
    <x v="9"/>
    <n v="6.9"/>
    <n v="115973"/>
    <n v="1391676"/>
    <n v="13.5"/>
    <n v="187876"/>
    <n v="1579552"/>
    <x v="4"/>
    <n v="13.3"/>
  </r>
  <r>
    <s v="EMP00233"/>
    <s v="Divyansh Das"/>
    <x v="3"/>
    <x v="16"/>
    <n v="0.9"/>
    <n v="116878"/>
    <n v="1402536"/>
    <n v="13.3"/>
    <n v="186537"/>
    <n v="1589073"/>
    <x v="0"/>
    <n v="10.6"/>
  </r>
  <r>
    <s v="EMP00234"/>
    <s v="Aditya Upadhyay"/>
    <x v="5"/>
    <x v="32"/>
    <n v="3.6"/>
    <n v="75467"/>
    <n v="905604"/>
    <n v="16.899999999999999"/>
    <n v="153047"/>
    <n v="1058651"/>
    <x v="1"/>
    <n v="9.1"/>
  </r>
  <r>
    <s v="EMP00235"/>
    <s v="Yash Verma"/>
    <x v="5"/>
    <x v="18"/>
    <n v="3.6"/>
    <n v="76760"/>
    <n v="921120"/>
    <n v="15.6"/>
    <n v="143695"/>
    <n v="1064815"/>
    <x v="5"/>
    <n v="10"/>
  </r>
  <r>
    <s v="EMP00236"/>
    <s v="Kabir Rao"/>
    <x v="4"/>
    <x v="36"/>
    <n v="4.2"/>
    <n v="113139"/>
    <n v="1357668"/>
    <n v="10.6"/>
    <n v="143913"/>
    <n v="1501581"/>
    <x v="3"/>
    <n v="13.5"/>
  </r>
  <r>
    <s v="EMP00237"/>
    <s v="Vikram Mishra"/>
    <x v="0"/>
    <x v="0"/>
    <n v="1.9"/>
    <n v="78723"/>
    <n v="944676"/>
    <n v="17"/>
    <n v="160595"/>
    <n v="1105271"/>
    <x v="4"/>
    <n v="12.8"/>
  </r>
  <r>
    <s v="EMP00238"/>
    <s v="Meera Sethi"/>
    <x v="0"/>
    <x v="29"/>
    <n v="5.3"/>
    <n v="108199"/>
    <n v="1298388"/>
    <n v="6.5"/>
    <n v="84395"/>
    <n v="1382783"/>
    <x v="0"/>
    <n v="7.9"/>
  </r>
  <r>
    <s v="EMP00239"/>
    <s v="Neha Das"/>
    <x v="7"/>
    <x v="19"/>
    <n v="2.7"/>
    <n v="50630"/>
    <n v="607560"/>
    <n v="8.5"/>
    <n v="51643"/>
    <n v="659203"/>
    <x v="5"/>
    <n v="9.1999999999999993"/>
  </r>
  <r>
    <s v="EMP00240"/>
    <s v="Meera Mehta"/>
    <x v="0"/>
    <x v="29"/>
    <n v="1.6"/>
    <n v="99063"/>
    <n v="1188756"/>
    <n v="17.8"/>
    <n v="211599"/>
    <n v="1400355"/>
    <x v="2"/>
    <n v="8.5"/>
  </r>
  <r>
    <s v="EMP00241"/>
    <s v="Rohan Kumar"/>
    <x v="9"/>
    <x v="44"/>
    <n v="5.2"/>
    <n v="43907"/>
    <n v="526884"/>
    <n v="5.7"/>
    <n v="30032"/>
    <n v="556916"/>
    <x v="0"/>
    <n v="11.7"/>
  </r>
  <r>
    <s v="EMP00242"/>
    <s v="Nisha Das"/>
    <x v="7"/>
    <x v="10"/>
    <n v="1.5"/>
    <n v="103009"/>
    <n v="1236108"/>
    <n v="12.5"/>
    <n v="154514"/>
    <n v="1390622"/>
    <x v="0"/>
    <n v="4.5"/>
  </r>
  <r>
    <s v="EMP00243"/>
    <s v="Rinku Sethi"/>
    <x v="1"/>
    <x v="15"/>
    <n v="4.3"/>
    <n v="80187"/>
    <n v="962244"/>
    <n v="14.5"/>
    <n v="139525"/>
    <n v="1101769"/>
    <x v="5"/>
    <n v="4.3"/>
  </r>
  <r>
    <s v="EMP00244"/>
    <s v="Vihaan Verma"/>
    <x v="1"/>
    <x v="12"/>
    <n v="6.9"/>
    <n v="44426"/>
    <n v="533112"/>
    <n v="14.1"/>
    <n v="75169"/>
    <n v="608281"/>
    <x v="1"/>
    <n v="6.6"/>
  </r>
  <r>
    <s v="EMP00245"/>
    <s v="Aman Patel"/>
    <x v="8"/>
    <x v="33"/>
    <n v="1.6"/>
    <n v="111859"/>
    <n v="1342308"/>
    <n v="13.5"/>
    <n v="181212"/>
    <n v="1523520"/>
    <x v="1"/>
    <n v="4.9000000000000004"/>
  </r>
  <r>
    <s v="EMP00246"/>
    <s v="Meera Patel"/>
    <x v="9"/>
    <x v="43"/>
    <n v="1.9"/>
    <n v="48056"/>
    <n v="576672"/>
    <n v="5.4"/>
    <n v="31140"/>
    <n v="607812"/>
    <x v="3"/>
    <n v="9"/>
  </r>
  <r>
    <s v="EMP00247"/>
    <s v="Karan Verma"/>
    <x v="9"/>
    <x v="39"/>
    <n v="1.9"/>
    <n v="65230"/>
    <n v="782760"/>
    <n v="8"/>
    <n v="62621"/>
    <n v="845381"/>
    <x v="5"/>
    <n v="3.5"/>
  </r>
  <r>
    <s v="EMP00248"/>
    <s v="Riya Verma"/>
    <x v="2"/>
    <x v="17"/>
    <n v="4.4000000000000004"/>
    <n v="108534"/>
    <n v="1302408"/>
    <n v="14.8"/>
    <n v="192756"/>
    <n v="1495164"/>
    <x v="5"/>
    <n v="8.4"/>
  </r>
  <r>
    <s v="EMP00249"/>
    <s v="Arun Upadhyay"/>
    <x v="1"/>
    <x v="15"/>
    <n v="1"/>
    <n v="72252"/>
    <n v="867024"/>
    <n v="13.8"/>
    <n v="119649"/>
    <n v="986673"/>
    <x v="3"/>
    <n v="5.0999999999999996"/>
  </r>
  <r>
    <s v="EMP00250"/>
    <s v="Anshul Joshi"/>
    <x v="5"/>
    <x v="30"/>
    <n v="1.3"/>
    <n v="62688"/>
    <n v="752256"/>
    <n v="6.8"/>
    <n v="51153"/>
    <n v="803409"/>
    <x v="0"/>
    <n v="10.1"/>
  </r>
  <r>
    <s v="EMP00251"/>
    <s v="Anshul Mehta"/>
    <x v="4"/>
    <x v="37"/>
    <n v="1.6"/>
    <n v="65967"/>
    <n v="791604"/>
    <n v="9.3000000000000007"/>
    <n v="73619"/>
    <n v="865223"/>
    <x v="1"/>
    <n v="10.8"/>
  </r>
  <r>
    <s v="EMP00252"/>
    <s v="Rinku Singh"/>
    <x v="8"/>
    <x v="20"/>
    <n v="2.7"/>
    <n v="37564"/>
    <n v="450768"/>
    <n v="8.9"/>
    <n v="40118"/>
    <n v="490886"/>
    <x v="3"/>
    <n v="4.5999999999999996"/>
  </r>
  <r>
    <s v="EMP00253"/>
    <s v="Vihaan Dwivedi"/>
    <x v="9"/>
    <x v="43"/>
    <n v="2.5"/>
    <n v="54741"/>
    <n v="656892"/>
    <n v="13.3"/>
    <n v="87367"/>
    <n v="744259"/>
    <x v="5"/>
    <n v="11.3"/>
  </r>
  <r>
    <s v="EMP00254"/>
    <s v="Lakhan Kapoor"/>
    <x v="9"/>
    <x v="39"/>
    <n v="3.3"/>
    <n v="45139"/>
    <n v="541668"/>
    <n v="16.8"/>
    <n v="91000"/>
    <n v="632668"/>
    <x v="2"/>
    <n v="14.4"/>
  </r>
  <r>
    <s v="EMP00255"/>
    <s v="Kabir Das"/>
    <x v="1"/>
    <x v="1"/>
    <n v="2.5"/>
    <n v="44059"/>
    <n v="528708"/>
    <n v="17.600000000000001"/>
    <n v="93053"/>
    <n v="621761"/>
    <x v="0"/>
    <n v="12.7"/>
  </r>
  <r>
    <s v="EMP00256"/>
    <s v="Karan Dwivedi"/>
    <x v="7"/>
    <x v="23"/>
    <n v="4.5"/>
    <n v="78351"/>
    <n v="940212"/>
    <n v="15.8"/>
    <n v="148553"/>
    <n v="1088765"/>
    <x v="5"/>
    <n v="7.3"/>
  </r>
  <r>
    <s v="EMP00257"/>
    <s v="Vihaan Joshi"/>
    <x v="6"/>
    <x v="21"/>
    <n v="1.3"/>
    <n v="122519"/>
    <n v="1470228"/>
    <n v="12.6"/>
    <n v="185249"/>
    <n v="1655477"/>
    <x v="4"/>
    <n v="14.7"/>
  </r>
  <r>
    <s v="EMP00258"/>
    <s v="Aarav Verma"/>
    <x v="9"/>
    <x v="43"/>
    <n v="4.3"/>
    <n v="93191"/>
    <n v="1118292"/>
    <n v="17"/>
    <n v="190110"/>
    <n v="1308402"/>
    <x v="3"/>
    <n v="9.8000000000000007"/>
  </r>
  <r>
    <s v="EMP00259"/>
    <s v="Aditi Singh"/>
    <x v="6"/>
    <x v="34"/>
    <n v="1.2"/>
    <n v="74254"/>
    <n v="891048"/>
    <n v="5.6"/>
    <n v="49899"/>
    <n v="940947"/>
    <x v="4"/>
    <n v="10.6"/>
  </r>
  <r>
    <s v="EMP00260"/>
    <s v="Karan Gupta"/>
    <x v="2"/>
    <x v="14"/>
    <n v="1.7"/>
    <n v="29071"/>
    <n v="348852"/>
    <n v="13.4"/>
    <n v="46746"/>
    <n v="395598"/>
    <x v="1"/>
    <n v="13.8"/>
  </r>
  <r>
    <s v="EMP00261"/>
    <s v="Aditi Malhotra"/>
    <x v="6"/>
    <x v="21"/>
    <n v="3.2"/>
    <n v="75964"/>
    <n v="911568"/>
    <n v="14.5"/>
    <n v="132177"/>
    <n v="1043745"/>
    <x v="0"/>
    <n v="13.9"/>
  </r>
  <r>
    <s v="EMP00262"/>
    <s v="Arjun Malhotra"/>
    <x v="5"/>
    <x v="18"/>
    <n v="1.5"/>
    <n v="65827"/>
    <n v="789924"/>
    <n v="15.4"/>
    <n v="121648"/>
    <n v="911572"/>
    <x v="5"/>
    <n v="14.5"/>
  </r>
  <r>
    <s v="EMP00263"/>
    <s v="Aditya Kapoor"/>
    <x v="1"/>
    <x v="12"/>
    <n v="6.3"/>
    <n v="40672"/>
    <n v="488064"/>
    <n v="14.5"/>
    <n v="70769"/>
    <n v="558833"/>
    <x v="0"/>
    <n v="5.7"/>
  </r>
  <r>
    <s v="EMP00264"/>
    <s v="Aditya Chauhan"/>
    <x v="3"/>
    <x v="40"/>
    <n v="1"/>
    <n v="94731"/>
    <n v="1136772"/>
    <n v="8.8000000000000007"/>
    <n v="100036"/>
    <n v="1236808"/>
    <x v="3"/>
    <n v="5.6"/>
  </r>
  <r>
    <s v="EMP00265"/>
    <s v="Rahul Das"/>
    <x v="5"/>
    <x v="30"/>
    <n v="4"/>
    <n v="90094"/>
    <n v="1081128"/>
    <n v="14.9"/>
    <n v="161088"/>
    <n v="1242216"/>
    <x v="4"/>
    <n v="6.6"/>
  </r>
  <r>
    <s v="EMP00266"/>
    <s v="Diya Malhotra"/>
    <x v="9"/>
    <x v="31"/>
    <n v="0.9"/>
    <n v="69750"/>
    <n v="837000"/>
    <n v="4.5999999999999996"/>
    <n v="38502"/>
    <n v="875502"/>
    <x v="2"/>
    <n v="5.3"/>
  </r>
  <r>
    <s v="EMP00267"/>
    <s v="Pooja Upadhyay"/>
    <x v="4"/>
    <x v="4"/>
    <n v="2"/>
    <n v="97774"/>
    <n v="1173288"/>
    <n v="10.3"/>
    <n v="120849"/>
    <n v="1294137"/>
    <x v="4"/>
    <n v="10.9"/>
  </r>
  <r>
    <s v="EMP00268"/>
    <s v="Ananya Nair"/>
    <x v="2"/>
    <x v="14"/>
    <n v="4"/>
    <n v="116317"/>
    <n v="1395804"/>
    <n v="6.3"/>
    <n v="87936"/>
    <n v="1483740"/>
    <x v="4"/>
    <n v="7.5"/>
  </r>
  <r>
    <s v="EMP00269"/>
    <s v="Divyansh Upadhyay"/>
    <x v="4"/>
    <x v="4"/>
    <n v="4.8"/>
    <n v="113929"/>
    <n v="1367148"/>
    <n v="11.1"/>
    <n v="151753"/>
    <n v="1518901"/>
    <x v="4"/>
    <n v="11.8"/>
  </r>
  <r>
    <s v="EMP00270"/>
    <s v="Rahul Dwivedi"/>
    <x v="4"/>
    <x v="36"/>
    <n v="2.4"/>
    <n v="50349"/>
    <n v="604188"/>
    <n v="5.9"/>
    <n v="35647"/>
    <n v="639835"/>
    <x v="2"/>
    <n v="14.7"/>
  </r>
  <r>
    <s v="EMP00271"/>
    <s v="Ananya Joshi"/>
    <x v="6"/>
    <x v="21"/>
    <n v="1.3"/>
    <n v="119818"/>
    <n v="1437816"/>
    <n v="17.8"/>
    <n v="255931"/>
    <n v="1693747"/>
    <x v="3"/>
    <n v="4.4000000000000004"/>
  </r>
  <r>
    <s v="EMP00272"/>
    <s v="Rinku Joshi"/>
    <x v="5"/>
    <x v="35"/>
    <n v="6"/>
    <n v="82127"/>
    <n v="985524"/>
    <n v="7.4"/>
    <n v="72929"/>
    <n v="1058453"/>
    <x v="3"/>
    <n v="10.6"/>
  </r>
  <r>
    <s v="EMP00273"/>
    <s v="Riya Tiwari"/>
    <x v="6"/>
    <x v="34"/>
    <n v="1.9"/>
    <n v="55176"/>
    <n v="662112"/>
    <n v="10.199999999999999"/>
    <n v="67535"/>
    <n v="729647"/>
    <x v="3"/>
    <n v="10.9"/>
  </r>
  <r>
    <s v="EMP00274"/>
    <s v="Vihaan Mishra"/>
    <x v="8"/>
    <x v="33"/>
    <n v="2.6"/>
    <n v="97878"/>
    <n v="1174536"/>
    <n v="5.2"/>
    <n v="61076"/>
    <n v="1235612"/>
    <x v="0"/>
    <n v="14.5"/>
  </r>
  <r>
    <s v="EMP00275"/>
    <s v="Riya Mehta"/>
    <x v="3"/>
    <x v="40"/>
    <n v="5"/>
    <n v="64569"/>
    <n v="774828"/>
    <n v="12.9"/>
    <n v="99953"/>
    <n v="874781"/>
    <x v="0"/>
    <n v="6.2"/>
  </r>
  <r>
    <s v="EMP00276"/>
    <s v="Pooja Kapoor"/>
    <x v="7"/>
    <x v="26"/>
    <n v="2.2999999999999998"/>
    <n v="69555"/>
    <n v="834660"/>
    <n v="6.1"/>
    <n v="50914"/>
    <n v="885574"/>
    <x v="4"/>
    <n v="7.4"/>
  </r>
  <r>
    <s v="EMP00277"/>
    <s v="Riya Malhotra"/>
    <x v="1"/>
    <x v="11"/>
    <n v="1.3"/>
    <n v="116686"/>
    <n v="1400232"/>
    <n v="11.1"/>
    <n v="155426"/>
    <n v="1555658"/>
    <x v="1"/>
    <n v="5.0999999999999996"/>
  </r>
  <r>
    <s v="EMP00278"/>
    <s v="Rinku Verma"/>
    <x v="6"/>
    <x v="7"/>
    <n v="7.3"/>
    <n v="65700"/>
    <n v="788400"/>
    <n v="15.5"/>
    <n v="122202"/>
    <n v="910602"/>
    <x v="5"/>
    <n v="10.1"/>
  </r>
  <r>
    <s v="EMP00279"/>
    <s v="Arun Mishra"/>
    <x v="3"/>
    <x v="9"/>
    <n v="5.3"/>
    <n v="54485"/>
    <n v="653820"/>
    <n v="15.1"/>
    <n v="98727"/>
    <n v="752547"/>
    <x v="3"/>
    <n v="14.9"/>
  </r>
  <r>
    <s v="EMP00280"/>
    <s v="Ram Upadhyay"/>
    <x v="2"/>
    <x v="8"/>
    <n v="6.5"/>
    <n v="108698"/>
    <n v="1304376"/>
    <n v="12.7"/>
    <n v="165656"/>
    <n v="1470032"/>
    <x v="3"/>
    <n v="14.6"/>
  </r>
  <r>
    <s v="EMP00281"/>
    <s v="Ishita Singh"/>
    <x v="7"/>
    <x v="23"/>
    <n v="5.2"/>
    <n v="111616"/>
    <n v="1339392"/>
    <n v="14.9"/>
    <n v="199569"/>
    <n v="1538961"/>
    <x v="5"/>
    <n v="4.9000000000000004"/>
  </r>
  <r>
    <s v="EMP00282"/>
    <s v="Lakhan Kumar"/>
    <x v="0"/>
    <x v="27"/>
    <n v="6.6"/>
    <n v="117285"/>
    <n v="1407420"/>
    <n v="6.4"/>
    <n v="90075"/>
    <n v="1497495"/>
    <x v="2"/>
    <n v="10.3"/>
  </r>
  <r>
    <s v="EMP00283"/>
    <s v="Anshul Joshi"/>
    <x v="5"/>
    <x v="18"/>
    <n v="2.4"/>
    <n v="90580"/>
    <n v="1086960"/>
    <n v="10.8"/>
    <n v="117392"/>
    <n v="1204352"/>
    <x v="4"/>
    <n v="5.2"/>
  </r>
  <r>
    <s v="EMP00284"/>
    <s v="Aman Rao"/>
    <x v="2"/>
    <x v="38"/>
    <n v="6.7"/>
    <n v="113498"/>
    <n v="1361976"/>
    <n v="12.8"/>
    <n v="174333"/>
    <n v="1536309"/>
    <x v="3"/>
    <n v="6.4"/>
  </r>
  <r>
    <s v="EMP00285"/>
    <s v="Arun Malhotra"/>
    <x v="1"/>
    <x v="1"/>
    <n v="5.8"/>
    <n v="32763"/>
    <n v="393156"/>
    <n v="11.8"/>
    <n v="46392"/>
    <n v="439548"/>
    <x v="5"/>
    <n v="14"/>
  </r>
  <r>
    <s v="EMP00286"/>
    <s v="Aman Dwivedi"/>
    <x v="8"/>
    <x v="20"/>
    <n v="7.6"/>
    <n v="67110"/>
    <n v="805320"/>
    <n v="15.8"/>
    <n v="127241"/>
    <n v="932561"/>
    <x v="2"/>
    <n v="4.9000000000000004"/>
  </r>
  <r>
    <s v="EMP00287"/>
    <s v="Pooja Kumar"/>
    <x v="0"/>
    <x v="29"/>
    <n v="1.7"/>
    <n v="96723"/>
    <n v="1160676"/>
    <n v="4.5"/>
    <n v="52230"/>
    <n v="1212906"/>
    <x v="5"/>
    <n v="11.7"/>
  </r>
  <r>
    <s v="EMP00288"/>
    <s v="Diya Das"/>
    <x v="1"/>
    <x v="12"/>
    <n v="6.5"/>
    <n v="71343"/>
    <n v="856116"/>
    <n v="11"/>
    <n v="94173"/>
    <n v="950289"/>
    <x v="1"/>
    <n v="14.2"/>
  </r>
  <r>
    <s v="EMP00289"/>
    <s v="Govind Joshi"/>
    <x v="2"/>
    <x v="17"/>
    <n v="4.4000000000000004"/>
    <n v="102420"/>
    <n v="1229040"/>
    <n v="15.8"/>
    <n v="194188"/>
    <n v="1423228"/>
    <x v="3"/>
    <n v="4.3"/>
  </r>
  <r>
    <s v="EMP00290"/>
    <s v="Arjun Malhotra"/>
    <x v="9"/>
    <x v="31"/>
    <n v="2"/>
    <n v="70982"/>
    <n v="851784"/>
    <n v="12.4"/>
    <n v="105621"/>
    <n v="957405"/>
    <x v="0"/>
    <n v="11.3"/>
  </r>
  <r>
    <s v="EMP00291"/>
    <s v="Aarav Khan"/>
    <x v="0"/>
    <x v="25"/>
    <n v="4.0999999999999996"/>
    <n v="60512"/>
    <n v="726144"/>
    <n v="13.6"/>
    <n v="98756"/>
    <n v="824900"/>
    <x v="1"/>
    <n v="8.4"/>
  </r>
  <r>
    <s v="EMP00292"/>
    <s v="Aman Upadhyay"/>
    <x v="6"/>
    <x v="21"/>
    <n v="4"/>
    <n v="67576"/>
    <n v="810912"/>
    <n v="7.5"/>
    <n v="60818"/>
    <n v="871730"/>
    <x v="5"/>
    <n v="11.1"/>
  </r>
  <r>
    <s v="EMP00293"/>
    <s v="Ananya Das"/>
    <x v="5"/>
    <x v="45"/>
    <n v="7"/>
    <n v="115528"/>
    <n v="1386336"/>
    <n v="13.6"/>
    <n v="188542"/>
    <n v="1574878"/>
    <x v="1"/>
    <n v="3.3"/>
  </r>
  <r>
    <s v="EMP00294"/>
    <s v="Ananya Mehta"/>
    <x v="2"/>
    <x v="17"/>
    <n v="4.3"/>
    <n v="118477"/>
    <n v="1421724"/>
    <n v="12.8"/>
    <n v="181981"/>
    <n v="1603705"/>
    <x v="0"/>
    <n v="5.6"/>
  </r>
  <r>
    <s v="EMP00295"/>
    <s v="Yash Dwivedi"/>
    <x v="3"/>
    <x v="16"/>
    <n v="2.4"/>
    <n v="48078"/>
    <n v="576936"/>
    <n v="6.9"/>
    <n v="39809"/>
    <n v="616745"/>
    <x v="4"/>
    <n v="10.5"/>
  </r>
  <r>
    <s v="EMP00296"/>
    <s v="Govind Dwivedi"/>
    <x v="3"/>
    <x v="9"/>
    <n v="5.3"/>
    <n v="60435"/>
    <n v="725220"/>
    <n v="10.199999999999999"/>
    <n v="73972"/>
    <n v="799192"/>
    <x v="3"/>
    <n v="14.7"/>
  </r>
  <r>
    <s v="EMP00297"/>
    <s v="Vikram Upadhyay"/>
    <x v="0"/>
    <x v="5"/>
    <n v="3.7"/>
    <n v="38237"/>
    <n v="458844"/>
    <n v="14.3"/>
    <n v="65615"/>
    <n v="524459"/>
    <x v="5"/>
    <n v="13.5"/>
  </r>
  <r>
    <s v="EMP00298"/>
    <s v="Diya Tiwari"/>
    <x v="0"/>
    <x v="0"/>
    <n v="1.7"/>
    <n v="47641"/>
    <n v="571692"/>
    <n v="10.7"/>
    <n v="61171"/>
    <n v="632863"/>
    <x v="1"/>
    <n v="5.3"/>
  </r>
  <r>
    <s v="EMP00299"/>
    <s v="Arjun Chauhan"/>
    <x v="1"/>
    <x v="12"/>
    <n v="1.2"/>
    <n v="92071"/>
    <n v="1104852"/>
    <n v="12.3"/>
    <n v="135897"/>
    <n v="1240749"/>
    <x v="5"/>
    <n v="10.8"/>
  </r>
  <r>
    <s v="EMP00300"/>
    <s v="Yash Upadhyay"/>
    <x v="8"/>
    <x v="22"/>
    <n v="2"/>
    <n v="82450"/>
    <n v="989400"/>
    <n v="5.7"/>
    <n v="56396"/>
    <n v="1045796"/>
    <x v="1"/>
    <n v="4.5"/>
  </r>
  <r>
    <s v="EMP00301"/>
    <s v="Kabir Sharma"/>
    <x v="5"/>
    <x v="18"/>
    <n v="7.5"/>
    <n v="79897"/>
    <n v="958764"/>
    <n v="16.3"/>
    <n v="156279"/>
    <n v="1115043"/>
    <x v="0"/>
    <n v="8.1"/>
  </r>
  <r>
    <s v="EMP00302"/>
    <s v="Rinku Verma"/>
    <x v="7"/>
    <x v="42"/>
    <n v="3"/>
    <n v="73158"/>
    <n v="877896"/>
    <n v="15.9"/>
    <n v="139585"/>
    <n v="1017481"/>
    <x v="1"/>
    <n v="6.2"/>
  </r>
  <r>
    <s v="EMP00303"/>
    <s v="Sara Patel"/>
    <x v="1"/>
    <x v="1"/>
    <n v="7.4"/>
    <n v="65629"/>
    <n v="787548"/>
    <n v="11.8"/>
    <n v="92931"/>
    <n v="880479"/>
    <x v="1"/>
    <n v="5.5"/>
  </r>
  <r>
    <s v="EMP00304"/>
    <s v="Aditya Verma"/>
    <x v="9"/>
    <x v="43"/>
    <n v="2.7"/>
    <n v="77479"/>
    <n v="929748"/>
    <n v="8"/>
    <n v="74380"/>
    <n v="1004128"/>
    <x v="1"/>
    <n v="3.6"/>
  </r>
  <r>
    <s v="EMP00305"/>
    <s v="Aditya Chauhan"/>
    <x v="1"/>
    <x v="15"/>
    <n v="5.7"/>
    <n v="98419"/>
    <n v="1181028"/>
    <n v="13"/>
    <n v="153534"/>
    <n v="1334562"/>
    <x v="2"/>
    <n v="8"/>
  </r>
  <r>
    <s v="EMP00306"/>
    <s v="Govind Mishra"/>
    <x v="9"/>
    <x v="44"/>
    <n v="4.4000000000000004"/>
    <n v="88686"/>
    <n v="1064232"/>
    <n v="7.4"/>
    <n v="78753"/>
    <n v="1142985"/>
    <x v="3"/>
    <n v="8.1"/>
  </r>
  <r>
    <s v="EMP00307"/>
    <s v="Aryan Khan"/>
    <x v="6"/>
    <x v="34"/>
    <n v="2.6"/>
    <n v="73371"/>
    <n v="880452"/>
    <n v="13.9"/>
    <n v="122383"/>
    <n v="1002835"/>
    <x v="2"/>
    <n v="7.6"/>
  </r>
  <r>
    <s v="EMP00308"/>
    <s v="Ishita Joshi"/>
    <x v="7"/>
    <x v="19"/>
    <n v="0.9"/>
    <n v="30050"/>
    <n v="360600"/>
    <n v="11.2"/>
    <n v="40387"/>
    <n v="400987"/>
    <x v="4"/>
    <n v="11.2"/>
  </r>
  <r>
    <s v="EMP00309"/>
    <s v="Rinku Singh"/>
    <x v="0"/>
    <x v="0"/>
    <n v="1"/>
    <n v="116083"/>
    <n v="1392996"/>
    <n v="8.6999999999999993"/>
    <n v="121191"/>
    <n v="1514187"/>
    <x v="3"/>
    <n v="6.1"/>
  </r>
  <r>
    <s v="EMP00310"/>
    <s v="Rohan Singh"/>
    <x v="7"/>
    <x v="19"/>
    <n v="5.0999999999999996"/>
    <n v="98747"/>
    <n v="1184964"/>
    <n v="17.5"/>
    <n v="207369"/>
    <n v="1392333"/>
    <x v="5"/>
    <n v="5.7"/>
  </r>
  <r>
    <s v="EMP00311"/>
    <s v="Aman Dwivedi"/>
    <x v="9"/>
    <x v="31"/>
    <n v="1.3"/>
    <n v="69799"/>
    <n v="837588"/>
    <n v="14.7"/>
    <n v="123125"/>
    <n v="960713"/>
    <x v="3"/>
    <n v="10.5"/>
  </r>
  <r>
    <s v="EMP00312"/>
    <s v="Sara Mehta"/>
    <x v="3"/>
    <x v="16"/>
    <n v="1.9"/>
    <n v="56972"/>
    <n v="683664"/>
    <n v="9.6999999999999993"/>
    <n v="66315"/>
    <n v="749979"/>
    <x v="3"/>
    <n v="6.9"/>
  </r>
  <r>
    <s v="EMP00313"/>
    <s v="Aditi Kapoor"/>
    <x v="2"/>
    <x v="2"/>
    <n v="1.5"/>
    <n v="92962"/>
    <n v="1115544"/>
    <n v="6.6"/>
    <n v="73626"/>
    <n v="1189170"/>
    <x v="3"/>
    <n v="10.7"/>
  </r>
  <r>
    <s v="EMP00314"/>
    <s v="Aditya Patel"/>
    <x v="6"/>
    <x v="7"/>
    <n v="6.1"/>
    <n v="67306"/>
    <n v="807672"/>
    <n v="9.5"/>
    <n v="76729"/>
    <n v="884401"/>
    <x v="4"/>
    <n v="8.4"/>
  </r>
  <r>
    <s v="EMP00315"/>
    <s v="Aryan Das"/>
    <x v="1"/>
    <x v="12"/>
    <n v="4.4000000000000004"/>
    <n v="120743"/>
    <n v="1448916"/>
    <n v="10.5"/>
    <n v="152136"/>
    <n v="1601052"/>
    <x v="1"/>
    <n v="3.7"/>
  </r>
  <r>
    <s v="EMP00316"/>
    <s v="Aryan Malhotra"/>
    <x v="5"/>
    <x v="18"/>
    <n v="1.5"/>
    <n v="97467"/>
    <n v="1169604"/>
    <n v="7.4"/>
    <n v="86551"/>
    <n v="1256155"/>
    <x v="5"/>
    <n v="4.0999999999999996"/>
  </r>
  <r>
    <s v="EMP00317"/>
    <s v="Karan Kapoor"/>
    <x v="7"/>
    <x v="26"/>
    <n v="6.9"/>
    <n v="86954"/>
    <n v="1043448"/>
    <n v="14.7"/>
    <n v="153387"/>
    <n v="1196835"/>
    <x v="3"/>
    <n v="14.3"/>
  </r>
  <r>
    <s v="EMP00318"/>
    <s v="Govind Dwivedi"/>
    <x v="0"/>
    <x v="5"/>
    <n v="4.7"/>
    <n v="77436"/>
    <n v="929232"/>
    <n v="11.8"/>
    <n v="109649"/>
    <n v="1038881"/>
    <x v="3"/>
    <n v="8.4"/>
  </r>
  <r>
    <s v="EMP00319"/>
    <s v="Govind Mishra"/>
    <x v="4"/>
    <x v="41"/>
    <n v="1.2"/>
    <n v="122936"/>
    <n v="1475232"/>
    <n v="15.8"/>
    <n v="233087"/>
    <n v="1708319"/>
    <x v="5"/>
    <n v="4.0999999999999996"/>
  </r>
  <r>
    <s v="EMP00320"/>
    <s v="Rohan Joshi"/>
    <x v="7"/>
    <x v="10"/>
    <n v="4.3"/>
    <n v="30009"/>
    <n v="360108"/>
    <n v="5.2"/>
    <n v="18726"/>
    <n v="378834"/>
    <x v="3"/>
    <n v="6.2"/>
  </r>
  <r>
    <s v="EMP00321"/>
    <s v="Riya Tiwari"/>
    <x v="0"/>
    <x v="27"/>
    <n v="3.3"/>
    <n v="59369"/>
    <n v="712428"/>
    <n v="14.5"/>
    <n v="103302"/>
    <n v="815730"/>
    <x v="3"/>
    <n v="8.3000000000000007"/>
  </r>
  <r>
    <s v="EMP00322"/>
    <s v="Kabir Kapoor"/>
    <x v="2"/>
    <x v="14"/>
    <n v="3.7"/>
    <n v="68425"/>
    <n v="821100"/>
    <n v="8.6999999999999993"/>
    <n v="71436"/>
    <n v="892536"/>
    <x v="4"/>
    <n v="10.199999999999999"/>
  </r>
  <r>
    <s v="EMP00323"/>
    <s v="Vikram Joshi"/>
    <x v="1"/>
    <x v="12"/>
    <n v="2.5"/>
    <n v="69973"/>
    <n v="839676"/>
    <n v="4.7"/>
    <n v="39465"/>
    <n v="879141"/>
    <x v="5"/>
    <n v="14.4"/>
  </r>
  <r>
    <s v="EMP00324"/>
    <s v="Ram Kumar"/>
    <x v="3"/>
    <x v="40"/>
    <n v="1.4"/>
    <n v="57002"/>
    <n v="684024"/>
    <n v="18"/>
    <n v="123124"/>
    <n v="807148"/>
    <x v="4"/>
    <n v="12.6"/>
  </r>
  <r>
    <s v="EMP00325"/>
    <s v="Vihaan Rao"/>
    <x v="5"/>
    <x v="45"/>
    <n v="6"/>
    <n v="53715"/>
    <n v="644580"/>
    <n v="13.7"/>
    <n v="88307"/>
    <n v="732887"/>
    <x v="0"/>
    <n v="14.9"/>
  </r>
  <r>
    <s v="EMP00326"/>
    <s v="Lakhan Sethi"/>
    <x v="6"/>
    <x v="21"/>
    <n v="4"/>
    <n v="61728"/>
    <n v="740736"/>
    <n v="13"/>
    <n v="96296"/>
    <n v="837032"/>
    <x v="0"/>
    <n v="6.8"/>
  </r>
  <r>
    <s v="EMP00327"/>
    <s v="Ram Mishra"/>
    <x v="8"/>
    <x v="33"/>
    <n v="5.8"/>
    <n v="46344"/>
    <n v="556128"/>
    <n v="15.2"/>
    <n v="84531"/>
    <n v="640659"/>
    <x v="1"/>
    <n v="4.3"/>
  </r>
  <r>
    <s v="EMP00328"/>
    <s v="Arun Singh"/>
    <x v="8"/>
    <x v="20"/>
    <n v="7.4"/>
    <n v="37742"/>
    <n v="452904"/>
    <n v="8.5"/>
    <n v="38497"/>
    <n v="491401"/>
    <x v="5"/>
    <n v="10.5"/>
  </r>
  <r>
    <s v="EMP00329"/>
    <s v="Aryan Sharma"/>
    <x v="5"/>
    <x v="35"/>
    <n v="7"/>
    <n v="120690"/>
    <n v="1448280"/>
    <n v="6.6"/>
    <n v="95586"/>
    <n v="1543866"/>
    <x v="5"/>
    <n v="10.6"/>
  </r>
  <r>
    <s v="EMP00330"/>
    <s v="Anshul Dwivedi"/>
    <x v="7"/>
    <x v="42"/>
    <n v="7.1"/>
    <n v="108980"/>
    <n v="1307760"/>
    <n v="15.1"/>
    <n v="197472"/>
    <n v="1505232"/>
    <x v="1"/>
    <n v="9.6999999999999993"/>
  </r>
  <r>
    <s v="EMP00331"/>
    <s v="Sara Sharma"/>
    <x v="8"/>
    <x v="33"/>
    <n v="1.8"/>
    <n v="100305"/>
    <n v="1203660"/>
    <n v="13.5"/>
    <n v="162494"/>
    <n v="1366154"/>
    <x v="2"/>
    <n v="3.6"/>
  </r>
  <r>
    <s v="EMP00332"/>
    <s v="Rahul Nair"/>
    <x v="5"/>
    <x v="18"/>
    <n v="4.5"/>
    <n v="30246"/>
    <n v="362952"/>
    <n v="9.1"/>
    <n v="33029"/>
    <n v="395981"/>
    <x v="4"/>
    <n v="4.4000000000000004"/>
  </r>
  <r>
    <s v="EMP00333"/>
    <s v="Rohan Dwivedi"/>
    <x v="9"/>
    <x v="28"/>
    <n v="6.1"/>
    <n v="59584"/>
    <n v="715008"/>
    <n v="16.899999999999999"/>
    <n v="120836"/>
    <n v="835844"/>
    <x v="3"/>
    <n v="14.7"/>
  </r>
  <r>
    <s v="EMP00334"/>
    <s v="Nisha Malhotra"/>
    <x v="1"/>
    <x v="11"/>
    <n v="3.3"/>
    <n v="38357"/>
    <n v="460284"/>
    <n v="16.5"/>
    <n v="75947"/>
    <n v="536231"/>
    <x v="3"/>
    <n v="7.2"/>
  </r>
  <r>
    <s v="EMP00335"/>
    <s v="Karan Singh"/>
    <x v="8"/>
    <x v="20"/>
    <n v="6.8"/>
    <n v="113686"/>
    <n v="1364232"/>
    <n v="5.6"/>
    <n v="76397"/>
    <n v="1440629"/>
    <x v="1"/>
    <n v="10.7"/>
  </r>
  <r>
    <s v="EMP00336"/>
    <s v="Aditi Sharma"/>
    <x v="0"/>
    <x v="27"/>
    <n v="1.5"/>
    <n v="90390"/>
    <n v="1084680"/>
    <n v="8.5"/>
    <n v="92198"/>
    <n v="1176878"/>
    <x v="0"/>
    <n v="13.1"/>
  </r>
  <r>
    <s v="EMP00337"/>
    <s v="Karan Gupta"/>
    <x v="9"/>
    <x v="28"/>
    <n v="4"/>
    <n v="102167"/>
    <n v="1226004"/>
    <n v="5.7"/>
    <n v="69882"/>
    <n v="1295886"/>
    <x v="2"/>
    <n v="4.8"/>
  </r>
  <r>
    <s v="EMP00338"/>
    <s v="Kabir Singh"/>
    <x v="1"/>
    <x v="1"/>
    <n v="1.4"/>
    <n v="90324"/>
    <n v="1083888"/>
    <n v="14.6"/>
    <n v="158248"/>
    <n v="1242136"/>
    <x v="2"/>
    <n v="6.2"/>
  </r>
  <r>
    <s v="EMP00339"/>
    <s v="Rohan Upadhyay"/>
    <x v="0"/>
    <x v="29"/>
    <n v="4.2"/>
    <n v="30052"/>
    <n v="360624"/>
    <n v="15.1"/>
    <n v="54454"/>
    <n v="415078"/>
    <x v="4"/>
    <n v="13"/>
  </r>
  <r>
    <s v="EMP00340"/>
    <s v="Ishita Upadhyay"/>
    <x v="9"/>
    <x v="43"/>
    <n v="5.9"/>
    <n v="101919"/>
    <n v="1223028"/>
    <n v="11.7"/>
    <n v="143094"/>
    <n v="1366122"/>
    <x v="1"/>
    <n v="3.3"/>
  </r>
  <r>
    <s v="EMP00341"/>
    <s v="Ram Kapoor"/>
    <x v="6"/>
    <x v="7"/>
    <n v="6.9"/>
    <n v="93639"/>
    <n v="1123668"/>
    <n v="15.2"/>
    <n v="170798"/>
    <n v="1294466"/>
    <x v="1"/>
    <n v="12.4"/>
  </r>
  <r>
    <s v="EMP00342"/>
    <s v="Satyam Dwivedi"/>
    <x v="5"/>
    <x v="30"/>
    <n v="6.9"/>
    <n v="72642"/>
    <n v="871704"/>
    <n v="16.7"/>
    <n v="145575"/>
    <n v="1017279"/>
    <x v="2"/>
    <n v="8.9"/>
  </r>
  <r>
    <s v="EMP00343"/>
    <s v="Pooja Rao"/>
    <x v="4"/>
    <x v="37"/>
    <n v="4.7"/>
    <n v="87054"/>
    <n v="1044648"/>
    <n v="17.3"/>
    <n v="180724"/>
    <n v="1225372"/>
    <x v="1"/>
    <n v="7.6"/>
  </r>
  <r>
    <s v="EMP00344"/>
    <s v="Aditya Verma"/>
    <x v="3"/>
    <x v="9"/>
    <n v="1.2"/>
    <n v="114595"/>
    <n v="1375140"/>
    <n v="10.5"/>
    <n v="144390"/>
    <n v="1519530"/>
    <x v="0"/>
    <n v="13.5"/>
  </r>
  <r>
    <s v="EMP00345"/>
    <s v="Aryan Malhotra"/>
    <x v="4"/>
    <x v="4"/>
    <n v="6.8"/>
    <n v="63123"/>
    <n v="757476"/>
    <n v="16.3"/>
    <n v="123469"/>
    <n v="880945"/>
    <x v="1"/>
    <n v="12.2"/>
  </r>
  <r>
    <s v="EMP00346"/>
    <s v="Aarav Mehta"/>
    <x v="9"/>
    <x v="43"/>
    <n v="6.6"/>
    <n v="39995"/>
    <n v="479940"/>
    <n v="10"/>
    <n v="47994"/>
    <n v="527934"/>
    <x v="5"/>
    <n v="11.6"/>
  </r>
  <r>
    <s v="EMP00347"/>
    <s v="Diya Nair"/>
    <x v="8"/>
    <x v="24"/>
    <n v="6.3"/>
    <n v="39442"/>
    <n v="473304"/>
    <n v="4.8"/>
    <n v="22719"/>
    <n v="496023"/>
    <x v="1"/>
    <n v="6.5"/>
  </r>
  <r>
    <s v="EMP00348"/>
    <s v="Riya Verma"/>
    <x v="8"/>
    <x v="33"/>
    <n v="6.7"/>
    <n v="74388"/>
    <n v="892656"/>
    <n v="9"/>
    <n v="80339"/>
    <n v="972995"/>
    <x v="4"/>
    <n v="9.5"/>
  </r>
  <r>
    <s v="EMP00349"/>
    <s v="Aditya Verma"/>
    <x v="4"/>
    <x v="4"/>
    <n v="4.5"/>
    <n v="82238"/>
    <n v="986856"/>
    <n v="6.5"/>
    <n v="64146"/>
    <n v="1051002"/>
    <x v="0"/>
    <n v="6.3"/>
  </r>
  <r>
    <s v="EMP00350"/>
    <s v="Kabir Mehta"/>
    <x v="1"/>
    <x v="15"/>
    <n v="5.8"/>
    <n v="46198"/>
    <n v="554376"/>
    <n v="15.6"/>
    <n v="86483"/>
    <n v="640859"/>
    <x v="0"/>
    <n v="4.2"/>
  </r>
  <r>
    <s v="EMP00351"/>
    <s v="Kabir Nair"/>
    <x v="2"/>
    <x v="14"/>
    <n v="5.9"/>
    <n v="84973"/>
    <n v="1019676"/>
    <n v="8.1"/>
    <n v="82594"/>
    <n v="1102270"/>
    <x v="5"/>
    <n v="3.5"/>
  </r>
  <r>
    <s v="EMP00352"/>
    <s v="Ram Sethi"/>
    <x v="2"/>
    <x v="14"/>
    <n v="4.9000000000000004"/>
    <n v="60321"/>
    <n v="723852"/>
    <n v="12.7"/>
    <n v="91929"/>
    <n v="815781"/>
    <x v="5"/>
    <n v="5.4"/>
  </r>
  <r>
    <s v="EMP00353"/>
    <s v="Aarav Malhotra"/>
    <x v="4"/>
    <x v="36"/>
    <n v="6.2"/>
    <n v="67932"/>
    <n v="815184"/>
    <n v="11.2"/>
    <n v="91301"/>
    <n v="906485"/>
    <x v="3"/>
    <n v="13.7"/>
  </r>
  <r>
    <s v="EMP00354"/>
    <s v="Arun Dwivedi"/>
    <x v="3"/>
    <x v="9"/>
    <n v="4"/>
    <n v="84441"/>
    <n v="1013292"/>
    <n v="15.4"/>
    <n v="156047"/>
    <n v="1169339"/>
    <x v="5"/>
    <n v="5.7"/>
  </r>
  <r>
    <s v="EMP00355"/>
    <s v="Diya Malhotra"/>
    <x v="9"/>
    <x v="39"/>
    <n v="2.4"/>
    <n v="69180"/>
    <n v="830160"/>
    <n v="10.4"/>
    <n v="86337"/>
    <n v="916497"/>
    <x v="0"/>
    <n v="4.8"/>
  </r>
  <r>
    <s v="EMP00356"/>
    <s v="Aditya Khan"/>
    <x v="3"/>
    <x v="40"/>
    <n v="5"/>
    <n v="70714"/>
    <n v="848568"/>
    <n v="8.1"/>
    <n v="68734"/>
    <n v="917302"/>
    <x v="4"/>
    <n v="7.2"/>
  </r>
  <r>
    <s v="EMP00357"/>
    <s v="Riya Patel"/>
    <x v="6"/>
    <x v="7"/>
    <n v="5.5"/>
    <n v="105624"/>
    <n v="1267488"/>
    <n v="13.4"/>
    <n v="169843"/>
    <n v="1437331"/>
    <x v="2"/>
    <n v="4.9000000000000004"/>
  </r>
  <r>
    <s v="EMP00358"/>
    <s v="Arun Verma"/>
    <x v="1"/>
    <x v="1"/>
    <n v="2.8"/>
    <n v="66185"/>
    <n v="794220"/>
    <n v="13.1"/>
    <n v="104043"/>
    <n v="898263"/>
    <x v="4"/>
    <n v="3.8"/>
  </r>
  <r>
    <s v="EMP00359"/>
    <s v="Govind Kumar"/>
    <x v="6"/>
    <x v="34"/>
    <n v="5"/>
    <n v="61119"/>
    <n v="733428"/>
    <n v="17"/>
    <n v="124683"/>
    <n v="858111"/>
    <x v="4"/>
    <n v="6.5"/>
  </r>
  <r>
    <s v="EMP00360"/>
    <s v="Aman Malhotra"/>
    <x v="6"/>
    <x v="34"/>
    <n v="1"/>
    <n v="90814"/>
    <n v="1089768"/>
    <n v="11.7"/>
    <n v="127503"/>
    <n v="1217271"/>
    <x v="4"/>
    <n v="4.7"/>
  </r>
  <r>
    <s v="EMP00361"/>
    <s v="Anshul Verma"/>
    <x v="1"/>
    <x v="12"/>
    <n v="1.7"/>
    <n v="105833"/>
    <n v="1269996"/>
    <n v="14.2"/>
    <n v="180339"/>
    <n v="1450335"/>
    <x v="3"/>
    <n v="4.5999999999999996"/>
  </r>
  <r>
    <s v="EMP00362"/>
    <s v="Aman Malhotra"/>
    <x v="0"/>
    <x v="25"/>
    <n v="0.9"/>
    <n v="33806"/>
    <n v="405672"/>
    <n v="15.5"/>
    <n v="62879"/>
    <n v="468551"/>
    <x v="5"/>
    <n v="9.5"/>
  </r>
  <r>
    <s v="EMP00363"/>
    <s v="Ishita Chauhan"/>
    <x v="3"/>
    <x v="9"/>
    <n v="6.6"/>
    <n v="61913"/>
    <n v="742956"/>
    <n v="7.1"/>
    <n v="52750"/>
    <n v="795706"/>
    <x v="0"/>
    <n v="5.0999999999999996"/>
  </r>
  <r>
    <s v="EMP00364"/>
    <s v="Lakhan Upadhyay"/>
    <x v="1"/>
    <x v="15"/>
    <n v="3.4"/>
    <n v="88694"/>
    <n v="1064328"/>
    <n v="7.4"/>
    <n v="78760"/>
    <n v="1143088"/>
    <x v="2"/>
    <n v="13.2"/>
  </r>
  <r>
    <s v="EMP00365"/>
    <s v="Meera Nair"/>
    <x v="1"/>
    <x v="15"/>
    <n v="2.2999999999999998"/>
    <n v="41703"/>
    <n v="500436"/>
    <n v="14.2"/>
    <n v="71062"/>
    <n v="571498"/>
    <x v="3"/>
    <n v="7.9"/>
  </r>
  <r>
    <s v="EMP00366"/>
    <s v="Yash Joshi"/>
    <x v="0"/>
    <x v="0"/>
    <n v="4.2"/>
    <n v="72966"/>
    <n v="875592"/>
    <n v="11"/>
    <n v="96315"/>
    <n v="971907"/>
    <x v="5"/>
    <n v="7.9"/>
  </r>
  <r>
    <s v="EMP00367"/>
    <s v="Ram Das"/>
    <x v="1"/>
    <x v="12"/>
    <n v="6.7"/>
    <n v="85431"/>
    <n v="1025172"/>
    <n v="14"/>
    <n v="143524"/>
    <n v="1168696"/>
    <x v="1"/>
    <n v="14.6"/>
  </r>
  <r>
    <s v="EMP00368"/>
    <s v="Karan Tiwari"/>
    <x v="3"/>
    <x v="3"/>
    <n v="6.5"/>
    <n v="30960"/>
    <n v="371520"/>
    <n v="17.899999999999999"/>
    <n v="66502"/>
    <n v="438022"/>
    <x v="5"/>
    <n v="6.9"/>
  </r>
  <r>
    <s v="EMP00369"/>
    <s v="Diya Tiwari"/>
    <x v="0"/>
    <x v="25"/>
    <n v="5.8"/>
    <n v="100339"/>
    <n v="1204068"/>
    <n v="9.6999999999999993"/>
    <n v="116795"/>
    <n v="1320863"/>
    <x v="0"/>
    <n v="13.2"/>
  </r>
  <r>
    <s v="EMP00370"/>
    <s v="Diya Patel"/>
    <x v="1"/>
    <x v="12"/>
    <n v="3.2"/>
    <n v="110543"/>
    <n v="1326516"/>
    <n v="10.1"/>
    <n v="133978"/>
    <n v="1460494"/>
    <x v="3"/>
    <n v="13.2"/>
  </r>
  <r>
    <s v="EMP00371"/>
    <s v="Sara Malhotra"/>
    <x v="6"/>
    <x v="34"/>
    <n v="2.7"/>
    <n v="105621"/>
    <n v="1267452"/>
    <n v="16.3"/>
    <n v="206595"/>
    <n v="1474047"/>
    <x v="3"/>
    <n v="7.5"/>
  </r>
  <r>
    <s v="EMP00372"/>
    <s v="Divyansh Verma"/>
    <x v="5"/>
    <x v="6"/>
    <n v="4.5999999999999996"/>
    <n v="120243"/>
    <n v="1442916"/>
    <n v="11.9"/>
    <n v="171707"/>
    <n v="1614623"/>
    <x v="3"/>
    <n v="8.1"/>
  </r>
  <r>
    <s v="EMP00373"/>
    <s v="Yash Gupta"/>
    <x v="4"/>
    <x v="41"/>
    <n v="4.0999999999999996"/>
    <n v="53830"/>
    <n v="645960"/>
    <n v="11.9"/>
    <n v="76869"/>
    <n v="722829"/>
    <x v="2"/>
    <n v="14.6"/>
  </r>
  <r>
    <s v="EMP00374"/>
    <s v="Aman Gupta"/>
    <x v="2"/>
    <x v="14"/>
    <n v="0.9"/>
    <n v="79451"/>
    <n v="953412"/>
    <n v="7.4"/>
    <n v="70552"/>
    <n v="1023964"/>
    <x v="0"/>
    <n v="6"/>
  </r>
  <r>
    <s v="EMP00375"/>
    <s v="Aman Verma"/>
    <x v="3"/>
    <x v="40"/>
    <n v="4.4000000000000004"/>
    <n v="108541"/>
    <n v="1302492"/>
    <n v="7.6"/>
    <n v="98989"/>
    <n v="1401481"/>
    <x v="0"/>
    <n v="12.3"/>
  </r>
  <r>
    <s v="EMP00376"/>
    <s v="Diya Kapoor"/>
    <x v="9"/>
    <x v="39"/>
    <n v="4.3"/>
    <n v="43328"/>
    <n v="519936"/>
    <n v="12.5"/>
    <n v="64992"/>
    <n v="584928"/>
    <x v="3"/>
    <n v="5.6"/>
  </r>
  <r>
    <s v="EMP00377"/>
    <s v="Aman Malhotra"/>
    <x v="9"/>
    <x v="31"/>
    <n v="1.1000000000000001"/>
    <n v="46070"/>
    <n v="552840"/>
    <n v="10.5"/>
    <n v="58048"/>
    <n v="610888"/>
    <x v="0"/>
    <n v="9.6"/>
  </r>
  <r>
    <s v="EMP00378"/>
    <s v="Diya Sethi"/>
    <x v="6"/>
    <x v="21"/>
    <n v="5.8"/>
    <n v="100733"/>
    <n v="1208796"/>
    <n v="8.6"/>
    <n v="103956"/>
    <n v="1312752"/>
    <x v="3"/>
    <n v="6.1"/>
  </r>
  <r>
    <s v="EMP00379"/>
    <s v="Aditi Kapoor"/>
    <x v="2"/>
    <x v="17"/>
    <n v="2.7"/>
    <n v="109187"/>
    <n v="1310244"/>
    <n v="12.3"/>
    <n v="161160"/>
    <n v="1471404"/>
    <x v="0"/>
    <n v="3.7"/>
  </r>
  <r>
    <s v="EMP00380"/>
    <s v="Rahul Sethi"/>
    <x v="5"/>
    <x v="35"/>
    <n v="3.4"/>
    <n v="101607"/>
    <n v="1219284"/>
    <n v="15.3"/>
    <n v="186550"/>
    <n v="1405834"/>
    <x v="2"/>
    <n v="3.7"/>
  </r>
  <r>
    <s v="EMP00381"/>
    <s v="Arjun Upadhyay"/>
    <x v="6"/>
    <x v="34"/>
    <n v="2.2999999999999998"/>
    <n v="49922"/>
    <n v="599064"/>
    <n v="15.4"/>
    <n v="92256"/>
    <n v="691320"/>
    <x v="1"/>
    <n v="4.4000000000000004"/>
  </r>
  <r>
    <s v="EMP00382"/>
    <s v="Riya Mehta"/>
    <x v="5"/>
    <x v="32"/>
    <n v="4.7"/>
    <n v="57470"/>
    <n v="689640"/>
    <n v="17.899999999999999"/>
    <n v="123446"/>
    <n v="813086"/>
    <x v="5"/>
    <n v="10.9"/>
  </r>
  <r>
    <s v="EMP00383"/>
    <s v="Aman Gupta"/>
    <x v="9"/>
    <x v="43"/>
    <n v="2"/>
    <n v="42838"/>
    <n v="514056"/>
    <n v="15.5"/>
    <n v="79679"/>
    <n v="593735"/>
    <x v="0"/>
    <n v="3.4"/>
  </r>
  <r>
    <s v="EMP00384"/>
    <s v="Yash Mishra"/>
    <x v="2"/>
    <x v="8"/>
    <n v="7.3"/>
    <n v="122238"/>
    <n v="1466856"/>
    <n v="18"/>
    <n v="264034"/>
    <n v="1730890"/>
    <x v="2"/>
    <n v="9.6999999999999993"/>
  </r>
  <r>
    <s v="EMP00385"/>
    <s v="Yash Khan"/>
    <x v="7"/>
    <x v="10"/>
    <n v="4.4000000000000004"/>
    <n v="32224"/>
    <n v="386688"/>
    <n v="4.2"/>
    <n v="16241"/>
    <n v="402929"/>
    <x v="4"/>
    <n v="15"/>
  </r>
  <r>
    <s v="EMP00386"/>
    <s v="Divyansh Upadhyay"/>
    <x v="3"/>
    <x v="3"/>
    <n v="5.0999999999999996"/>
    <n v="55509"/>
    <n v="666108"/>
    <n v="11.1"/>
    <n v="73938"/>
    <n v="740046"/>
    <x v="1"/>
    <n v="7.9"/>
  </r>
  <r>
    <s v="EMP00387"/>
    <s v="Divyansh Singh"/>
    <x v="3"/>
    <x v="9"/>
    <n v="5.4"/>
    <n v="55124"/>
    <n v="661488"/>
    <n v="12.6"/>
    <n v="83347"/>
    <n v="744835"/>
    <x v="4"/>
    <n v="3.4"/>
  </r>
  <r>
    <s v="EMP00388"/>
    <s v="Rinku Mehta"/>
    <x v="4"/>
    <x v="4"/>
    <n v="5.9"/>
    <n v="70421"/>
    <n v="845052"/>
    <n v="5"/>
    <n v="42253"/>
    <n v="887305"/>
    <x v="3"/>
    <n v="11.5"/>
  </r>
  <r>
    <s v="EMP00389"/>
    <s v="Lakhan Nair"/>
    <x v="2"/>
    <x v="8"/>
    <n v="6.7"/>
    <n v="45771"/>
    <n v="549252"/>
    <n v="11.6"/>
    <n v="63713"/>
    <n v="612965"/>
    <x v="0"/>
    <n v="10.8"/>
  </r>
  <r>
    <s v="EMP00390"/>
    <s v="Rinku Tiwari"/>
    <x v="5"/>
    <x v="45"/>
    <n v="4.9000000000000004"/>
    <n v="47168"/>
    <n v="566016"/>
    <n v="7.1"/>
    <n v="40187"/>
    <n v="606203"/>
    <x v="3"/>
    <n v="3.7"/>
  </r>
  <r>
    <s v="EMP00391"/>
    <s v="Kabir Nair"/>
    <x v="7"/>
    <x v="10"/>
    <n v="1.3"/>
    <n v="110890"/>
    <n v="1330680"/>
    <n v="5.6"/>
    <n v="74518"/>
    <n v="1405198"/>
    <x v="5"/>
    <n v="8.5"/>
  </r>
  <r>
    <s v="EMP00392"/>
    <s v="Ram Khan"/>
    <x v="6"/>
    <x v="34"/>
    <n v="3.2"/>
    <n v="95582"/>
    <n v="1146984"/>
    <n v="11.1"/>
    <n v="127315"/>
    <n v="1274299"/>
    <x v="0"/>
    <n v="6.2"/>
  </r>
  <r>
    <s v="EMP00393"/>
    <s v="Karan Verma"/>
    <x v="3"/>
    <x v="9"/>
    <n v="1.2"/>
    <n v="28324"/>
    <n v="339888"/>
    <n v="13.8"/>
    <n v="46905"/>
    <n v="386793"/>
    <x v="5"/>
    <n v="6.1"/>
  </r>
  <r>
    <s v="EMP00394"/>
    <s v="Sara Joshi"/>
    <x v="8"/>
    <x v="24"/>
    <n v="3.3"/>
    <n v="56551"/>
    <n v="678612"/>
    <n v="16"/>
    <n v="108578"/>
    <n v="787190"/>
    <x v="2"/>
    <n v="12.3"/>
  </r>
  <r>
    <s v="EMP00395"/>
    <s v="Aman Kumar"/>
    <x v="8"/>
    <x v="24"/>
    <n v="4"/>
    <n v="99737"/>
    <n v="1196844"/>
    <n v="15.8"/>
    <n v="189101"/>
    <n v="1385945"/>
    <x v="2"/>
    <n v="7.2"/>
  </r>
  <r>
    <s v="EMP00396"/>
    <s v="Anshul Das"/>
    <x v="4"/>
    <x v="37"/>
    <n v="7.2"/>
    <n v="41051"/>
    <n v="492612"/>
    <n v="10.6"/>
    <n v="52217"/>
    <n v="544829"/>
    <x v="4"/>
    <n v="14.7"/>
  </r>
  <r>
    <s v="EMP00397"/>
    <s v="Sara Joshi"/>
    <x v="5"/>
    <x v="30"/>
    <n v="2.6"/>
    <n v="28088"/>
    <n v="337056"/>
    <n v="16.7"/>
    <n v="56288"/>
    <n v="393344"/>
    <x v="4"/>
    <n v="9.8000000000000007"/>
  </r>
  <r>
    <s v="EMP00398"/>
    <s v="Nisha Khan"/>
    <x v="9"/>
    <x v="39"/>
    <n v="6.7"/>
    <n v="113798"/>
    <n v="1365576"/>
    <n v="15"/>
    <n v="204836"/>
    <n v="1570412"/>
    <x v="4"/>
    <n v="14.5"/>
  </r>
  <r>
    <s v="EMP00399"/>
    <s v="Meera Rao"/>
    <x v="0"/>
    <x v="29"/>
    <n v="3.3"/>
    <n v="109999"/>
    <n v="1319988"/>
    <n v="5.2"/>
    <n v="68639"/>
    <n v="1388627"/>
    <x v="3"/>
    <n v="6.3"/>
  </r>
  <r>
    <s v="EMP00400"/>
    <s v="Arjun Kumar"/>
    <x v="6"/>
    <x v="13"/>
    <n v="5.4"/>
    <n v="90496"/>
    <n v="1085952"/>
    <n v="14.2"/>
    <n v="154205"/>
    <n v="1240157"/>
    <x v="0"/>
    <n v="12.4"/>
  </r>
  <r>
    <s v="EMP00401"/>
    <s v="Vihaan Gupta"/>
    <x v="4"/>
    <x v="36"/>
    <n v="7.7"/>
    <n v="119173"/>
    <n v="1430076"/>
    <n v="9.6"/>
    <n v="137287"/>
    <n v="1567363"/>
    <x v="3"/>
    <n v="10.7"/>
  </r>
  <r>
    <s v="EMP00402"/>
    <s v="Arjun Gupta"/>
    <x v="6"/>
    <x v="21"/>
    <n v="5.2"/>
    <n v="78209"/>
    <n v="938508"/>
    <n v="5.9"/>
    <n v="55372"/>
    <n v="993880"/>
    <x v="1"/>
    <n v="7.1"/>
  </r>
  <r>
    <s v="EMP00403"/>
    <s v="Lakhan Kumar"/>
    <x v="0"/>
    <x v="29"/>
    <n v="6.2"/>
    <n v="78164"/>
    <n v="937968"/>
    <n v="5.2"/>
    <n v="48774"/>
    <n v="986742"/>
    <x v="1"/>
    <n v="5.0999999999999996"/>
  </r>
  <r>
    <s v="EMP00404"/>
    <s v="Ram Joshi"/>
    <x v="9"/>
    <x v="28"/>
    <n v="2.8"/>
    <n v="74030"/>
    <n v="888360"/>
    <n v="16.3"/>
    <n v="144803"/>
    <n v="1033163"/>
    <x v="4"/>
    <n v="13.2"/>
  </r>
  <r>
    <s v="EMP00405"/>
    <s v="Aryan Gupta"/>
    <x v="9"/>
    <x v="43"/>
    <n v="6.8"/>
    <n v="41168"/>
    <n v="494016"/>
    <n v="4.0999999999999996"/>
    <n v="20255"/>
    <n v="514271"/>
    <x v="3"/>
    <n v="9.5"/>
  </r>
  <r>
    <s v="EMP00406"/>
    <s v="Ishita Khan"/>
    <x v="4"/>
    <x v="37"/>
    <n v="4.2"/>
    <n v="46327"/>
    <n v="555924"/>
    <n v="11.3"/>
    <n v="62819"/>
    <n v="618743"/>
    <x v="1"/>
    <n v="10.7"/>
  </r>
  <r>
    <s v="EMP00407"/>
    <s v="Rahul Dwivedi"/>
    <x v="0"/>
    <x v="25"/>
    <n v="4.4000000000000004"/>
    <n v="54928"/>
    <n v="659136"/>
    <n v="8.1999999999999993"/>
    <n v="54049"/>
    <n v="713185"/>
    <x v="4"/>
    <n v="6.7"/>
  </r>
  <r>
    <s v="EMP00408"/>
    <s v="Pooja Malhotra"/>
    <x v="1"/>
    <x v="15"/>
    <n v="7.1"/>
    <n v="59370"/>
    <n v="712440"/>
    <n v="10.4"/>
    <n v="74094"/>
    <n v="786534"/>
    <x v="1"/>
    <n v="5"/>
  </r>
  <r>
    <s v="EMP00409"/>
    <s v="Nisha Tiwari"/>
    <x v="0"/>
    <x v="25"/>
    <n v="1.8"/>
    <n v="29581"/>
    <n v="354972"/>
    <n v="6.5"/>
    <n v="23073"/>
    <n v="378045"/>
    <x v="5"/>
    <n v="6.9"/>
  </r>
  <r>
    <s v="EMP00410"/>
    <s v="Diya Sethi"/>
    <x v="9"/>
    <x v="43"/>
    <n v="1.6"/>
    <n v="117514"/>
    <n v="1410168"/>
    <n v="17.3"/>
    <n v="243959"/>
    <n v="1654127"/>
    <x v="3"/>
    <n v="14.6"/>
  </r>
  <r>
    <s v="EMP00411"/>
    <s v="Aditi Singh"/>
    <x v="0"/>
    <x v="0"/>
    <n v="4.8"/>
    <n v="56277"/>
    <n v="675324"/>
    <n v="13.6"/>
    <n v="91844"/>
    <n v="767168"/>
    <x v="4"/>
    <n v="13.1"/>
  </r>
  <r>
    <s v="EMP00412"/>
    <s v="Anshul Mishra"/>
    <x v="6"/>
    <x v="7"/>
    <n v="3.2"/>
    <n v="38803"/>
    <n v="465636"/>
    <n v="7.9"/>
    <n v="36785"/>
    <n v="502421"/>
    <x v="2"/>
    <n v="7.3"/>
  </r>
  <r>
    <s v="EMP00413"/>
    <s v="Rahul Joshi"/>
    <x v="1"/>
    <x v="15"/>
    <n v="4.3"/>
    <n v="38357"/>
    <n v="460284"/>
    <n v="11.5"/>
    <n v="52933"/>
    <n v="513217"/>
    <x v="4"/>
    <n v="11.7"/>
  </r>
  <r>
    <s v="EMP00414"/>
    <s v="Lakhan Verma"/>
    <x v="9"/>
    <x v="31"/>
    <n v="1.2"/>
    <n v="111138"/>
    <n v="1333656"/>
    <n v="14.1"/>
    <n v="188045"/>
    <n v="1521701"/>
    <x v="1"/>
    <n v="5.4"/>
  </r>
  <r>
    <s v="EMP00415"/>
    <s v="Vikram Nair"/>
    <x v="2"/>
    <x v="14"/>
    <n v="5"/>
    <n v="39300"/>
    <n v="471600"/>
    <n v="10.5"/>
    <n v="49518"/>
    <n v="521118"/>
    <x v="0"/>
    <n v="13.2"/>
  </r>
  <r>
    <s v="EMP00416"/>
    <s v="Aarav Kumar"/>
    <x v="0"/>
    <x v="27"/>
    <n v="5.8"/>
    <n v="43655"/>
    <n v="523860"/>
    <n v="12.3"/>
    <n v="64435"/>
    <n v="588295"/>
    <x v="3"/>
    <n v="11.7"/>
  </r>
  <r>
    <s v="EMP00417"/>
    <s v="Divyansh Khan"/>
    <x v="5"/>
    <x v="32"/>
    <n v="1.9"/>
    <n v="95793"/>
    <n v="1149516"/>
    <n v="7.3"/>
    <n v="83915"/>
    <n v="1233431"/>
    <x v="1"/>
    <n v="8.4"/>
  </r>
  <r>
    <s v="EMP00418"/>
    <s v="Vihaan Nair"/>
    <x v="9"/>
    <x v="39"/>
    <n v="6.4"/>
    <n v="31847"/>
    <n v="382164"/>
    <n v="5.2"/>
    <n v="19873"/>
    <n v="402037"/>
    <x v="4"/>
    <n v="12.5"/>
  </r>
  <r>
    <s v="EMP00419"/>
    <s v="Arjun Sethi"/>
    <x v="2"/>
    <x v="8"/>
    <n v="1.3"/>
    <n v="110251"/>
    <n v="1323012"/>
    <n v="15.5"/>
    <n v="205067"/>
    <n v="1528079"/>
    <x v="5"/>
    <n v="11.3"/>
  </r>
  <r>
    <s v="EMP00420"/>
    <s v="Nisha Patel"/>
    <x v="8"/>
    <x v="24"/>
    <n v="1.4"/>
    <n v="49873"/>
    <n v="598476"/>
    <n v="6.7"/>
    <n v="40098"/>
    <n v="638574"/>
    <x v="1"/>
    <n v="14.8"/>
  </r>
  <r>
    <s v="EMP00421"/>
    <s v="Aditi Sharma"/>
    <x v="2"/>
    <x v="2"/>
    <n v="2"/>
    <n v="28336"/>
    <n v="340032"/>
    <n v="8.5"/>
    <n v="28903"/>
    <n v="368935"/>
    <x v="3"/>
    <n v="5.6"/>
  </r>
  <r>
    <s v="EMP00422"/>
    <s v="Diya Singh"/>
    <x v="7"/>
    <x v="19"/>
    <n v="3.5"/>
    <n v="47671"/>
    <n v="572052"/>
    <n v="8.6"/>
    <n v="49196"/>
    <n v="621248"/>
    <x v="3"/>
    <n v="6.8"/>
  </r>
  <r>
    <s v="EMP00423"/>
    <s v="Vikram Tiwari"/>
    <x v="1"/>
    <x v="12"/>
    <n v="5"/>
    <n v="82559"/>
    <n v="990708"/>
    <n v="13.7"/>
    <n v="135727"/>
    <n v="1126435"/>
    <x v="5"/>
    <n v="11"/>
  </r>
  <r>
    <s v="EMP00424"/>
    <s v="Neha Singh"/>
    <x v="2"/>
    <x v="2"/>
    <n v="2.1"/>
    <n v="116254"/>
    <n v="1395048"/>
    <n v="12.8"/>
    <n v="178566"/>
    <n v="1573614"/>
    <x v="3"/>
    <n v="6.3"/>
  </r>
  <r>
    <s v="EMP00425"/>
    <s v="Karan Mehta"/>
    <x v="9"/>
    <x v="44"/>
    <n v="7"/>
    <n v="88960"/>
    <n v="1067520"/>
    <n v="13.3"/>
    <n v="141980"/>
    <n v="1209500"/>
    <x v="1"/>
    <n v="6.2"/>
  </r>
  <r>
    <s v="EMP00426"/>
    <s v="Nisha Joshi"/>
    <x v="2"/>
    <x v="38"/>
    <n v="2.6"/>
    <n v="29044"/>
    <n v="348528"/>
    <n v="15.5"/>
    <n v="54022"/>
    <n v="402550"/>
    <x v="1"/>
    <n v="4.5999999999999996"/>
  </r>
  <r>
    <s v="EMP00427"/>
    <s v="Aman Sethi"/>
    <x v="2"/>
    <x v="8"/>
    <n v="2.5"/>
    <n v="76270"/>
    <n v="915240"/>
    <n v="12.2"/>
    <n v="111659"/>
    <n v="1026899"/>
    <x v="3"/>
    <n v="12.8"/>
  </r>
  <r>
    <s v="EMP00428"/>
    <s v="Aarav Rao"/>
    <x v="7"/>
    <x v="42"/>
    <n v="7.7"/>
    <n v="81744"/>
    <n v="980928"/>
    <n v="17.100000000000001"/>
    <n v="167739"/>
    <n v="1148667"/>
    <x v="3"/>
    <n v="9.4"/>
  </r>
  <r>
    <s v="EMP00429"/>
    <s v="Aditya Mehta"/>
    <x v="1"/>
    <x v="11"/>
    <n v="7.7"/>
    <n v="114154"/>
    <n v="1369848"/>
    <n v="5.0999999999999996"/>
    <n v="69862"/>
    <n v="1439710"/>
    <x v="3"/>
    <n v="14.6"/>
  </r>
  <r>
    <s v="EMP00430"/>
    <s v="Aryan Khan"/>
    <x v="0"/>
    <x v="25"/>
    <n v="2.2000000000000002"/>
    <n v="35850"/>
    <n v="430200"/>
    <n v="6"/>
    <n v="25812"/>
    <n v="456012"/>
    <x v="0"/>
    <n v="12"/>
  </r>
  <r>
    <s v="EMP00431"/>
    <s v="Neha Kapoor"/>
    <x v="0"/>
    <x v="0"/>
    <n v="3.1"/>
    <n v="119861"/>
    <n v="1438332"/>
    <n v="10.1"/>
    <n v="145272"/>
    <n v="1583604"/>
    <x v="0"/>
    <n v="3.4"/>
  </r>
  <r>
    <s v="EMP00432"/>
    <s v="Arun Malhotra"/>
    <x v="8"/>
    <x v="22"/>
    <n v="6.3"/>
    <n v="111521"/>
    <n v="1338252"/>
    <n v="13.3"/>
    <n v="177988"/>
    <n v="1516240"/>
    <x v="3"/>
    <n v="14"/>
  </r>
  <r>
    <s v="EMP00433"/>
    <s v="Meera Khan"/>
    <x v="0"/>
    <x v="5"/>
    <n v="6.3"/>
    <n v="59034"/>
    <n v="708408"/>
    <n v="16.5"/>
    <n v="116887"/>
    <n v="825295"/>
    <x v="3"/>
    <n v="10.9"/>
  </r>
  <r>
    <s v="EMP00434"/>
    <s v="Ishita Verma"/>
    <x v="3"/>
    <x v="9"/>
    <n v="2.7"/>
    <n v="63645"/>
    <n v="763740"/>
    <n v="13.6"/>
    <n v="103869"/>
    <n v="867609"/>
    <x v="1"/>
    <n v="14.9"/>
  </r>
  <r>
    <s v="EMP00435"/>
    <s v="Yash Das"/>
    <x v="7"/>
    <x v="23"/>
    <n v="6.6"/>
    <n v="49544"/>
    <n v="594528"/>
    <n v="4.5999999999999996"/>
    <n v="27348"/>
    <n v="621876"/>
    <x v="2"/>
    <n v="7.4"/>
  </r>
  <r>
    <s v="EMP00436"/>
    <s v="Yash Mehta"/>
    <x v="3"/>
    <x v="9"/>
    <n v="3.7"/>
    <n v="55215"/>
    <n v="662580"/>
    <n v="13.7"/>
    <n v="90773"/>
    <n v="753353"/>
    <x v="1"/>
    <n v="7.9"/>
  </r>
  <r>
    <s v="EMP00437"/>
    <s v="Meera Dwivedi"/>
    <x v="8"/>
    <x v="24"/>
    <n v="6"/>
    <n v="117922"/>
    <n v="1415064"/>
    <n v="14"/>
    <n v="198109"/>
    <n v="1613173"/>
    <x v="1"/>
    <n v="8.6999999999999993"/>
  </r>
  <r>
    <s v="EMP00438"/>
    <s v="Ishita Kapoor"/>
    <x v="5"/>
    <x v="32"/>
    <n v="6.7"/>
    <n v="121212"/>
    <n v="1454544"/>
    <n v="7.5"/>
    <n v="109091"/>
    <n v="1563635"/>
    <x v="5"/>
    <n v="13.7"/>
  </r>
  <r>
    <s v="EMP00439"/>
    <s v="Aditya Das"/>
    <x v="6"/>
    <x v="13"/>
    <n v="5.8"/>
    <n v="32073"/>
    <n v="384876"/>
    <n v="12.2"/>
    <n v="46955"/>
    <n v="431831"/>
    <x v="1"/>
    <n v="3.4"/>
  </r>
  <r>
    <s v="EMP00440"/>
    <s v="Ananya Sharma"/>
    <x v="1"/>
    <x v="15"/>
    <n v="6.6"/>
    <n v="46322"/>
    <n v="555864"/>
    <n v="15.5"/>
    <n v="86159"/>
    <n v="642023"/>
    <x v="1"/>
    <n v="12.4"/>
  </r>
  <r>
    <s v="EMP00441"/>
    <s v="Govind Verma"/>
    <x v="5"/>
    <x v="32"/>
    <n v="3.3"/>
    <n v="76790"/>
    <n v="921480"/>
    <n v="6.5"/>
    <n v="59896"/>
    <n v="981376"/>
    <x v="0"/>
    <n v="8.6"/>
  </r>
  <r>
    <s v="EMP00442"/>
    <s v="Neha Das"/>
    <x v="4"/>
    <x v="4"/>
    <n v="7"/>
    <n v="53919"/>
    <n v="647028"/>
    <n v="17.3"/>
    <n v="111936"/>
    <n v="758964"/>
    <x v="1"/>
    <n v="13.1"/>
  </r>
  <r>
    <s v="EMP00443"/>
    <s v="Aditi Patel"/>
    <x v="9"/>
    <x v="28"/>
    <n v="7.3"/>
    <n v="88423"/>
    <n v="1061076"/>
    <n v="6.9"/>
    <n v="73214"/>
    <n v="1134290"/>
    <x v="4"/>
    <n v="7.3"/>
  </r>
  <r>
    <s v="EMP00444"/>
    <s v="Govind Nair"/>
    <x v="4"/>
    <x v="37"/>
    <n v="7.4"/>
    <n v="78165"/>
    <n v="937980"/>
    <n v="5.6"/>
    <n v="52527"/>
    <n v="990507"/>
    <x v="2"/>
    <n v="4.4000000000000004"/>
  </r>
  <r>
    <s v="EMP00445"/>
    <s v="Yash Kumar"/>
    <x v="9"/>
    <x v="39"/>
    <n v="4.7"/>
    <n v="64681"/>
    <n v="776172"/>
    <n v="15.9"/>
    <n v="123411"/>
    <n v="899583"/>
    <x v="0"/>
    <n v="14.6"/>
  </r>
  <r>
    <s v="EMP00446"/>
    <s v="Neha Mishra"/>
    <x v="5"/>
    <x v="18"/>
    <n v="2.2000000000000002"/>
    <n v="82000"/>
    <n v="984000"/>
    <n v="16.600000000000001"/>
    <n v="163344"/>
    <n v="1147344"/>
    <x v="1"/>
    <n v="5.2"/>
  </r>
  <r>
    <s v="EMP00447"/>
    <s v="Sara Joshi"/>
    <x v="8"/>
    <x v="22"/>
    <n v="3.5"/>
    <n v="45987"/>
    <n v="551844"/>
    <n v="9.4"/>
    <n v="51873"/>
    <n v="603717"/>
    <x v="1"/>
    <n v="9.3000000000000007"/>
  </r>
  <r>
    <s v="EMP00448"/>
    <s v="Riya Sethi"/>
    <x v="1"/>
    <x v="15"/>
    <n v="3.7"/>
    <n v="90873"/>
    <n v="1090476"/>
    <n v="14.8"/>
    <n v="161390"/>
    <n v="1251866"/>
    <x v="2"/>
    <n v="8.6999999999999993"/>
  </r>
  <r>
    <s v="EMP00449"/>
    <s v="Vihaan Dwivedi"/>
    <x v="3"/>
    <x v="40"/>
    <n v="5.7"/>
    <n v="31416"/>
    <n v="376992"/>
    <n v="7.7"/>
    <n v="29028"/>
    <n v="406020"/>
    <x v="3"/>
    <n v="9.8000000000000007"/>
  </r>
  <r>
    <s v="EMP00450"/>
    <s v="Nisha Upadhyay"/>
    <x v="7"/>
    <x v="19"/>
    <n v="2.5"/>
    <n v="97393"/>
    <n v="1168716"/>
    <n v="4.8"/>
    <n v="56098"/>
    <n v="1224814"/>
    <x v="5"/>
    <n v="5"/>
  </r>
  <r>
    <s v="EMP00451"/>
    <s v="Riya Singh"/>
    <x v="7"/>
    <x v="23"/>
    <n v="5"/>
    <n v="62934"/>
    <n v="755208"/>
    <n v="11.6"/>
    <n v="87604"/>
    <n v="842812"/>
    <x v="0"/>
    <n v="11.2"/>
  </r>
  <r>
    <s v="EMP00452"/>
    <s v="Ishita Upadhyay"/>
    <x v="7"/>
    <x v="42"/>
    <n v="5.8"/>
    <n v="51081"/>
    <n v="612972"/>
    <n v="8.1"/>
    <n v="49651"/>
    <n v="662623"/>
    <x v="4"/>
    <n v="10.6"/>
  </r>
  <r>
    <s v="EMP00453"/>
    <s v="Aryan Upadhyay"/>
    <x v="3"/>
    <x v="40"/>
    <n v="1.4"/>
    <n v="101873"/>
    <n v="1222476"/>
    <n v="12.8"/>
    <n v="156477"/>
    <n v="1378953"/>
    <x v="0"/>
    <n v="7.8"/>
  </r>
  <r>
    <s v="EMP00454"/>
    <s v="Arjun Singh"/>
    <x v="7"/>
    <x v="10"/>
    <n v="2.2000000000000002"/>
    <n v="32975"/>
    <n v="395700"/>
    <n v="11.1"/>
    <n v="43923"/>
    <n v="439623"/>
    <x v="3"/>
    <n v="7"/>
  </r>
  <r>
    <s v="EMP00455"/>
    <s v="Aarav Tiwari"/>
    <x v="7"/>
    <x v="42"/>
    <n v="1.8"/>
    <n v="90650"/>
    <n v="1087800"/>
    <n v="11.1"/>
    <n v="120746"/>
    <n v="1208546"/>
    <x v="3"/>
    <n v="10.3"/>
  </r>
  <r>
    <s v="EMP00456"/>
    <s v="Aditi Sharma"/>
    <x v="4"/>
    <x v="36"/>
    <n v="5.8"/>
    <n v="70413"/>
    <n v="844956"/>
    <n v="16.2"/>
    <n v="136883"/>
    <n v="981839"/>
    <x v="2"/>
    <n v="3.8"/>
  </r>
  <r>
    <s v="EMP00457"/>
    <s v="Arjun Kapoor"/>
    <x v="9"/>
    <x v="31"/>
    <n v="1.8"/>
    <n v="75826"/>
    <n v="909912"/>
    <n v="5.0999999999999996"/>
    <n v="46406"/>
    <n v="956318"/>
    <x v="0"/>
    <n v="5.8"/>
  </r>
  <r>
    <s v="EMP00458"/>
    <s v="Diya Nair"/>
    <x v="6"/>
    <x v="13"/>
    <n v="4.0999999999999996"/>
    <n v="45884"/>
    <n v="550608"/>
    <n v="14.3"/>
    <n v="78737"/>
    <n v="629345"/>
    <x v="5"/>
    <n v="6.6"/>
  </r>
  <r>
    <s v="EMP00459"/>
    <s v="Ishita Upadhyay"/>
    <x v="8"/>
    <x v="24"/>
    <n v="0.9"/>
    <n v="74769"/>
    <n v="897228"/>
    <n v="5.3"/>
    <n v="47553"/>
    <n v="944781"/>
    <x v="3"/>
    <n v="6.9"/>
  </r>
  <r>
    <s v="EMP00460"/>
    <s v="Ram Sharma"/>
    <x v="9"/>
    <x v="43"/>
    <n v="6.3"/>
    <n v="51292"/>
    <n v="615504"/>
    <n v="6.9"/>
    <n v="42470"/>
    <n v="657974"/>
    <x v="0"/>
    <n v="9.4"/>
  </r>
  <r>
    <s v="EMP00461"/>
    <s v="Vikram Dwivedi"/>
    <x v="4"/>
    <x v="37"/>
    <n v="1"/>
    <n v="69709"/>
    <n v="836508"/>
    <n v="8.8000000000000007"/>
    <n v="73613"/>
    <n v="910121"/>
    <x v="5"/>
    <n v="13.4"/>
  </r>
  <r>
    <s v="EMP00462"/>
    <s v="Ram Verma"/>
    <x v="7"/>
    <x v="42"/>
    <n v="6.2"/>
    <n v="71406"/>
    <n v="856872"/>
    <n v="14.5"/>
    <n v="124246"/>
    <n v="981118"/>
    <x v="5"/>
    <n v="6.7"/>
  </r>
  <r>
    <s v="EMP00463"/>
    <s v="Govind Tiwari"/>
    <x v="7"/>
    <x v="26"/>
    <n v="6.8"/>
    <n v="120925"/>
    <n v="1451100"/>
    <n v="6.4"/>
    <n v="92870"/>
    <n v="1543970"/>
    <x v="4"/>
    <n v="13.3"/>
  </r>
  <r>
    <s v="EMP00464"/>
    <s v="Arjun Kapoor"/>
    <x v="8"/>
    <x v="22"/>
    <n v="4.9000000000000004"/>
    <n v="118855"/>
    <n v="1426260"/>
    <n v="8.3000000000000007"/>
    <n v="118380"/>
    <n v="1544640"/>
    <x v="0"/>
    <n v="6.5"/>
  </r>
  <r>
    <s v="EMP00465"/>
    <s v="Ram Nair"/>
    <x v="2"/>
    <x v="2"/>
    <n v="3.4"/>
    <n v="85438"/>
    <n v="1025256"/>
    <n v="16.600000000000001"/>
    <n v="170192"/>
    <n v="1195448"/>
    <x v="1"/>
    <n v="14.2"/>
  </r>
  <r>
    <s v="EMP00466"/>
    <s v="Aditya Gupta"/>
    <x v="9"/>
    <x v="43"/>
    <n v="3.8"/>
    <n v="99568"/>
    <n v="1194816"/>
    <n v="5.3"/>
    <n v="63325"/>
    <n v="1258141"/>
    <x v="0"/>
    <n v="10.9"/>
  </r>
  <r>
    <s v="EMP00467"/>
    <s v="Meera Sharma"/>
    <x v="8"/>
    <x v="20"/>
    <n v="6.9"/>
    <n v="32379"/>
    <n v="388548"/>
    <n v="14.1"/>
    <n v="54785"/>
    <n v="443333"/>
    <x v="1"/>
    <n v="12.2"/>
  </r>
  <r>
    <s v="EMP00468"/>
    <s v="Neha Malhotra"/>
    <x v="3"/>
    <x v="40"/>
    <n v="3.9"/>
    <n v="50296"/>
    <n v="603552"/>
    <n v="8"/>
    <n v="48284"/>
    <n v="651836"/>
    <x v="4"/>
    <n v="8.8000000000000007"/>
  </r>
  <r>
    <s v="EMP00469"/>
    <s v="Neha Sethi"/>
    <x v="9"/>
    <x v="28"/>
    <n v="1.1000000000000001"/>
    <n v="108431"/>
    <n v="1301172"/>
    <n v="4.7"/>
    <n v="61155"/>
    <n v="1362327"/>
    <x v="2"/>
    <n v="5.6"/>
  </r>
  <r>
    <s v="EMP00470"/>
    <s v="Ananya Tiwari"/>
    <x v="5"/>
    <x v="35"/>
    <n v="6"/>
    <n v="35019"/>
    <n v="420228"/>
    <n v="12.2"/>
    <n v="51268"/>
    <n v="471496"/>
    <x v="5"/>
    <n v="14.7"/>
  </r>
  <r>
    <s v="EMP00471"/>
    <s v="Govind Mehta"/>
    <x v="7"/>
    <x v="23"/>
    <n v="1.7"/>
    <n v="62768"/>
    <n v="753216"/>
    <n v="16.399999999999999"/>
    <n v="123527"/>
    <n v="876743"/>
    <x v="5"/>
    <n v="12.6"/>
  </r>
  <r>
    <s v="EMP00472"/>
    <s v="Riya Sethi"/>
    <x v="2"/>
    <x v="17"/>
    <n v="3.3"/>
    <n v="102943"/>
    <n v="1235316"/>
    <n v="5.6"/>
    <n v="69178"/>
    <n v="1304494"/>
    <x v="0"/>
    <n v="13.9"/>
  </r>
  <r>
    <s v="EMP00473"/>
    <s v="Meera Dwivedi"/>
    <x v="9"/>
    <x v="28"/>
    <n v="3"/>
    <n v="39485"/>
    <n v="473820"/>
    <n v="10"/>
    <n v="47382"/>
    <n v="521202"/>
    <x v="0"/>
    <n v="7.7"/>
  </r>
  <r>
    <s v="EMP00474"/>
    <s v="Anshul Mehta"/>
    <x v="8"/>
    <x v="20"/>
    <n v="5.4"/>
    <n v="50391"/>
    <n v="604692"/>
    <n v="9.1999999999999993"/>
    <n v="55632"/>
    <n v="660324"/>
    <x v="0"/>
    <n v="12.1"/>
  </r>
  <r>
    <s v="EMP00475"/>
    <s v="Pooja Khan"/>
    <x v="0"/>
    <x v="27"/>
    <n v="3.3"/>
    <n v="89727"/>
    <n v="1076724"/>
    <n v="4.4000000000000004"/>
    <n v="47376"/>
    <n v="1124100"/>
    <x v="3"/>
    <n v="12.2"/>
  </r>
  <r>
    <s v="EMP00476"/>
    <s v="Nisha Patel"/>
    <x v="0"/>
    <x v="5"/>
    <n v="3.6"/>
    <n v="77996"/>
    <n v="935952"/>
    <n v="9.9"/>
    <n v="92659"/>
    <n v="1028611"/>
    <x v="4"/>
    <n v="12"/>
  </r>
  <r>
    <s v="EMP00477"/>
    <s v="Ishita Khan"/>
    <x v="8"/>
    <x v="22"/>
    <n v="2.5"/>
    <n v="62524"/>
    <n v="750288"/>
    <n v="14.1"/>
    <n v="105791"/>
    <n v="856079"/>
    <x v="0"/>
    <n v="10"/>
  </r>
  <r>
    <s v="EMP00478"/>
    <s v="Nisha Mishra"/>
    <x v="4"/>
    <x v="41"/>
    <n v="6.8"/>
    <n v="115574"/>
    <n v="1386888"/>
    <n v="12.8"/>
    <n v="177522"/>
    <n v="1564410"/>
    <x v="4"/>
    <n v="9"/>
  </r>
  <r>
    <s v="EMP00479"/>
    <s v="Riya Sethi"/>
    <x v="6"/>
    <x v="21"/>
    <n v="1.9"/>
    <n v="82870"/>
    <n v="994440"/>
    <n v="11.1"/>
    <n v="110383"/>
    <n v="1104823"/>
    <x v="4"/>
    <n v="8.3000000000000007"/>
  </r>
  <r>
    <s v="EMP00480"/>
    <s v="Neha Singh"/>
    <x v="4"/>
    <x v="36"/>
    <n v="6.9"/>
    <n v="79747"/>
    <n v="956964"/>
    <n v="6"/>
    <n v="57418"/>
    <n v="1014382"/>
    <x v="2"/>
    <n v="14.4"/>
  </r>
  <r>
    <s v="EMP00481"/>
    <s v="Rohan Joshi"/>
    <x v="1"/>
    <x v="15"/>
    <n v="5.8"/>
    <n v="49910"/>
    <n v="598920"/>
    <n v="10.7"/>
    <n v="64084"/>
    <n v="663004"/>
    <x v="2"/>
    <n v="3.2"/>
  </r>
  <r>
    <s v="EMP00482"/>
    <s v="Arun Kumar"/>
    <x v="9"/>
    <x v="28"/>
    <n v="2.9"/>
    <n v="54465"/>
    <n v="653580"/>
    <n v="14.6"/>
    <n v="95423"/>
    <n v="749003"/>
    <x v="0"/>
    <n v="8.3000000000000007"/>
  </r>
  <r>
    <s v="EMP00483"/>
    <s v="Riya Malhotra"/>
    <x v="4"/>
    <x v="4"/>
    <n v="6.8"/>
    <n v="78868"/>
    <n v="946416"/>
    <n v="10.5"/>
    <n v="99374"/>
    <n v="1045790"/>
    <x v="2"/>
    <n v="7.6"/>
  </r>
  <r>
    <s v="EMP00484"/>
    <s v="Divyansh Dwivedi"/>
    <x v="1"/>
    <x v="11"/>
    <n v="2.6"/>
    <n v="29620"/>
    <n v="355440"/>
    <n v="12.4"/>
    <n v="44075"/>
    <n v="399515"/>
    <x v="1"/>
    <n v="14.2"/>
  </r>
  <r>
    <s v="EMP00485"/>
    <s v="Aman Upadhyay"/>
    <x v="4"/>
    <x v="37"/>
    <n v="6.1"/>
    <n v="47424"/>
    <n v="569088"/>
    <n v="7.2"/>
    <n v="40974"/>
    <n v="610062"/>
    <x v="3"/>
    <n v="6.8"/>
  </r>
  <r>
    <s v="EMP00486"/>
    <s v="Karan Mishra"/>
    <x v="4"/>
    <x v="41"/>
    <n v="6.6"/>
    <n v="65498"/>
    <n v="785976"/>
    <n v="16.100000000000001"/>
    <n v="126542"/>
    <n v="912518"/>
    <x v="0"/>
    <n v="14.5"/>
  </r>
  <r>
    <s v="EMP00487"/>
    <s v="Satyam Sethi"/>
    <x v="3"/>
    <x v="9"/>
    <n v="2.2999999999999998"/>
    <n v="102976"/>
    <n v="1235712"/>
    <n v="10.1"/>
    <n v="124807"/>
    <n v="1360519"/>
    <x v="4"/>
    <n v="4.0999999999999996"/>
  </r>
  <r>
    <s v="EMP00488"/>
    <s v="Satyam Malhotra"/>
    <x v="5"/>
    <x v="32"/>
    <n v="6.1"/>
    <n v="109034"/>
    <n v="1308408"/>
    <n v="8.5"/>
    <n v="111215"/>
    <n v="1419623"/>
    <x v="4"/>
    <n v="3.5"/>
  </r>
  <r>
    <s v="EMP00489"/>
    <s v="Vikram Khan"/>
    <x v="5"/>
    <x v="35"/>
    <n v="7.2"/>
    <n v="90287"/>
    <n v="1083444"/>
    <n v="9.1999999999999993"/>
    <n v="99677"/>
    <n v="1183121"/>
    <x v="3"/>
    <n v="6.9"/>
  </r>
  <r>
    <s v="EMP00490"/>
    <s v="Arun Sethi"/>
    <x v="3"/>
    <x v="3"/>
    <n v="4.3"/>
    <n v="64745"/>
    <n v="776940"/>
    <n v="7.8"/>
    <n v="60601"/>
    <n v="837541"/>
    <x v="4"/>
    <n v="11.5"/>
  </r>
  <r>
    <s v="EMP00491"/>
    <s v="Kabir Nair"/>
    <x v="0"/>
    <x v="25"/>
    <n v="2.8"/>
    <n v="70056"/>
    <n v="840672"/>
    <n v="13.7"/>
    <n v="115172"/>
    <n v="955844"/>
    <x v="5"/>
    <n v="3.8"/>
  </r>
  <r>
    <s v="EMP00492"/>
    <s v="Ram Sethi"/>
    <x v="4"/>
    <x v="41"/>
    <n v="5.4"/>
    <n v="81368"/>
    <n v="976416"/>
    <n v="16.600000000000001"/>
    <n v="162085"/>
    <n v="1138501"/>
    <x v="3"/>
    <n v="5"/>
  </r>
  <r>
    <s v="EMP00493"/>
    <s v="Meera Chauhan"/>
    <x v="1"/>
    <x v="11"/>
    <n v="6"/>
    <n v="36600"/>
    <n v="439200"/>
    <n v="5.5"/>
    <n v="24156"/>
    <n v="463356"/>
    <x v="1"/>
    <n v="3.8"/>
  </r>
  <r>
    <s v="EMP00494"/>
    <s v="Arun Singh"/>
    <x v="6"/>
    <x v="21"/>
    <n v="5.6"/>
    <n v="54309"/>
    <n v="651708"/>
    <n v="12.4"/>
    <n v="80812"/>
    <n v="732520"/>
    <x v="5"/>
    <n v="4.7"/>
  </r>
  <r>
    <s v="EMP00495"/>
    <s v="Rohan Khan"/>
    <x v="7"/>
    <x v="19"/>
    <n v="3.7"/>
    <n v="120357"/>
    <n v="1444284"/>
    <n v="5.3"/>
    <n v="76547"/>
    <n v="1520831"/>
    <x v="4"/>
    <n v="9.1999999999999993"/>
  </r>
  <r>
    <s v="EMP00496"/>
    <s v="Nisha Sethi"/>
    <x v="3"/>
    <x v="9"/>
    <n v="7.4"/>
    <n v="59711"/>
    <n v="716532"/>
    <n v="10.6"/>
    <n v="75952"/>
    <n v="792484"/>
    <x v="0"/>
    <n v="10"/>
  </r>
  <r>
    <s v="EMP00497"/>
    <s v="Nisha Kapoor"/>
    <x v="4"/>
    <x v="37"/>
    <n v="1.2"/>
    <n v="100264"/>
    <n v="1203168"/>
    <n v="11.1"/>
    <n v="133552"/>
    <n v="1336720"/>
    <x v="0"/>
    <n v="11.6"/>
  </r>
  <r>
    <s v="EMP00498"/>
    <s v="Aditi Patel"/>
    <x v="9"/>
    <x v="39"/>
    <n v="7.4"/>
    <n v="78667"/>
    <n v="944004"/>
    <n v="15.2"/>
    <n v="143489"/>
    <n v="1087493"/>
    <x v="2"/>
    <n v="13.6"/>
  </r>
  <r>
    <s v="EMP00499"/>
    <s v="Anshul Nair"/>
    <x v="4"/>
    <x v="36"/>
    <n v="5.4"/>
    <n v="63269"/>
    <n v="759228"/>
    <n v="18"/>
    <n v="136661"/>
    <n v="895889"/>
    <x v="1"/>
    <n v="6.1"/>
  </r>
  <r>
    <s v="EMP00500"/>
    <s v="Diya Dwivedi"/>
    <x v="1"/>
    <x v="1"/>
    <n v="6.3"/>
    <n v="112852"/>
    <n v="1354224"/>
    <n v="13.1"/>
    <n v="177403"/>
    <n v="1531627"/>
    <x v="5"/>
    <n v="14.3"/>
  </r>
</pivotCacheRecords>
</file>

<file path=xl/pivotCache/pivotCacheRecords4.xml><?xml version="1.0" encoding="utf-8"?>
<pivotCacheRecords xmlns="http://schemas.openxmlformats.org/spreadsheetml/2006/main" xmlns:r="http://schemas.openxmlformats.org/officeDocument/2006/relationships" count="500">
  <r>
    <s v="PLAN0001"/>
    <n v="2029"/>
    <x v="0"/>
    <x v="0"/>
    <x v="0"/>
    <x v="0"/>
    <x v="0"/>
    <x v="0"/>
    <x v="0"/>
    <x v="0"/>
    <x v="0"/>
    <x v="0"/>
    <x v="0"/>
    <x v="0"/>
  </r>
  <r>
    <s v="PLAN0002"/>
    <n v="2026"/>
    <x v="1"/>
    <x v="1"/>
    <x v="1"/>
    <x v="1"/>
    <x v="1"/>
    <x v="1"/>
    <x v="1"/>
    <x v="1"/>
    <x v="1"/>
    <x v="0"/>
    <x v="1"/>
    <x v="1"/>
  </r>
  <r>
    <s v="PLAN0003"/>
    <n v="2028"/>
    <x v="2"/>
    <x v="2"/>
    <x v="2"/>
    <x v="2"/>
    <x v="2"/>
    <x v="2"/>
    <x v="2"/>
    <x v="2"/>
    <x v="2"/>
    <x v="0"/>
    <x v="2"/>
    <x v="0"/>
  </r>
  <r>
    <s v="PLAN0004"/>
    <n v="2026"/>
    <x v="3"/>
    <x v="3"/>
    <x v="0"/>
    <x v="3"/>
    <x v="3"/>
    <x v="3"/>
    <x v="3"/>
    <x v="0"/>
    <x v="2"/>
    <x v="1"/>
    <x v="3"/>
    <x v="1"/>
  </r>
  <r>
    <s v="PLAN0005"/>
    <n v="2026"/>
    <x v="3"/>
    <x v="3"/>
    <x v="3"/>
    <x v="4"/>
    <x v="4"/>
    <x v="4"/>
    <x v="4"/>
    <x v="3"/>
    <x v="3"/>
    <x v="0"/>
    <x v="4"/>
    <x v="2"/>
  </r>
  <r>
    <s v="PLAN0006"/>
    <n v="2027"/>
    <x v="4"/>
    <x v="4"/>
    <x v="4"/>
    <x v="4"/>
    <x v="5"/>
    <x v="5"/>
    <x v="5"/>
    <x v="0"/>
    <x v="4"/>
    <x v="2"/>
    <x v="5"/>
    <x v="1"/>
  </r>
  <r>
    <s v="PLAN0007"/>
    <n v="2030"/>
    <x v="5"/>
    <x v="5"/>
    <x v="5"/>
    <x v="5"/>
    <x v="6"/>
    <x v="3"/>
    <x v="6"/>
    <x v="2"/>
    <x v="5"/>
    <x v="2"/>
    <x v="6"/>
    <x v="3"/>
  </r>
  <r>
    <s v="PLAN0008"/>
    <n v="2027"/>
    <x v="5"/>
    <x v="6"/>
    <x v="6"/>
    <x v="6"/>
    <x v="7"/>
    <x v="1"/>
    <x v="3"/>
    <x v="1"/>
    <x v="2"/>
    <x v="1"/>
    <x v="7"/>
    <x v="2"/>
  </r>
  <r>
    <s v="PLAN0009"/>
    <n v="2026"/>
    <x v="6"/>
    <x v="7"/>
    <x v="7"/>
    <x v="4"/>
    <x v="8"/>
    <x v="6"/>
    <x v="7"/>
    <x v="4"/>
    <x v="6"/>
    <x v="1"/>
    <x v="8"/>
    <x v="1"/>
  </r>
  <r>
    <s v="PLAN0010"/>
    <n v="2026"/>
    <x v="3"/>
    <x v="8"/>
    <x v="8"/>
    <x v="7"/>
    <x v="9"/>
    <x v="3"/>
    <x v="8"/>
    <x v="1"/>
    <x v="7"/>
    <x v="0"/>
    <x v="9"/>
    <x v="2"/>
  </r>
  <r>
    <s v="PLAN0011"/>
    <n v="2028"/>
    <x v="6"/>
    <x v="9"/>
    <x v="9"/>
    <x v="8"/>
    <x v="4"/>
    <x v="7"/>
    <x v="9"/>
    <x v="5"/>
    <x v="6"/>
    <x v="2"/>
    <x v="10"/>
    <x v="1"/>
  </r>
  <r>
    <s v="PLAN0012"/>
    <n v="2028"/>
    <x v="0"/>
    <x v="10"/>
    <x v="10"/>
    <x v="9"/>
    <x v="10"/>
    <x v="1"/>
    <x v="10"/>
    <x v="2"/>
    <x v="8"/>
    <x v="0"/>
    <x v="11"/>
    <x v="3"/>
  </r>
  <r>
    <s v="PLAN0013"/>
    <n v="2030"/>
    <x v="7"/>
    <x v="11"/>
    <x v="11"/>
    <x v="10"/>
    <x v="11"/>
    <x v="8"/>
    <x v="11"/>
    <x v="0"/>
    <x v="8"/>
    <x v="1"/>
    <x v="12"/>
    <x v="0"/>
  </r>
  <r>
    <s v="PLAN0014"/>
    <n v="2030"/>
    <x v="8"/>
    <x v="12"/>
    <x v="12"/>
    <x v="11"/>
    <x v="12"/>
    <x v="5"/>
    <x v="12"/>
    <x v="1"/>
    <x v="9"/>
    <x v="2"/>
    <x v="13"/>
    <x v="1"/>
  </r>
  <r>
    <s v="PLAN0015"/>
    <n v="2027"/>
    <x v="5"/>
    <x v="13"/>
    <x v="13"/>
    <x v="12"/>
    <x v="13"/>
    <x v="9"/>
    <x v="13"/>
    <x v="6"/>
    <x v="10"/>
    <x v="0"/>
    <x v="14"/>
    <x v="0"/>
  </r>
  <r>
    <s v="PLAN0016"/>
    <n v="2027"/>
    <x v="2"/>
    <x v="2"/>
    <x v="1"/>
    <x v="4"/>
    <x v="7"/>
    <x v="10"/>
    <x v="14"/>
    <x v="5"/>
    <x v="10"/>
    <x v="1"/>
    <x v="15"/>
    <x v="3"/>
  </r>
  <r>
    <s v="PLAN0017"/>
    <n v="2026"/>
    <x v="7"/>
    <x v="14"/>
    <x v="14"/>
    <x v="13"/>
    <x v="14"/>
    <x v="11"/>
    <x v="2"/>
    <x v="2"/>
    <x v="11"/>
    <x v="0"/>
    <x v="7"/>
    <x v="2"/>
  </r>
  <r>
    <s v="PLAN0018"/>
    <n v="2027"/>
    <x v="3"/>
    <x v="15"/>
    <x v="15"/>
    <x v="9"/>
    <x v="4"/>
    <x v="10"/>
    <x v="15"/>
    <x v="3"/>
    <x v="12"/>
    <x v="0"/>
    <x v="16"/>
    <x v="1"/>
  </r>
  <r>
    <s v="PLAN0019"/>
    <n v="2030"/>
    <x v="8"/>
    <x v="12"/>
    <x v="16"/>
    <x v="14"/>
    <x v="15"/>
    <x v="8"/>
    <x v="16"/>
    <x v="5"/>
    <x v="13"/>
    <x v="1"/>
    <x v="17"/>
    <x v="2"/>
  </r>
  <r>
    <s v="PLAN0020"/>
    <n v="2030"/>
    <x v="0"/>
    <x v="0"/>
    <x v="17"/>
    <x v="15"/>
    <x v="16"/>
    <x v="10"/>
    <x v="0"/>
    <x v="3"/>
    <x v="14"/>
    <x v="0"/>
    <x v="18"/>
    <x v="3"/>
  </r>
  <r>
    <s v="PLAN0021"/>
    <n v="2026"/>
    <x v="0"/>
    <x v="10"/>
    <x v="18"/>
    <x v="16"/>
    <x v="17"/>
    <x v="7"/>
    <x v="17"/>
    <x v="6"/>
    <x v="2"/>
    <x v="1"/>
    <x v="19"/>
    <x v="0"/>
  </r>
  <r>
    <s v="PLAN0022"/>
    <n v="2026"/>
    <x v="1"/>
    <x v="16"/>
    <x v="19"/>
    <x v="17"/>
    <x v="18"/>
    <x v="10"/>
    <x v="14"/>
    <x v="0"/>
    <x v="15"/>
    <x v="1"/>
    <x v="20"/>
    <x v="3"/>
  </r>
  <r>
    <s v="PLAN0023"/>
    <n v="2027"/>
    <x v="8"/>
    <x v="17"/>
    <x v="20"/>
    <x v="18"/>
    <x v="19"/>
    <x v="12"/>
    <x v="18"/>
    <x v="2"/>
    <x v="16"/>
    <x v="0"/>
    <x v="21"/>
    <x v="1"/>
  </r>
  <r>
    <s v="PLAN0024"/>
    <n v="2027"/>
    <x v="2"/>
    <x v="18"/>
    <x v="21"/>
    <x v="19"/>
    <x v="20"/>
    <x v="4"/>
    <x v="0"/>
    <x v="4"/>
    <x v="12"/>
    <x v="2"/>
    <x v="22"/>
    <x v="0"/>
  </r>
  <r>
    <s v="PLAN0025"/>
    <n v="2030"/>
    <x v="1"/>
    <x v="19"/>
    <x v="17"/>
    <x v="2"/>
    <x v="7"/>
    <x v="9"/>
    <x v="11"/>
    <x v="6"/>
    <x v="17"/>
    <x v="2"/>
    <x v="23"/>
    <x v="2"/>
  </r>
  <r>
    <s v="PLAN0026"/>
    <n v="2026"/>
    <x v="5"/>
    <x v="13"/>
    <x v="22"/>
    <x v="20"/>
    <x v="18"/>
    <x v="3"/>
    <x v="6"/>
    <x v="1"/>
    <x v="11"/>
    <x v="2"/>
    <x v="24"/>
    <x v="2"/>
  </r>
  <r>
    <s v="PLAN0027"/>
    <n v="2026"/>
    <x v="1"/>
    <x v="1"/>
    <x v="23"/>
    <x v="21"/>
    <x v="2"/>
    <x v="8"/>
    <x v="19"/>
    <x v="3"/>
    <x v="12"/>
    <x v="0"/>
    <x v="25"/>
    <x v="1"/>
  </r>
  <r>
    <s v="PLAN0028"/>
    <n v="2030"/>
    <x v="8"/>
    <x v="20"/>
    <x v="24"/>
    <x v="22"/>
    <x v="9"/>
    <x v="4"/>
    <x v="20"/>
    <x v="2"/>
    <x v="18"/>
    <x v="1"/>
    <x v="26"/>
    <x v="0"/>
  </r>
  <r>
    <s v="PLAN0029"/>
    <n v="2026"/>
    <x v="9"/>
    <x v="21"/>
    <x v="25"/>
    <x v="23"/>
    <x v="21"/>
    <x v="0"/>
    <x v="21"/>
    <x v="1"/>
    <x v="14"/>
    <x v="1"/>
    <x v="27"/>
    <x v="1"/>
  </r>
  <r>
    <s v="PLAN0030"/>
    <n v="2027"/>
    <x v="1"/>
    <x v="19"/>
    <x v="26"/>
    <x v="3"/>
    <x v="22"/>
    <x v="1"/>
    <x v="7"/>
    <x v="0"/>
    <x v="19"/>
    <x v="0"/>
    <x v="17"/>
    <x v="3"/>
  </r>
  <r>
    <s v="PLAN0031"/>
    <n v="2027"/>
    <x v="6"/>
    <x v="9"/>
    <x v="27"/>
    <x v="24"/>
    <x v="16"/>
    <x v="1"/>
    <x v="22"/>
    <x v="7"/>
    <x v="20"/>
    <x v="2"/>
    <x v="28"/>
    <x v="0"/>
  </r>
  <r>
    <s v="PLAN0032"/>
    <n v="2027"/>
    <x v="9"/>
    <x v="22"/>
    <x v="18"/>
    <x v="25"/>
    <x v="23"/>
    <x v="0"/>
    <x v="15"/>
    <x v="4"/>
    <x v="21"/>
    <x v="0"/>
    <x v="29"/>
    <x v="3"/>
  </r>
  <r>
    <s v="PLAN0033"/>
    <n v="2027"/>
    <x v="8"/>
    <x v="17"/>
    <x v="28"/>
    <x v="14"/>
    <x v="13"/>
    <x v="13"/>
    <x v="22"/>
    <x v="3"/>
    <x v="22"/>
    <x v="1"/>
    <x v="30"/>
    <x v="1"/>
  </r>
  <r>
    <s v="PLAN0034"/>
    <n v="2029"/>
    <x v="4"/>
    <x v="23"/>
    <x v="29"/>
    <x v="26"/>
    <x v="3"/>
    <x v="3"/>
    <x v="23"/>
    <x v="7"/>
    <x v="23"/>
    <x v="2"/>
    <x v="1"/>
    <x v="3"/>
  </r>
  <r>
    <s v="PLAN0035"/>
    <n v="2027"/>
    <x v="0"/>
    <x v="10"/>
    <x v="30"/>
    <x v="27"/>
    <x v="24"/>
    <x v="5"/>
    <x v="12"/>
    <x v="8"/>
    <x v="24"/>
    <x v="1"/>
    <x v="31"/>
    <x v="2"/>
  </r>
  <r>
    <s v="PLAN0036"/>
    <n v="2028"/>
    <x v="0"/>
    <x v="24"/>
    <x v="31"/>
    <x v="28"/>
    <x v="25"/>
    <x v="0"/>
    <x v="15"/>
    <x v="1"/>
    <x v="23"/>
    <x v="0"/>
    <x v="32"/>
    <x v="0"/>
  </r>
  <r>
    <s v="PLAN0037"/>
    <n v="2030"/>
    <x v="7"/>
    <x v="11"/>
    <x v="32"/>
    <x v="2"/>
    <x v="26"/>
    <x v="3"/>
    <x v="23"/>
    <x v="9"/>
    <x v="14"/>
    <x v="0"/>
    <x v="33"/>
    <x v="0"/>
  </r>
  <r>
    <s v="PLAN0038"/>
    <n v="2030"/>
    <x v="9"/>
    <x v="25"/>
    <x v="33"/>
    <x v="29"/>
    <x v="27"/>
    <x v="14"/>
    <x v="20"/>
    <x v="4"/>
    <x v="25"/>
    <x v="1"/>
    <x v="30"/>
    <x v="1"/>
  </r>
  <r>
    <s v="PLAN0039"/>
    <n v="2028"/>
    <x v="8"/>
    <x v="26"/>
    <x v="5"/>
    <x v="30"/>
    <x v="0"/>
    <x v="5"/>
    <x v="3"/>
    <x v="5"/>
    <x v="26"/>
    <x v="2"/>
    <x v="34"/>
    <x v="3"/>
  </r>
  <r>
    <s v="PLAN0040"/>
    <n v="2029"/>
    <x v="2"/>
    <x v="27"/>
    <x v="34"/>
    <x v="31"/>
    <x v="4"/>
    <x v="13"/>
    <x v="17"/>
    <x v="6"/>
    <x v="23"/>
    <x v="0"/>
    <x v="11"/>
    <x v="0"/>
  </r>
  <r>
    <s v="PLAN0041"/>
    <n v="2028"/>
    <x v="6"/>
    <x v="28"/>
    <x v="15"/>
    <x v="32"/>
    <x v="28"/>
    <x v="2"/>
    <x v="0"/>
    <x v="7"/>
    <x v="7"/>
    <x v="1"/>
    <x v="35"/>
    <x v="0"/>
  </r>
  <r>
    <s v="PLAN0042"/>
    <n v="2026"/>
    <x v="8"/>
    <x v="26"/>
    <x v="35"/>
    <x v="30"/>
    <x v="29"/>
    <x v="13"/>
    <x v="5"/>
    <x v="1"/>
    <x v="18"/>
    <x v="2"/>
    <x v="36"/>
    <x v="2"/>
  </r>
  <r>
    <s v="PLAN0043"/>
    <n v="2029"/>
    <x v="2"/>
    <x v="29"/>
    <x v="36"/>
    <x v="24"/>
    <x v="16"/>
    <x v="4"/>
    <x v="7"/>
    <x v="2"/>
    <x v="27"/>
    <x v="2"/>
    <x v="37"/>
    <x v="2"/>
  </r>
  <r>
    <s v="PLAN0044"/>
    <n v="2030"/>
    <x v="7"/>
    <x v="11"/>
    <x v="37"/>
    <x v="33"/>
    <x v="22"/>
    <x v="1"/>
    <x v="13"/>
    <x v="1"/>
    <x v="28"/>
    <x v="1"/>
    <x v="38"/>
    <x v="0"/>
  </r>
  <r>
    <s v="PLAN0045"/>
    <n v="2028"/>
    <x v="6"/>
    <x v="9"/>
    <x v="2"/>
    <x v="17"/>
    <x v="30"/>
    <x v="15"/>
    <x v="13"/>
    <x v="7"/>
    <x v="29"/>
    <x v="0"/>
    <x v="39"/>
    <x v="3"/>
  </r>
  <r>
    <s v="PLAN0046"/>
    <n v="2026"/>
    <x v="0"/>
    <x v="30"/>
    <x v="11"/>
    <x v="5"/>
    <x v="31"/>
    <x v="10"/>
    <x v="2"/>
    <x v="1"/>
    <x v="3"/>
    <x v="0"/>
    <x v="40"/>
    <x v="0"/>
  </r>
  <r>
    <s v="PLAN0047"/>
    <n v="2029"/>
    <x v="4"/>
    <x v="23"/>
    <x v="38"/>
    <x v="22"/>
    <x v="32"/>
    <x v="0"/>
    <x v="8"/>
    <x v="9"/>
    <x v="30"/>
    <x v="1"/>
    <x v="41"/>
    <x v="0"/>
  </r>
  <r>
    <s v="PLAN0048"/>
    <n v="2030"/>
    <x v="3"/>
    <x v="15"/>
    <x v="39"/>
    <x v="18"/>
    <x v="33"/>
    <x v="14"/>
    <x v="9"/>
    <x v="0"/>
    <x v="29"/>
    <x v="2"/>
    <x v="30"/>
    <x v="1"/>
  </r>
  <r>
    <s v="PLAN0049"/>
    <n v="2029"/>
    <x v="4"/>
    <x v="31"/>
    <x v="9"/>
    <x v="34"/>
    <x v="34"/>
    <x v="9"/>
    <x v="5"/>
    <x v="9"/>
    <x v="31"/>
    <x v="1"/>
    <x v="42"/>
    <x v="1"/>
  </r>
  <r>
    <s v="PLAN0050"/>
    <n v="2030"/>
    <x v="7"/>
    <x v="11"/>
    <x v="21"/>
    <x v="32"/>
    <x v="35"/>
    <x v="11"/>
    <x v="11"/>
    <x v="5"/>
    <x v="32"/>
    <x v="2"/>
    <x v="43"/>
    <x v="2"/>
  </r>
  <r>
    <s v="PLAN0051"/>
    <n v="2027"/>
    <x v="5"/>
    <x v="32"/>
    <x v="38"/>
    <x v="26"/>
    <x v="36"/>
    <x v="6"/>
    <x v="24"/>
    <x v="6"/>
    <x v="6"/>
    <x v="0"/>
    <x v="44"/>
    <x v="0"/>
  </r>
  <r>
    <s v="PLAN0052"/>
    <n v="2029"/>
    <x v="2"/>
    <x v="29"/>
    <x v="32"/>
    <x v="35"/>
    <x v="17"/>
    <x v="2"/>
    <x v="12"/>
    <x v="5"/>
    <x v="27"/>
    <x v="2"/>
    <x v="45"/>
    <x v="1"/>
  </r>
  <r>
    <s v="PLAN0053"/>
    <n v="2029"/>
    <x v="6"/>
    <x v="9"/>
    <x v="26"/>
    <x v="36"/>
    <x v="37"/>
    <x v="12"/>
    <x v="23"/>
    <x v="7"/>
    <x v="33"/>
    <x v="0"/>
    <x v="46"/>
    <x v="0"/>
  </r>
  <r>
    <s v="PLAN0054"/>
    <n v="2029"/>
    <x v="9"/>
    <x v="25"/>
    <x v="24"/>
    <x v="37"/>
    <x v="0"/>
    <x v="11"/>
    <x v="25"/>
    <x v="3"/>
    <x v="1"/>
    <x v="1"/>
    <x v="47"/>
    <x v="2"/>
  </r>
  <r>
    <s v="PLAN0055"/>
    <n v="2028"/>
    <x v="7"/>
    <x v="33"/>
    <x v="40"/>
    <x v="17"/>
    <x v="38"/>
    <x v="9"/>
    <x v="13"/>
    <x v="5"/>
    <x v="34"/>
    <x v="0"/>
    <x v="48"/>
    <x v="1"/>
  </r>
  <r>
    <s v="PLAN0056"/>
    <n v="2026"/>
    <x v="7"/>
    <x v="11"/>
    <x v="21"/>
    <x v="38"/>
    <x v="39"/>
    <x v="0"/>
    <x v="13"/>
    <x v="8"/>
    <x v="6"/>
    <x v="1"/>
    <x v="49"/>
    <x v="3"/>
  </r>
  <r>
    <s v="PLAN0057"/>
    <n v="2026"/>
    <x v="8"/>
    <x v="20"/>
    <x v="41"/>
    <x v="39"/>
    <x v="11"/>
    <x v="3"/>
    <x v="12"/>
    <x v="8"/>
    <x v="34"/>
    <x v="1"/>
    <x v="50"/>
    <x v="3"/>
  </r>
  <r>
    <s v="PLAN0058"/>
    <n v="2029"/>
    <x v="6"/>
    <x v="7"/>
    <x v="5"/>
    <x v="40"/>
    <x v="6"/>
    <x v="2"/>
    <x v="6"/>
    <x v="9"/>
    <x v="27"/>
    <x v="0"/>
    <x v="51"/>
    <x v="2"/>
  </r>
  <r>
    <s v="PLAN0059"/>
    <n v="2027"/>
    <x v="7"/>
    <x v="34"/>
    <x v="21"/>
    <x v="41"/>
    <x v="40"/>
    <x v="6"/>
    <x v="26"/>
    <x v="1"/>
    <x v="5"/>
    <x v="0"/>
    <x v="52"/>
    <x v="2"/>
  </r>
  <r>
    <s v="PLAN0060"/>
    <n v="2029"/>
    <x v="1"/>
    <x v="35"/>
    <x v="42"/>
    <x v="42"/>
    <x v="41"/>
    <x v="6"/>
    <x v="25"/>
    <x v="1"/>
    <x v="22"/>
    <x v="2"/>
    <x v="33"/>
    <x v="2"/>
  </r>
  <r>
    <s v="PLAN0061"/>
    <n v="2027"/>
    <x v="4"/>
    <x v="23"/>
    <x v="43"/>
    <x v="31"/>
    <x v="20"/>
    <x v="0"/>
    <x v="11"/>
    <x v="6"/>
    <x v="27"/>
    <x v="0"/>
    <x v="22"/>
    <x v="2"/>
  </r>
  <r>
    <s v="PLAN0062"/>
    <n v="2026"/>
    <x v="4"/>
    <x v="36"/>
    <x v="2"/>
    <x v="20"/>
    <x v="24"/>
    <x v="11"/>
    <x v="27"/>
    <x v="5"/>
    <x v="34"/>
    <x v="2"/>
    <x v="53"/>
    <x v="3"/>
  </r>
  <r>
    <s v="PLAN0063"/>
    <n v="2026"/>
    <x v="9"/>
    <x v="25"/>
    <x v="44"/>
    <x v="37"/>
    <x v="42"/>
    <x v="9"/>
    <x v="9"/>
    <x v="5"/>
    <x v="23"/>
    <x v="2"/>
    <x v="54"/>
    <x v="1"/>
  </r>
  <r>
    <s v="PLAN0064"/>
    <n v="2030"/>
    <x v="3"/>
    <x v="8"/>
    <x v="23"/>
    <x v="43"/>
    <x v="43"/>
    <x v="11"/>
    <x v="28"/>
    <x v="3"/>
    <x v="11"/>
    <x v="2"/>
    <x v="46"/>
    <x v="3"/>
  </r>
  <r>
    <s v="PLAN0065"/>
    <n v="2027"/>
    <x v="2"/>
    <x v="37"/>
    <x v="29"/>
    <x v="25"/>
    <x v="24"/>
    <x v="15"/>
    <x v="17"/>
    <x v="2"/>
    <x v="22"/>
    <x v="0"/>
    <x v="3"/>
    <x v="1"/>
  </r>
  <r>
    <s v="PLAN0066"/>
    <n v="2027"/>
    <x v="2"/>
    <x v="2"/>
    <x v="45"/>
    <x v="40"/>
    <x v="44"/>
    <x v="1"/>
    <x v="22"/>
    <x v="9"/>
    <x v="23"/>
    <x v="0"/>
    <x v="55"/>
    <x v="1"/>
  </r>
  <r>
    <s v="PLAN0067"/>
    <n v="2030"/>
    <x v="7"/>
    <x v="33"/>
    <x v="13"/>
    <x v="19"/>
    <x v="13"/>
    <x v="5"/>
    <x v="13"/>
    <x v="9"/>
    <x v="3"/>
    <x v="0"/>
    <x v="56"/>
    <x v="3"/>
  </r>
  <r>
    <s v="PLAN0068"/>
    <n v="2026"/>
    <x v="9"/>
    <x v="21"/>
    <x v="3"/>
    <x v="35"/>
    <x v="16"/>
    <x v="16"/>
    <x v="18"/>
    <x v="0"/>
    <x v="16"/>
    <x v="1"/>
    <x v="57"/>
    <x v="1"/>
  </r>
  <r>
    <s v="PLAN0069"/>
    <n v="2027"/>
    <x v="6"/>
    <x v="38"/>
    <x v="43"/>
    <x v="44"/>
    <x v="5"/>
    <x v="2"/>
    <x v="25"/>
    <x v="7"/>
    <x v="32"/>
    <x v="2"/>
    <x v="58"/>
    <x v="3"/>
  </r>
  <r>
    <s v="PLAN0070"/>
    <n v="2029"/>
    <x v="0"/>
    <x v="10"/>
    <x v="46"/>
    <x v="45"/>
    <x v="45"/>
    <x v="2"/>
    <x v="24"/>
    <x v="8"/>
    <x v="2"/>
    <x v="0"/>
    <x v="59"/>
    <x v="2"/>
  </r>
  <r>
    <s v="PLAN0071"/>
    <n v="2030"/>
    <x v="4"/>
    <x v="4"/>
    <x v="47"/>
    <x v="19"/>
    <x v="46"/>
    <x v="8"/>
    <x v="19"/>
    <x v="4"/>
    <x v="12"/>
    <x v="0"/>
    <x v="60"/>
    <x v="0"/>
  </r>
  <r>
    <s v="PLAN0072"/>
    <n v="2028"/>
    <x v="6"/>
    <x v="28"/>
    <x v="48"/>
    <x v="46"/>
    <x v="10"/>
    <x v="7"/>
    <x v="13"/>
    <x v="4"/>
    <x v="35"/>
    <x v="1"/>
    <x v="61"/>
    <x v="3"/>
  </r>
  <r>
    <s v="PLAN0073"/>
    <n v="2026"/>
    <x v="2"/>
    <x v="37"/>
    <x v="3"/>
    <x v="47"/>
    <x v="7"/>
    <x v="9"/>
    <x v="21"/>
    <x v="3"/>
    <x v="25"/>
    <x v="1"/>
    <x v="62"/>
    <x v="0"/>
  </r>
  <r>
    <s v="PLAN0074"/>
    <n v="2029"/>
    <x v="6"/>
    <x v="38"/>
    <x v="2"/>
    <x v="17"/>
    <x v="47"/>
    <x v="15"/>
    <x v="19"/>
    <x v="2"/>
    <x v="26"/>
    <x v="2"/>
    <x v="49"/>
    <x v="1"/>
  </r>
  <r>
    <s v="PLAN0075"/>
    <n v="2027"/>
    <x v="5"/>
    <x v="5"/>
    <x v="6"/>
    <x v="16"/>
    <x v="30"/>
    <x v="11"/>
    <x v="20"/>
    <x v="3"/>
    <x v="3"/>
    <x v="0"/>
    <x v="63"/>
    <x v="3"/>
  </r>
  <r>
    <s v="PLAN0076"/>
    <n v="2030"/>
    <x v="6"/>
    <x v="7"/>
    <x v="15"/>
    <x v="48"/>
    <x v="48"/>
    <x v="6"/>
    <x v="29"/>
    <x v="8"/>
    <x v="18"/>
    <x v="0"/>
    <x v="64"/>
    <x v="1"/>
  </r>
  <r>
    <s v="PLAN0077"/>
    <n v="2026"/>
    <x v="9"/>
    <x v="25"/>
    <x v="33"/>
    <x v="49"/>
    <x v="18"/>
    <x v="15"/>
    <x v="24"/>
    <x v="4"/>
    <x v="36"/>
    <x v="2"/>
    <x v="65"/>
    <x v="1"/>
  </r>
  <r>
    <s v="PLAN0078"/>
    <n v="2026"/>
    <x v="1"/>
    <x v="1"/>
    <x v="22"/>
    <x v="27"/>
    <x v="19"/>
    <x v="11"/>
    <x v="7"/>
    <x v="2"/>
    <x v="29"/>
    <x v="2"/>
    <x v="65"/>
    <x v="1"/>
  </r>
  <r>
    <s v="PLAN0079"/>
    <n v="2028"/>
    <x v="5"/>
    <x v="5"/>
    <x v="18"/>
    <x v="29"/>
    <x v="49"/>
    <x v="1"/>
    <x v="22"/>
    <x v="5"/>
    <x v="12"/>
    <x v="2"/>
    <x v="66"/>
    <x v="3"/>
  </r>
  <r>
    <s v="PLAN0080"/>
    <n v="2026"/>
    <x v="3"/>
    <x v="39"/>
    <x v="49"/>
    <x v="31"/>
    <x v="50"/>
    <x v="4"/>
    <x v="10"/>
    <x v="4"/>
    <x v="29"/>
    <x v="1"/>
    <x v="0"/>
    <x v="1"/>
  </r>
  <r>
    <s v="PLAN0081"/>
    <n v="2028"/>
    <x v="8"/>
    <x v="26"/>
    <x v="9"/>
    <x v="6"/>
    <x v="15"/>
    <x v="5"/>
    <x v="24"/>
    <x v="3"/>
    <x v="9"/>
    <x v="2"/>
    <x v="67"/>
    <x v="0"/>
  </r>
  <r>
    <s v="PLAN0082"/>
    <n v="2026"/>
    <x v="1"/>
    <x v="35"/>
    <x v="19"/>
    <x v="32"/>
    <x v="33"/>
    <x v="14"/>
    <x v="17"/>
    <x v="1"/>
    <x v="20"/>
    <x v="0"/>
    <x v="56"/>
    <x v="1"/>
  </r>
  <r>
    <s v="PLAN0083"/>
    <n v="2027"/>
    <x v="0"/>
    <x v="10"/>
    <x v="2"/>
    <x v="50"/>
    <x v="19"/>
    <x v="3"/>
    <x v="11"/>
    <x v="2"/>
    <x v="37"/>
    <x v="0"/>
    <x v="54"/>
    <x v="0"/>
  </r>
  <r>
    <s v="PLAN0084"/>
    <n v="2027"/>
    <x v="4"/>
    <x v="40"/>
    <x v="3"/>
    <x v="4"/>
    <x v="8"/>
    <x v="4"/>
    <x v="20"/>
    <x v="1"/>
    <x v="38"/>
    <x v="1"/>
    <x v="56"/>
    <x v="2"/>
  </r>
  <r>
    <s v="PLAN0085"/>
    <n v="2030"/>
    <x v="7"/>
    <x v="11"/>
    <x v="0"/>
    <x v="51"/>
    <x v="51"/>
    <x v="15"/>
    <x v="22"/>
    <x v="6"/>
    <x v="24"/>
    <x v="0"/>
    <x v="68"/>
    <x v="2"/>
  </r>
  <r>
    <s v="PLAN0086"/>
    <n v="2027"/>
    <x v="2"/>
    <x v="18"/>
    <x v="50"/>
    <x v="52"/>
    <x v="52"/>
    <x v="10"/>
    <x v="23"/>
    <x v="8"/>
    <x v="18"/>
    <x v="2"/>
    <x v="67"/>
    <x v="2"/>
  </r>
  <r>
    <s v="PLAN0087"/>
    <n v="2027"/>
    <x v="4"/>
    <x v="23"/>
    <x v="35"/>
    <x v="5"/>
    <x v="53"/>
    <x v="0"/>
    <x v="30"/>
    <x v="4"/>
    <x v="28"/>
    <x v="0"/>
    <x v="13"/>
    <x v="3"/>
  </r>
  <r>
    <s v="PLAN0088"/>
    <n v="2029"/>
    <x v="4"/>
    <x v="31"/>
    <x v="17"/>
    <x v="53"/>
    <x v="7"/>
    <x v="4"/>
    <x v="11"/>
    <x v="4"/>
    <x v="33"/>
    <x v="2"/>
    <x v="39"/>
    <x v="2"/>
  </r>
  <r>
    <s v="PLAN0089"/>
    <n v="2028"/>
    <x v="4"/>
    <x v="41"/>
    <x v="41"/>
    <x v="7"/>
    <x v="54"/>
    <x v="12"/>
    <x v="11"/>
    <x v="3"/>
    <x v="31"/>
    <x v="2"/>
    <x v="42"/>
    <x v="2"/>
  </r>
  <r>
    <s v="PLAN0090"/>
    <n v="2027"/>
    <x v="3"/>
    <x v="8"/>
    <x v="19"/>
    <x v="9"/>
    <x v="15"/>
    <x v="15"/>
    <x v="25"/>
    <x v="5"/>
    <x v="15"/>
    <x v="1"/>
    <x v="69"/>
    <x v="1"/>
  </r>
  <r>
    <s v="PLAN0091"/>
    <n v="2029"/>
    <x v="7"/>
    <x v="33"/>
    <x v="46"/>
    <x v="47"/>
    <x v="7"/>
    <x v="4"/>
    <x v="15"/>
    <x v="7"/>
    <x v="13"/>
    <x v="2"/>
    <x v="70"/>
    <x v="0"/>
  </r>
  <r>
    <s v="PLAN0092"/>
    <n v="2028"/>
    <x v="8"/>
    <x v="20"/>
    <x v="51"/>
    <x v="25"/>
    <x v="55"/>
    <x v="3"/>
    <x v="24"/>
    <x v="1"/>
    <x v="37"/>
    <x v="2"/>
    <x v="71"/>
    <x v="1"/>
  </r>
  <r>
    <s v="PLAN0093"/>
    <n v="2030"/>
    <x v="8"/>
    <x v="12"/>
    <x v="26"/>
    <x v="54"/>
    <x v="56"/>
    <x v="16"/>
    <x v="31"/>
    <x v="7"/>
    <x v="0"/>
    <x v="2"/>
    <x v="70"/>
    <x v="2"/>
  </r>
  <r>
    <s v="PLAN0094"/>
    <n v="2027"/>
    <x v="3"/>
    <x v="39"/>
    <x v="17"/>
    <x v="17"/>
    <x v="47"/>
    <x v="1"/>
    <x v="22"/>
    <x v="6"/>
    <x v="22"/>
    <x v="1"/>
    <x v="39"/>
    <x v="0"/>
  </r>
  <r>
    <s v="PLAN0095"/>
    <n v="2029"/>
    <x v="7"/>
    <x v="14"/>
    <x v="50"/>
    <x v="39"/>
    <x v="57"/>
    <x v="2"/>
    <x v="3"/>
    <x v="4"/>
    <x v="20"/>
    <x v="0"/>
    <x v="72"/>
    <x v="1"/>
  </r>
  <r>
    <s v="PLAN0096"/>
    <n v="2027"/>
    <x v="4"/>
    <x v="4"/>
    <x v="52"/>
    <x v="23"/>
    <x v="58"/>
    <x v="1"/>
    <x v="16"/>
    <x v="2"/>
    <x v="4"/>
    <x v="0"/>
    <x v="29"/>
    <x v="1"/>
  </r>
  <r>
    <s v="PLAN0097"/>
    <n v="2029"/>
    <x v="0"/>
    <x v="24"/>
    <x v="23"/>
    <x v="26"/>
    <x v="59"/>
    <x v="12"/>
    <x v="32"/>
    <x v="0"/>
    <x v="5"/>
    <x v="0"/>
    <x v="35"/>
    <x v="2"/>
  </r>
  <r>
    <s v="PLAN0098"/>
    <n v="2028"/>
    <x v="1"/>
    <x v="16"/>
    <x v="49"/>
    <x v="55"/>
    <x v="26"/>
    <x v="16"/>
    <x v="14"/>
    <x v="5"/>
    <x v="26"/>
    <x v="0"/>
    <x v="73"/>
    <x v="3"/>
  </r>
  <r>
    <s v="PLAN0099"/>
    <n v="2026"/>
    <x v="9"/>
    <x v="21"/>
    <x v="18"/>
    <x v="24"/>
    <x v="49"/>
    <x v="5"/>
    <x v="22"/>
    <x v="0"/>
    <x v="5"/>
    <x v="0"/>
    <x v="24"/>
    <x v="2"/>
  </r>
  <r>
    <s v="PLAN0100"/>
    <n v="2027"/>
    <x v="2"/>
    <x v="27"/>
    <x v="4"/>
    <x v="56"/>
    <x v="15"/>
    <x v="14"/>
    <x v="11"/>
    <x v="4"/>
    <x v="34"/>
    <x v="2"/>
    <x v="74"/>
    <x v="3"/>
  </r>
  <r>
    <s v="PLAN0101"/>
    <n v="2026"/>
    <x v="8"/>
    <x v="26"/>
    <x v="37"/>
    <x v="0"/>
    <x v="42"/>
    <x v="5"/>
    <x v="3"/>
    <x v="6"/>
    <x v="29"/>
    <x v="1"/>
    <x v="0"/>
    <x v="2"/>
  </r>
  <r>
    <s v="PLAN0102"/>
    <n v="2028"/>
    <x v="3"/>
    <x v="8"/>
    <x v="44"/>
    <x v="57"/>
    <x v="60"/>
    <x v="13"/>
    <x v="25"/>
    <x v="8"/>
    <x v="19"/>
    <x v="1"/>
    <x v="75"/>
    <x v="1"/>
  </r>
  <r>
    <s v="PLAN0103"/>
    <n v="2027"/>
    <x v="5"/>
    <x v="13"/>
    <x v="47"/>
    <x v="1"/>
    <x v="4"/>
    <x v="2"/>
    <x v="23"/>
    <x v="9"/>
    <x v="22"/>
    <x v="2"/>
    <x v="46"/>
    <x v="3"/>
  </r>
  <r>
    <s v="PLAN0104"/>
    <n v="2027"/>
    <x v="2"/>
    <x v="27"/>
    <x v="44"/>
    <x v="58"/>
    <x v="61"/>
    <x v="5"/>
    <x v="32"/>
    <x v="0"/>
    <x v="18"/>
    <x v="2"/>
    <x v="76"/>
    <x v="3"/>
  </r>
  <r>
    <s v="PLAN0105"/>
    <n v="2029"/>
    <x v="0"/>
    <x v="24"/>
    <x v="46"/>
    <x v="6"/>
    <x v="34"/>
    <x v="9"/>
    <x v="22"/>
    <x v="1"/>
    <x v="8"/>
    <x v="2"/>
    <x v="77"/>
    <x v="1"/>
  </r>
  <r>
    <s v="PLAN0106"/>
    <n v="2029"/>
    <x v="0"/>
    <x v="24"/>
    <x v="53"/>
    <x v="15"/>
    <x v="16"/>
    <x v="11"/>
    <x v="6"/>
    <x v="3"/>
    <x v="34"/>
    <x v="1"/>
    <x v="78"/>
    <x v="1"/>
  </r>
  <r>
    <s v="PLAN0107"/>
    <n v="2026"/>
    <x v="9"/>
    <x v="22"/>
    <x v="31"/>
    <x v="59"/>
    <x v="62"/>
    <x v="11"/>
    <x v="13"/>
    <x v="0"/>
    <x v="27"/>
    <x v="0"/>
    <x v="65"/>
    <x v="2"/>
  </r>
  <r>
    <s v="PLAN0108"/>
    <n v="2027"/>
    <x v="2"/>
    <x v="2"/>
    <x v="4"/>
    <x v="45"/>
    <x v="63"/>
    <x v="10"/>
    <x v="15"/>
    <x v="5"/>
    <x v="25"/>
    <x v="1"/>
    <x v="79"/>
    <x v="0"/>
  </r>
  <r>
    <s v="PLAN0109"/>
    <n v="2029"/>
    <x v="1"/>
    <x v="1"/>
    <x v="13"/>
    <x v="60"/>
    <x v="62"/>
    <x v="17"/>
    <x v="16"/>
    <x v="8"/>
    <x v="10"/>
    <x v="2"/>
    <x v="80"/>
    <x v="1"/>
  </r>
  <r>
    <s v="PLAN0110"/>
    <n v="2030"/>
    <x v="7"/>
    <x v="33"/>
    <x v="54"/>
    <x v="61"/>
    <x v="56"/>
    <x v="16"/>
    <x v="8"/>
    <x v="2"/>
    <x v="2"/>
    <x v="1"/>
    <x v="35"/>
    <x v="1"/>
  </r>
  <r>
    <s v="PLAN0111"/>
    <n v="2026"/>
    <x v="1"/>
    <x v="16"/>
    <x v="55"/>
    <x v="36"/>
    <x v="21"/>
    <x v="9"/>
    <x v="5"/>
    <x v="1"/>
    <x v="34"/>
    <x v="2"/>
    <x v="81"/>
    <x v="2"/>
  </r>
  <r>
    <s v="PLAN0112"/>
    <n v="2029"/>
    <x v="2"/>
    <x v="2"/>
    <x v="49"/>
    <x v="44"/>
    <x v="64"/>
    <x v="7"/>
    <x v="13"/>
    <x v="5"/>
    <x v="26"/>
    <x v="2"/>
    <x v="22"/>
    <x v="3"/>
  </r>
  <r>
    <s v="PLAN0113"/>
    <n v="2027"/>
    <x v="5"/>
    <x v="13"/>
    <x v="0"/>
    <x v="43"/>
    <x v="65"/>
    <x v="6"/>
    <x v="33"/>
    <x v="0"/>
    <x v="25"/>
    <x v="0"/>
    <x v="82"/>
    <x v="3"/>
  </r>
  <r>
    <s v="PLAN0114"/>
    <n v="2029"/>
    <x v="2"/>
    <x v="37"/>
    <x v="48"/>
    <x v="59"/>
    <x v="13"/>
    <x v="9"/>
    <x v="19"/>
    <x v="5"/>
    <x v="17"/>
    <x v="2"/>
    <x v="83"/>
    <x v="2"/>
  </r>
  <r>
    <s v="PLAN0115"/>
    <n v="2030"/>
    <x v="6"/>
    <x v="42"/>
    <x v="48"/>
    <x v="9"/>
    <x v="39"/>
    <x v="12"/>
    <x v="11"/>
    <x v="8"/>
    <x v="8"/>
    <x v="1"/>
    <x v="62"/>
    <x v="1"/>
  </r>
  <r>
    <s v="PLAN0116"/>
    <n v="2027"/>
    <x v="6"/>
    <x v="28"/>
    <x v="56"/>
    <x v="14"/>
    <x v="64"/>
    <x v="10"/>
    <x v="18"/>
    <x v="2"/>
    <x v="29"/>
    <x v="0"/>
    <x v="84"/>
    <x v="1"/>
  </r>
  <r>
    <s v="PLAN0117"/>
    <n v="2027"/>
    <x v="5"/>
    <x v="6"/>
    <x v="25"/>
    <x v="30"/>
    <x v="31"/>
    <x v="11"/>
    <x v="34"/>
    <x v="5"/>
    <x v="39"/>
    <x v="0"/>
    <x v="7"/>
    <x v="3"/>
  </r>
  <r>
    <s v="PLAN0118"/>
    <n v="2027"/>
    <x v="0"/>
    <x v="30"/>
    <x v="57"/>
    <x v="62"/>
    <x v="21"/>
    <x v="2"/>
    <x v="20"/>
    <x v="0"/>
    <x v="29"/>
    <x v="1"/>
    <x v="85"/>
    <x v="0"/>
  </r>
  <r>
    <s v="PLAN0119"/>
    <n v="2029"/>
    <x v="5"/>
    <x v="5"/>
    <x v="58"/>
    <x v="63"/>
    <x v="55"/>
    <x v="5"/>
    <x v="11"/>
    <x v="6"/>
    <x v="25"/>
    <x v="0"/>
    <x v="79"/>
    <x v="0"/>
  </r>
  <r>
    <s v="PLAN0120"/>
    <n v="2030"/>
    <x v="9"/>
    <x v="22"/>
    <x v="38"/>
    <x v="23"/>
    <x v="29"/>
    <x v="11"/>
    <x v="11"/>
    <x v="7"/>
    <x v="22"/>
    <x v="0"/>
    <x v="61"/>
    <x v="0"/>
  </r>
  <r>
    <s v="PLAN0121"/>
    <n v="2026"/>
    <x v="5"/>
    <x v="32"/>
    <x v="30"/>
    <x v="15"/>
    <x v="27"/>
    <x v="3"/>
    <x v="0"/>
    <x v="7"/>
    <x v="30"/>
    <x v="2"/>
    <x v="86"/>
    <x v="1"/>
  </r>
  <r>
    <s v="PLAN0122"/>
    <n v="2026"/>
    <x v="4"/>
    <x v="40"/>
    <x v="31"/>
    <x v="64"/>
    <x v="66"/>
    <x v="14"/>
    <x v="35"/>
    <x v="4"/>
    <x v="19"/>
    <x v="0"/>
    <x v="66"/>
    <x v="2"/>
  </r>
  <r>
    <s v="PLAN0123"/>
    <n v="2027"/>
    <x v="7"/>
    <x v="34"/>
    <x v="13"/>
    <x v="48"/>
    <x v="67"/>
    <x v="8"/>
    <x v="3"/>
    <x v="6"/>
    <x v="22"/>
    <x v="2"/>
    <x v="87"/>
    <x v="2"/>
  </r>
  <r>
    <s v="PLAN0124"/>
    <n v="2030"/>
    <x v="2"/>
    <x v="27"/>
    <x v="47"/>
    <x v="1"/>
    <x v="68"/>
    <x v="2"/>
    <x v="7"/>
    <x v="6"/>
    <x v="24"/>
    <x v="2"/>
    <x v="46"/>
    <x v="2"/>
  </r>
  <r>
    <s v="PLAN0125"/>
    <n v="2029"/>
    <x v="8"/>
    <x v="26"/>
    <x v="31"/>
    <x v="38"/>
    <x v="20"/>
    <x v="12"/>
    <x v="12"/>
    <x v="0"/>
    <x v="36"/>
    <x v="2"/>
    <x v="88"/>
    <x v="0"/>
  </r>
  <r>
    <s v="PLAN0126"/>
    <n v="2030"/>
    <x v="4"/>
    <x v="36"/>
    <x v="13"/>
    <x v="65"/>
    <x v="28"/>
    <x v="3"/>
    <x v="30"/>
    <x v="6"/>
    <x v="39"/>
    <x v="2"/>
    <x v="89"/>
    <x v="1"/>
  </r>
  <r>
    <s v="PLAN0127"/>
    <n v="2026"/>
    <x v="9"/>
    <x v="21"/>
    <x v="59"/>
    <x v="3"/>
    <x v="22"/>
    <x v="0"/>
    <x v="0"/>
    <x v="1"/>
    <x v="11"/>
    <x v="2"/>
    <x v="90"/>
    <x v="2"/>
  </r>
  <r>
    <s v="PLAN0128"/>
    <n v="2027"/>
    <x v="5"/>
    <x v="13"/>
    <x v="60"/>
    <x v="66"/>
    <x v="10"/>
    <x v="10"/>
    <x v="32"/>
    <x v="6"/>
    <x v="22"/>
    <x v="0"/>
    <x v="31"/>
    <x v="1"/>
  </r>
  <r>
    <s v="PLAN0129"/>
    <n v="2030"/>
    <x v="7"/>
    <x v="33"/>
    <x v="61"/>
    <x v="56"/>
    <x v="15"/>
    <x v="1"/>
    <x v="3"/>
    <x v="6"/>
    <x v="37"/>
    <x v="1"/>
    <x v="60"/>
    <x v="1"/>
  </r>
  <r>
    <s v="PLAN0130"/>
    <n v="2028"/>
    <x v="3"/>
    <x v="3"/>
    <x v="26"/>
    <x v="67"/>
    <x v="22"/>
    <x v="8"/>
    <x v="7"/>
    <x v="9"/>
    <x v="28"/>
    <x v="2"/>
    <x v="55"/>
    <x v="2"/>
  </r>
  <r>
    <s v="PLAN0131"/>
    <n v="2026"/>
    <x v="4"/>
    <x v="4"/>
    <x v="49"/>
    <x v="66"/>
    <x v="64"/>
    <x v="1"/>
    <x v="13"/>
    <x v="2"/>
    <x v="34"/>
    <x v="0"/>
    <x v="91"/>
    <x v="1"/>
  </r>
  <r>
    <s v="PLAN0132"/>
    <n v="2026"/>
    <x v="7"/>
    <x v="34"/>
    <x v="47"/>
    <x v="19"/>
    <x v="62"/>
    <x v="8"/>
    <x v="20"/>
    <x v="0"/>
    <x v="35"/>
    <x v="0"/>
    <x v="92"/>
    <x v="1"/>
  </r>
  <r>
    <s v="PLAN0133"/>
    <n v="2030"/>
    <x v="9"/>
    <x v="43"/>
    <x v="18"/>
    <x v="21"/>
    <x v="69"/>
    <x v="3"/>
    <x v="24"/>
    <x v="7"/>
    <x v="2"/>
    <x v="1"/>
    <x v="88"/>
    <x v="0"/>
  </r>
  <r>
    <s v="PLAN0134"/>
    <n v="2027"/>
    <x v="4"/>
    <x v="36"/>
    <x v="62"/>
    <x v="49"/>
    <x v="7"/>
    <x v="5"/>
    <x v="22"/>
    <x v="5"/>
    <x v="23"/>
    <x v="2"/>
    <x v="93"/>
    <x v="1"/>
  </r>
  <r>
    <s v="PLAN0135"/>
    <n v="2030"/>
    <x v="3"/>
    <x v="15"/>
    <x v="9"/>
    <x v="8"/>
    <x v="14"/>
    <x v="7"/>
    <x v="16"/>
    <x v="7"/>
    <x v="2"/>
    <x v="2"/>
    <x v="33"/>
    <x v="2"/>
  </r>
  <r>
    <s v="PLAN0136"/>
    <n v="2027"/>
    <x v="5"/>
    <x v="32"/>
    <x v="31"/>
    <x v="1"/>
    <x v="33"/>
    <x v="3"/>
    <x v="30"/>
    <x v="2"/>
    <x v="21"/>
    <x v="1"/>
    <x v="70"/>
    <x v="1"/>
  </r>
  <r>
    <s v="PLAN0137"/>
    <n v="2028"/>
    <x v="3"/>
    <x v="3"/>
    <x v="6"/>
    <x v="6"/>
    <x v="30"/>
    <x v="1"/>
    <x v="20"/>
    <x v="7"/>
    <x v="5"/>
    <x v="2"/>
    <x v="11"/>
    <x v="2"/>
  </r>
  <r>
    <s v="PLAN0138"/>
    <n v="2028"/>
    <x v="6"/>
    <x v="28"/>
    <x v="57"/>
    <x v="5"/>
    <x v="42"/>
    <x v="13"/>
    <x v="19"/>
    <x v="1"/>
    <x v="34"/>
    <x v="2"/>
    <x v="94"/>
    <x v="1"/>
  </r>
  <r>
    <s v="PLAN0139"/>
    <n v="2030"/>
    <x v="6"/>
    <x v="42"/>
    <x v="63"/>
    <x v="68"/>
    <x v="70"/>
    <x v="1"/>
    <x v="25"/>
    <x v="8"/>
    <x v="40"/>
    <x v="2"/>
    <x v="95"/>
    <x v="3"/>
  </r>
  <r>
    <s v="PLAN0140"/>
    <n v="2026"/>
    <x v="9"/>
    <x v="21"/>
    <x v="25"/>
    <x v="22"/>
    <x v="60"/>
    <x v="3"/>
    <x v="2"/>
    <x v="8"/>
    <x v="28"/>
    <x v="0"/>
    <x v="10"/>
    <x v="2"/>
  </r>
  <r>
    <s v="PLAN0141"/>
    <n v="2030"/>
    <x v="2"/>
    <x v="27"/>
    <x v="64"/>
    <x v="69"/>
    <x v="46"/>
    <x v="6"/>
    <x v="11"/>
    <x v="0"/>
    <x v="8"/>
    <x v="0"/>
    <x v="96"/>
    <x v="2"/>
  </r>
  <r>
    <s v="PLAN0142"/>
    <n v="2029"/>
    <x v="5"/>
    <x v="32"/>
    <x v="50"/>
    <x v="68"/>
    <x v="71"/>
    <x v="8"/>
    <x v="5"/>
    <x v="2"/>
    <x v="25"/>
    <x v="1"/>
    <x v="97"/>
    <x v="2"/>
  </r>
  <r>
    <s v="PLAN0143"/>
    <n v="2030"/>
    <x v="2"/>
    <x v="18"/>
    <x v="36"/>
    <x v="70"/>
    <x v="69"/>
    <x v="8"/>
    <x v="4"/>
    <x v="2"/>
    <x v="19"/>
    <x v="1"/>
    <x v="5"/>
    <x v="1"/>
  </r>
  <r>
    <s v="PLAN0144"/>
    <n v="2028"/>
    <x v="6"/>
    <x v="7"/>
    <x v="58"/>
    <x v="16"/>
    <x v="16"/>
    <x v="8"/>
    <x v="13"/>
    <x v="0"/>
    <x v="38"/>
    <x v="1"/>
    <x v="26"/>
    <x v="1"/>
  </r>
  <r>
    <s v="PLAN0145"/>
    <n v="2029"/>
    <x v="3"/>
    <x v="39"/>
    <x v="50"/>
    <x v="52"/>
    <x v="72"/>
    <x v="10"/>
    <x v="14"/>
    <x v="9"/>
    <x v="18"/>
    <x v="2"/>
    <x v="48"/>
    <x v="3"/>
  </r>
  <r>
    <s v="PLAN0146"/>
    <n v="2030"/>
    <x v="8"/>
    <x v="20"/>
    <x v="65"/>
    <x v="44"/>
    <x v="34"/>
    <x v="12"/>
    <x v="0"/>
    <x v="8"/>
    <x v="37"/>
    <x v="1"/>
    <x v="82"/>
    <x v="1"/>
  </r>
  <r>
    <s v="PLAN0147"/>
    <n v="2029"/>
    <x v="0"/>
    <x v="10"/>
    <x v="29"/>
    <x v="21"/>
    <x v="26"/>
    <x v="7"/>
    <x v="9"/>
    <x v="1"/>
    <x v="9"/>
    <x v="2"/>
    <x v="98"/>
    <x v="3"/>
  </r>
  <r>
    <s v="PLAN0148"/>
    <n v="2027"/>
    <x v="3"/>
    <x v="3"/>
    <x v="6"/>
    <x v="71"/>
    <x v="47"/>
    <x v="4"/>
    <x v="24"/>
    <x v="1"/>
    <x v="40"/>
    <x v="0"/>
    <x v="99"/>
    <x v="0"/>
  </r>
  <r>
    <s v="PLAN0149"/>
    <n v="2029"/>
    <x v="3"/>
    <x v="8"/>
    <x v="21"/>
    <x v="72"/>
    <x v="73"/>
    <x v="17"/>
    <x v="7"/>
    <x v="7"/>
    <x v="9"/>
    <x v="2"/>
    <x v="21"/>
    <x v="3"/>
  </r>
  <r>
    <s v="PLAN0150"/>
    <n v="2030"/>
    <x v="0"/>
    <x v="24"/>
    <x v="8"/>
    <x v="43"/>
    <x v="51"/>
    <x v="4"/>
    <x v="17"/>
    <x v="1"/>
    <x v="13"/>
    <x v="1"/>
    <x v="100"/>
    <x v="0"/>
  </r>
  <r>
    <s v="PLAN0151"/>
    <n v="2028"/>
    <x v="9"/>
    <x v="25"/>
    <x v="47"/>
    <x v="46"/>
    <x v="39"/>
    <x v="5"/>
    <x v="16"/>
    <x v="8"/>
    <x v="4"/>
    <x v="0"/>
    <x v="65"/>
    <x v="3"/>
  </r>
  <r>
    <s v="PLAN0152"/>
    <n v="2027"/>
    <x v="0"/>
    <x v="0"/>
    <x v="3"/>
    <x v="9"/>
    <x v="34"/>
    <x v="6"/>
    <x v="24"/>
    <x v="2"/>
    <x v="0"/>
    <x v="0"/>
    <x v="5"/>
    <x v="3"/>
  </r>
  <r>
    <s v="PLAN0153"/>
    <n v="2027"/>
    <x v="2"/>
    <x v="27"/>
    <x v="50"/>
    <x v="33"/>
    <x v="3"/>
    <x v="0"/>
    <x v="0"/>
    <x v="9"/>
    <x v="25"/>
    <x v="0"/>
    <x v="55"/>
    <x v="2"/>
  </r>
  <r>
    <s v="PLAN0154"/>
    <n v="2029"/>
    <x v="2"/>
    <x v="37"/>
    <x v="13"/>
    <x v="12"/>
    <x v="74"/>
    <x v="9"/>
    <x v="32"/>
    <x v="1"/>
    <x v="27"/>
    <x v="1"/>
    <x v="23"/>
    <x v="2"/>
  </r>
  <r>
    <s v="PLAN0155"/>
    <n v="2026"/>
    <x v="5"/>
    <x v="32"/>
    <x v="63"/>
    <x v="73"/>
    <x v="51"/>
    <x v="13"/>
    <x v="24"/>
    <x v="3"/>
    <x v="10"/>
    <x v="1"/>
    <x v="61"/>
    <x v="2"/>
  </r>
  <r>
    <s v="PLAN0156"/>
    <n v="2029"/>
    <x v="4"/>
    <x v="31"/>
    <x v="58"/>
    <x v="25"/>
    <x v="75"/>
    <x v="10"/>
    <x v="28"/>
    <x v="3"/>
    <x v="4"/>
    <x v="1"/>
    <x v="4"/>
    <x v="2"/>
  </r>
  <r>
    <s v="PLAN0157"/>
    <n v="2030"/>
    <x v="9"/>
    <x v="21"/>
    <x v="20"/>
    <x v="14"/>
    <x v="76"/>
    <x v="2"/>
    <x v="12"/>
    <x v="7"/>
    <x v="17"/>
    <x v="0"/>
    <x v="101"/>
    <x v="1"/>
  </r>
  <r>
    <s v="PLAN0158"/>
    <n v="2026"/>
    <x v="8"/>
    <x v="20"/>
    <x v="8"/>
    <x v="74"/>
    <x v="71"/>
    <x v="9"/>
    <x v="4"/>
    <x v="0"/>
    <x v="37"/>
    <x v="1"/>
    <x v="102"/>
    <x v="0"/>
  </r>
  <r>
    <s v="PLAN0159"/>
    <n v="2027"/>
    <x v="1"/>
    <x v="16"/>
    <x v="21"/>
    <x v="72"/>
    <x v="77"/>
    <x v="17"/>
    <x v="4"/>
    <x v="5"/>
    <x v="34"/>
    <x v="2"/>
    <x v="62"/>
    <x v="1"/>
  </r>
  <r>
    <s v="PLAN0160"/>
    <n v="2029"/>
    <x v="8"/>
    <x v="17"/>
    <x v="55"/>
    <x v="62"/>
    <x v="61"/>
    <x v="17"/>
    <x v="20"/>
    <x v="6"/>
    <x v="2"/>
    <x v="0"/>
    <x v="103"/>
    <x v="0"/>
  </r>
  <r>
    <s v="PLAN0161"/>
    <n v="2029"/>
    <x v="8"/>
    <x v="20"/>
    <x v="26"/>
    <x v="23"/>
    <x v="11"/>
    <x v="15"/>
    <x v="4"/>
    <x v="3"/>
    <x v="3"/>
    <x v="0"/>
    <x v="17"/>
    <x v="0"/>
  </r>
  <r>
    <s v="PLAN0162"/>
    <n v="2030"/>
    <x v="1"/>
    <x v="35"/>
    <x v="4"/>
    <x v="44"/>
    <x v="78"/>
    <x v="15"/>
    <x v="20"/>
    <x v="2"/>
    <x v="28"/>
    <x v="0"/>
    <x v="1"/>
    <x v="2"/>
  </r>
  <r>
    <s v="PLAN0163"/>
    <n v="2029"/>
    <x v="6"/>
    <x v="28"/>
    <x v="66"/>
    <x v="75"/>
    <x v="27"/>
    <x v="3"/>
    <x v="32"/>
    <x v="2"/>
    <x v="12"/>
    <x v="2"/>
    <x v="44"/>
    <x v="3"/>
  </r>
  <r>
    <s v="PLAN0164"/>
    <n v="2026"/>
    <x v="1"/>
    <x v="44"/>
    <x v="25"/>
    <x v="0"/>
    <x v="21"/>
    <x v="2"/>
    <x v="21"/>
    <x v="7"/>
    <x v="31"/>
    <x v="2"/>
    <x v="104"/>
    <x v="1"/>
  </r>
  <r>
    <s v="PLAN0165"/>
    <n v="2026"/>
    <x v="0"/>
    <x v="10"/>
    <x v="27"/>
    <x v="76"/>
    <x v="70"/>
    <x v="13"/>
    <x v="21"/>
    <x v="3"/>
    <x v="27"/>
    <x v="2"/>
    <x v="19"/>
    <x v="3"/>
  </r>
  <r>
    <s v="PLAN0166"/>
    <n v="2028"/>
    <x v="3"/>
    <x v="8"/>
    <x v="58"/>
    <x v="25"/>
    <x v="2"/>
    <x v="10"/>
    <x v="16"/>
    <x v="6"/>
    <x v="13"/>
    <x v="0"/>
    <x v="105"/>
    <x v="2"/>
  </r>
  <r>
    <s v="PLAN0167"/>
    <n v="2026"/>
    <x v="0"/>
    <x v="0"/>
    <x v="16"/>
    <x v="4"/>
    <x v="33"/>
    <x v="11"/>
    <x v="20"/>
    <x v="6"/>
    <x v="5"/>
    <x v="2"/>
    <x v="106"/>
    <x v="3"/>
  </r>
  <r>
    <s v="PLAN0168"/>
    <n v="2027"/>
    <x v="2"/>
    <x v="29"/>
    <x v="19"/>
    <x v="6"/>
    <x v="49"/>
    <x v="11"/>
    <x v="8"/>
    <x v="2"/>
    <x v="40"/>
    <x v="2"/>
    <x v="107"/>
    <x v="1"/>
  </r>
  <r>
    <s v="PLAN0169"/>
    <n v="2028"/>
    <x v="6"/>
    <x v="42"/>
    <x v="5"/>
    <x v="67"/>
    <x v="31"/>
    <x v="13"/>
    <x v="0"/>
    <x v="8"/>
    <x v="20"/>
    <x v="2"/>
    <x v="37"/>
    <x v="0"/>
  </r>
  <r>
    <s v="PLAN0170"/>
    <n v="2026"/>
    <x v="2"/>
    <x v="37"/>
    <x v="40"/>
    <x v="53"/>
    <x v="78"/>
    <x v="3"/>
    <x v="24"/>
    <x v="5"/>
    <x v="14"/>
    <x v="2"/>
    <x v="106"/>
    <x v="2"/>
  </r>
  <r>
    <s v="PLAN0171"/>
    <n v="2029"/>
    <x v="5"/>
    <x v="32"/>
    <x v="29"/>
    <x v="7"/>
    <x v="75"/>
    <x v="16"/>
    <x v="32"/>
    <x v="0"/>
    <x v="19"/>
    <x v="0"/>
    <x v="91"/>
    <x v="1"/>
  </r>
  <r>
    <s v="PLAN0172"/>
    <n v="2030"/>
    <x v="8"/>
    <x v="20"/>
    <x v="13"/>
    <x v="60"/>
    <x v="66"/>
    <x v="17"/>
    <x v="26"/>
    <x v="2"/>
    <x v="15"/>
    <x v="1"/>
    <x v="22"/>
    <x v="0"/>
  </r>
  <r>
    <s v="PLAN0173"/>
    <n v="2029"/>
    <x v="3"/>
    <x v="8"/>
    <x v="43"/>
    <x v="8"/>
    <x v="79"/>
    <x v="11"/>
    <x v="21"/>
    <x v="6"/>
    <x v="37"/>
    <x v="0"/>
    <x v="100"/>
    <x v="3"/>
  </r>
  <r>
    <s v="PLAN0174"/>
    <n v="2027"/>
    <x v="9"/>
    <x v="25"/>
    <x v="12"/>
    <x v="77"/>
    <x v="58"/>
    <x v="10"/>
    <x v="32"/>
    <x v="1"/>
    <x v="35"/>
    <x v="0"/>
    <x v="108"/>
    <x v="0"/>
  </r>
  <r>
    <s v="PLAN0175"/>
    <n v="2030"/>
    <x v="5"/>
    <x v="6"/>
    <x v="25"/>
    <x v="51"/>
    <x v="24"/>
    <x v="17"/>
    <x v="29"/>
    <x v="0"/>
    <x v="25"/>
    <x v="0"/>
    <x v="109"/>
    <x v="2"/>
  </r>
  <r>
    <s v="PLAN0176"/>
    <n v="2027"/>
    <x v="3"/>
    <x v="8"/>
    <x v="67"/>
    <x v="68"/>
    <x v="80"/>
    <x v="5"/>
    <x v="5"/>
    <x v="6"/>
    <x v="27"/>
    <x v="2"/>
    <x v="71"/>
    <x v="1"/>
  </r>
  <r>
    <s v="PLAN0177"/>
    <n v="2026"/>
    <x v="0"/>
    <x v="0"/>
    <x v="35"/>
    <x v="52"/>
    <x v="36"/>
    <x v="17"/>
    <x v="10"/>
    <x v="7"/>
    <x v="8"/>
    <x v="2"/>
    <x v="38"/>
    <x v="2"/>
  </r>
  <r>
    <s v="PLAN0178"/>
    <n v="2030"/>
    <x v="2"/>
    <x v="18"/>
    <x v="9"/>
    <x v="55"/>
    <x v="55"/>
    <x v="11"/>
    <x v="34"/>
    <x v="2"/>
    <x v="1"/>
    <x v="0"/>
    <x v="67"/>
    <x v="2"/>
  </r>
  <r>
    <s v="PLAN0179"/>
    <n v="2028"/>
    <x v="1"/>
    <x v="35"/>
    <x v="28"/>
    <x v="1"/>
    <x v="67"/>
    <x v="17"/>
    <x v="9"/>
    <x v="6"/>
    <x v="39"/>
    <x v="1"/>
    <x v="102"/>
    <x v="0"/>
  </r>
  <r>
    <s v="PLAN0180"/>
    <n v="2027"/>
    <x v="8"/>
    <x v="20"/>
    <x v="59"/>
    <x v="51"/>
    <x v="23"/>
    <x v="4"/>
    <x v="10"/>
    <x v="9"/>
    <x v="14"/>
    <x v="1"/>
    <x v="60"/>
    <x v="2"/>
  </r>
  <r>
    <s v="PLAN0181"/>
    <n v="2029"/>
    <x v="9"/>
    <x v="25"/>
    <x v="13"/>
    <x v="46"/>
    <x v="67"/>
    <x v="2"/>
    <x v="3"/>
    <x v="3"/>
    <x v="14"/>
    <x v="0"/>
    <x v="39"/>
    <x v="2"/>
  </r>
  <r>
    <s v="PLAN0182"/>
    <n v="2026"/>
    <x v="5"/>
    <x v="5"/>
    <x v="39"/>
    <x v="2"/>
    <x v="80"/>
    <x v="12"/>
    <x v="18"/>
    <x v="4"/>
    <x v="6"/>
    <x v="1"/>
    <x v="110"/>
    <x v="1"/>
  </r>
  <r>
    <s v="PLAN0183"/>
    <n v="2030"/>
    <x v="8"/>
    <x v="26"/>
    <x v="7"/>
    <x v="78"/>
    <x v="81"/>
    <x v="4"/>
    <x v="13"/>
    <x v="6"/>
    <x v="5"/>
    <x v="1"/>
    <x v="20"/>
    <x v="1"/>
  </r>
  <r>
    <s v="PLAN0184"/>
    <n v="2027"/>
    <x v="3"/>
    <x v="8"/>
    <x v="68"/>
    <x v="68"/>
    <x v="82"/>
    <x v="3"/>
    <x v="20"/>
    <x v="0"/>
    <x v="10"/>
    <x v="1"/>
    <x v="93"/>
    <x v="1"/>
  </r>
  <r>
    <s v="PLAN0185"/>
    <n v="2027"/>
    <x v="8"/>
    <x v="17"/>
    <x v="44"/>
    <x v="79"/>
    <x v="83"/>
    <x v="12"/>
    <x v="12"/>
    <x v="7"/>
    <x v="13"/>
    <x v="1"/>
    <x v="111"/>
    <x v="3"/>
  </r>
  <r>
    <s v="PLAN0186"/>
    <n v="2027"/>
    <x v="6"/>
    <x v="28"/>
    <x v="52"/>
    <x v="30"/>
    <x v="58"/>
    <x v="17"/>
    <x v="16"/>
    <x v="2"/>
    <x v="16"/>
    <x v="2"/>
    <x v="112"/>
    <x v="1"/>
  </r>
  <r>
    <s v="PLAN0187"/>
    <n v="2029"/>
    <x v="0"/>
    <x v="30"/>
    <x v="65"/>
    <x v="65"/>
    <x v="33"/>
    <x v="7"/>
    <x v="15"/>
    <x v="3"/>
    <x v="38"/>
    <x v="0"/>
    <x v="113"/>
    <x v="2"/>
  </r>
  <r>
    <s v="PLAN0188"/>
    <n v="2029"/>
    <x v="3"/>
    <x v="8"/>
    <x v="39"/>
    <x v="50"/>
    <x v="16"/>
    <x v="10"/>
    <x v="8"/>
    <x v="4"/>
    <x v="27"/>
    <x v="1"/>
    <x v="114"/>
    <x v="2"/>
  </r>
  <r>
    <s v="PLAN0189"/>
    <n v="2026"/>
    <x v="6"/>
    <x v="28"/>
    <x v="9"/>
    <x v="2"/>
    <x v="8"/>
    <x v="16"/>
    <x v="3"/>
    <x v="1"/>
    <x v="6"/>
    <x v="1"/>
    <x v="3"/>
    <x v="2"/>
  </r>
  <r>
    <s v="PLAN0190"/>
    <n v="2030"/>
    <x v="3"/>
    <x v="15"/>
    <x v="26"/>
    <x v="22"/>
    <x v="41"/>
    <x v="7"/>
    <x v="35"/>
    <x v="7"/>
    <x v="26"/>
    <x v="1"/>
    <x v="115"/>
    <x v="0"/>
  </r>
  <r>
    <s v="PLAN0191"/>
    <n v="2029"/>
    <x v="3"/>
    <x v="39"/>
    <x v="59"/>
    <x v="74"/>
    <x v="3"/>
    <x v="7"/>
    <x v="20"/>
    <x v="7"/>
    <x v="19"/>
    <x v="0"/>
    <x v="74"/>
    <x v="3"/>
  </r>
  <r>
    <s v="PLAN0192"/>
    <n v="2029"/>
    <x v="6"/>
    <x v="9"/>
    <x v="69"/>
    <x v="42"/>
    <x v="3"/>
    <x v="7"/>
    <x v="15"/>
    <x v="6"/>
    <x v="32"/>
    <x v="2"/>
    <x v="29"/>
    <x v="0"/>
  </r>
  <r>
    <s v="PLAN0193"/>
    <n v="2028"/>
    <x v="1"/>
    <x v="19"/>
    <x v="7"/>
    <x v="4"/>
    <x v="47"/>
    <x v="6"/>
    <x v="17"/>
    <x v="5"/>
    <x v="4"/>
    <x v="1"/>
    <x v="60"/>
    <x v="3"/>
  </r>
  <r>
    <s v="PLAN0194"/>
    <n v="2029"/>
    <x v="0"/>
    <x v="0"/>
    <x v="70"/>
    <x v="57"/>
    <x v="37"/>
    <x v="0"/>
    <x v="12"/>
    <x v="1"/>
    <x v="25"/>
    <x v="0"/>
    <x v="42"/>
    <x v="1"/>
  </r>
  <r>
    <s v="PLAN0195"/>
    <n v="2026"/>
    <x v="1"/>
    <x v="19"/>
    <x v="54"/>
    <x v="5"/>
    <x v="0"/>
    <x v="7"/>
    <x v="22"/>
    <x v="7"/>
    <x v="10"/>
    <x v="1"/>
    <x v="94"/>
    <x v="3"/>
  </r>
  <r>
    <s v="PLAN0196"/>
    <n v="2026"/>
    <x v="2"/>
    <x v="2"/>
    <x v="54"/>
    <x v="23"/>
    <x v="43"/>
    <x v="14"/>
    <x v="26"/>
    <x v="7"/>
    <x v="8"/>
    <x v="1"/>
    <x v="55"/>
    <x v="3"/>
  </r>
  <r>
    <s v="PLAN0197"/>
    <n v="2028"/>
    <x v="4"/>
    <x v="41"/>
    <x v="71"/>
    <x v="45"/>
    <x v="47"/>
    <x v="1"/>
    <x v="4"/>
    <x v="5"/>
    <x v="3"/>
    <x v="2"/>
    <x v="116"/>
    <x v="0"/>
  </r>
  <r>
    <s v="PLAN0198"/>
    <n v="2028"/>
    <x v="5"/>
    <x v="6"/>
    <x v="21"/>
    <x v="32"/>
    <x v="35"/>
    <x v="11"/>
    <x v="11"/>
    <x v="4"/>
    <x v="16"/>
    <x v="2"/>
    <x v="110"/>
    <x v="2"/>
  </r>
  <r>
    <s v="PLAN0199"/>
    <n v="2026"/>
    <x v="1"/>
    <x v="44"/>
    <x v="46"/>
    <x v="47"/>
    <x v="8"/>
    <x v="4"/>
    <x v="25"/>
    <x v="5"/>
    <x v="38"/>
    <x v="0"/>
    <x v="110"/>
    <x v="1"/>
  </r>
  <r>
    <s v="PLAN0200"/>
    <n v="2028"/>
    <x v="4"/>
    <x v="36"/>
    <x v="8"/>
    <x v="73"/>
    <x v="22"/>
    <x v="0"/>
    <x v="2"/>
    <x v="0"/>
    <x v="15"/>
    <x v="2"/>
    <x v="77"/>
    <x v="0"/>
  </r>
  <r>
    <s v="PLAN0201"/>
    <n v="2026"/>
    <x v="3"/>
    <x v="8"/>
    <x v="0"/>
    <x v="73"/>
    <x v="52"/>
    <x v="9"/>
    <x v="16"/>
    <x v="2"/>
    <x v="8"/>
    <x v="1"/>
    <x v="23"/>
    <x v="2"/>
  </r>
  <r>
    <s v="PLAN0202"/>
    <n v="2028"/>
    <x v="1"/>
    <x v="1"/>
    <x v="12"/>
    <x v="3"/>
    <x v="36"/>
    <x v="14"/>
    <x v="33"/>
    <x v="6"/>
    <x v="1"/>
    <x v="2"/>
    <x v="117"/>
    <x v="1"/>
  </r>
  <r>
    <s v="PLAN0203"/>
    <n v="2029"/>
    <x v="9"/>
    <x v="21"/>
    <x v="11"/>
    <x v="40"/>
    <x v="43"/>
    <x v="12"/>
    <x v="25"/>
    <x v="6"/>
    <x v="19"/>
    <x v="2"/>
    <x v="78"/>
    <x v="1"/>
  </r>
  <r>
    <s v="PLAN0204"/>
    <n v="2029"/>
    <x v="1"/>
    <x v="19"/>
    <x v="72"/>
    <x v="73"/>
    <x v="75"/>
    <x v="3"/>
    <x v="11"/>
    <x v="2"/>
    <x v="21"/>
    <x v="0"/>
    <x v="118"/>
    <x v="3"/>
  </r>
  <r>
    <s v="PLAN0205"/>
    <n v="2028"/>
    <x v="1"/>
    <x v="16"/>
    <x v="24"/>
    <x v="73"/>
    <x v="84"/>
    <x v="14"/>
    <x v="9"/>
    <x v="1"/>
    <x v="0"/>
    <x v="0"/>
    <x v="99"/>
    <x v="2"/>
  </r>
  <r>
    <s v="PLAN0206"/>
    <n v="2027"/>
    <x v="1"/>
    <x v="19"/>
    <x v="60"/>
    <x v="66"/>
    <x v="25"/>
    <x v="10"/>
    <x v="13"/>
    <x v="6"/>
    <x v="34"/>
    <x v="1"/>
    <x v="30"/>
    <x v="3"/>
  </r>
  <r>
    <s v="PLAN0207"/>
    <n v="2030"/>
    <x v="8"/>
    <x v="20"/>
    <x v="66"/>
    <x v="75"/>
    <x v="16"/>
    <x v="3"/>
    <x v="3"/>
    <x v="9"/>
    <x v="20"/>
    <x v="0"/>
    <x v="119"/>
    <x v="0"/>
  </r>
  <r>
    <s v="PLAN0208"/>
    <n v="2027"/>
    <x v="5"/>
    <x v="5"/>
    <x v="71"/>
    <x v="2"/>
    <x v="55"/>
    <x v="8"/>
    <x v="13"/>
    <x v="4"/>
    <x v="26"/>
    <x v="1"/>
    <x v="7"/>
    <x v="2"/>
  </r>
  <r>
    <s v="PLAN0209"/>
    <n v="2029"/>
    <x v="2"/>
    <x v="29"/>
    <x v="3"/>
    <x v="8"/>
    <x v="47"/>
    <x v="15"/>
    <x v="13"/>
    <x v="6"/>
    <x v="20"/>
    <x v="2"/>
    <x v="120"/>
    <x v="2"/>
  </r>
  <r>
    <s v="PLAN0210"/>
    <n v="2028"/>
    <x v="9"/>
    <x v="43"/>
    <x v="63"/>
    <x v="76"/>
    <x v="80"/>
    <x v="6"/>
    <x v="35"/>
    <x v="1"/>
    <x v="26"/>
    <x v="0"/>
    <x v="92"/>
    <x v="2"/>
  </r>
  <r>
    <s v="PLAN0211"/>
    <n v="2029"/>
    <x v="2"/>
    <x v="18"/>
    <x v="35"/>
    <x v="3"/>
    <x v="60"/>
    <x v="4"/>
    <x v="0"/>
    <x v="1"/>
    <x v="23"/>
    <x v="2"/>
    <x v="24"/>
    <x v="3"/>
  </r>
  <r>
    <s v="PLAN0212"/>
    <n v="2026"/>
    <x v="2"/>
    <x v="29"/>
    <x v="19"/>
    <x v="78"/>
    <x v="33"/>
    <x v="12"/>
    <x v="17"/>
    <x v="8"/>
    <x v="8"/>
    <x v="2"/>
    <x v="121"/>
    <x v="0"/>
  </r>
  <r>
    <s v="PLAN0213"/>
    <n v="2030"/>
    <x v="0"/>
    <x v="0"/>
    <x v="9"/>
    <x v="34"/>
    <x v="78"/>
    <x v="9"/>
    <x v="17"/>
    <x v="8"/>
    <x v="14"/>
    <x v="1"/>
    <x v="122"/>
    <x v="3"/>
  </r>
  <r>
    <s v="PLAN0214"/>
    <n v="2026"/>
    <x v="9"/>
    <x v="22"/>
    <x v="63"/>
    <x v="74"/>
    <x v="85"/>
    <x v="15"/>
    <x v="0"/>
    <x v="6"/>
    <x v="26"/>
    <x v="2"/>
    <x v="92"/>
    <x v="1"/>
  </r>
  <r>
    <s v="PLAN0215"/>
    <n v="2026"/>
    <x v="1"/>
    <x v="19"/>
    <x v="41"/>
    <x v="21"/>
    <x v="51"/>
    <x v="1"/>
    <x v="3"/>
    <x v="1"/>
    <x v="12"/>
    <x v="0"/>
    <x v="11"/>
    <x v="2"/>
  </r>
  <r>
    <s v="PLAN0216"/>
    <n v="2029"/>
    <x v="1"/>
    <x v="35"/>
    <x v="21"/>
    <x v="60"/>
    <x v="86"/>
    <x v="14"/>
    <x v="9"/>
    <x v="0"/>
    <x v="19"/>
    <x v="1"/>
    <x v="33"/>
    <x v="3"/>
  </r>
  <r>
    <s v="PLAN0217"/>
    <n v="2030"/>
    <x v="7"/>
    <x v="14"/>
    <x v="60"/>
    <x v="65"/>
    <x v="87"/>
    <x v="8"/>
    <x v="4"/>
    <x v="2"/>
    <x v="29"/>
    <x v="2"/>
    <x v="59"/>
    <x v="0"/>
  </r>
  <r>
    <s v="PLAN0218"/>
    <n v="2029"/>
    <x v="3"/>
    <x v="3"/>
    <x v="43"/>
    <x v="13"/>
    <x v="7"/>
    <x v="10"/>
    <x v="18"/>
    <x v="4"/>
    <x v="40"/>
    <x v="1"/>
    <x v="107"/>
    <x v="3"/>
  </r>
  <r>
    <s v="PLAN0219"/>
    <n v="2029"/>
    <x v="6"/>
    <x v="9"/>
    <x v="52"/>
    <x v="0"/>
    <x v="60"/>
    <x v="14"/>
    <x v="3"/>
    <x v="8"/>
    <x v="30"/>
    <x v="1"/>
    <x v="92"/>
    <x v="1"/>
  </r>
  <r>
    <s v="PLAN0220"/>
    <n v="2026"/>
    <x v="2"/>
    <x v="27"/>
    <x v="73"/>
    <x v="75"/>
    <x v="88"/>
    <x v="8"/>
    <x v="10"/>
    <x v="9"/>
    <x v="15"/>
    <x v="2"/>
    <x v="123"/>
    <x v="2"/>
  </r>
  <r>
    <s v="PLAN0221"/>
    <n v="2030"/>
    <x v="4"/>
    <x v="36"/>
    <x v="67"/>
    <x v="75"/>
    <x v="24"/>
    <x v="1"/>
    <x v="7"/>
    <x v="4"/>
    <x v="29"/>
    <x v="0"/>
    <x v="91"/>
    <x v="2"/>
  </r>
  <r>
    <s v="PLAN0222"/>
    <n v="2029"/>
    <x v="9"/>
    <x v="25"/>
    <x v="20"/>
    <x v="28"/>
    <x v="34"/>
    <x v="15"/>
    <x v="15"/>
    <x v="2"/>
    <x v="11"/>
    <x v="1"/>
    <x v="36"/>
    <x v="2"/>
  </r>
  <r>
    <s v="PLAN0223"/>
    <n v="2030"/>
    <x v="7"/>
    <x v="14"/>
    <x v="71"/>
    <x v="53"/>
    <x v="18"/>
    <x v="15"/>
    <x v="16"/>
    <x v="3"/>
    <x v="18"/>
    <x v="2"/>
    <x v="93"/>
    <x v="1"/>
  </r>
  <r>
    <s v="PLAN0224"/>
    <n v="2028"/>
    <x v="9"/>
    <x v="43"/>
    <x v="66"/>
    <x v="63"/>
    <x v="69"/>
    <x v="8"/>
    <x v="19"/>
    <x v="5"/>
    <x v="14"/>
    <x v="1"/>
    <x v="124"/>
    <x v="2"/>
  </r>
  <r>
    <s v="PLAN0225"/>
    <n v="2028"/>
    <x v="9"/>
    <x v="22"/>
    <x v="25"/>
    <x v="26"/>
    <x v="42"/>
    <x v="14"/>
    <x v="13"/>
    <x v="5"/>
    <x v="6"/>
    <x v="1"/>
    <x v="125"/>
    <x v="2"/>
  </r>
  <r>
    <s v="PLAN0226"/>
    <n v="2029"/>
    <x v="7"/>
    <x v="11"/>
    <x v="54"/>
    <x v="80"/>
    <x v="89"/>
    <x v="2"/>
    <x v="12"/>
    <x v="4"/>
    <x v="1"/>
    <x v="1"/>
    <x v="98"/>
    <x v="2"/>
  </r>
  <r>
    <s v="PLAN0227"/>
    <n v="2030"/>
    <x v="4"/>
    <x v="4"/>
    <x v="74"/>
    <x v="81"/>
    <x v="22"/>
    <x v="4"/>
    <x v="20"/>
    <x v="2"/>
    <x v="25"/>
    <x v="0"/>
    <x v="126"/>
    <x v="2"/>
  </r>
  <r>
    <s v="PLAN0228"/>
    <n v="2030"/>
    <x v="2"/>
    <x v="2"/>
    <x v="9"/>
    <x v="18"/>
    <x v="5"/>
    <x v="1"/>
    <x v="10"/>
    <x v="0"/>
    <x v="34"/>
    <x v="1"/>
    <x v="127"/>
    <x v="1"/>
  </r>
  <r>
    <s v="PLAN0229"/>
    <n v="2026"/>
    <x v="4"/>
    <x v="41"/>
    <x v="62"/>
    <x v="25"/>
    <x v="41"/>
    <x v="12"/>
    <x v="27"/>
    <x v="5"/>
    <x v="14"/>
    <x v="1"/>
    <x v="9"/>
    <x v="2"/>
  </r>
  <r>
    <s v="PLAN0230"/>
    <n v="2027"/>
    <x v="8"/>
    <x v="17"/>
    <x v="47"/>
    <x v="72"/>
    <x v="86"/>
    <x v="7"/>
    <x v="4"/>
    <x v="3"/>
    <x v="32"/>
    <x v="1"/>
    <x v="81"/>
    <x v="2"/>
  </r>
  <r>
    <s v="PLAN0231"/>
    <n v="2028"/>
    <x v="7"/>
    <x v="11"/>
    <x v="52"/>
    <x v="57"/>
    <x v="61"/>
    <x v="2"/>
    <x v="6"/>
    <x v="5"/>
    <x v="18"/>
    <x v="0"/>
    <x v="40"/>
    <x v="2"/>
  </r>
  <r>
    <s v="PLAN0232"/>
    <n v="2026"/>
    <x v="4"/>
    <x v="36"/>
    <x v="68"/>
    <x v="25"/>
    <x v="2"/>
    <x v="8"/>
    <x v="24"/>
    <x v="7"/>
    <x v="29"/>
    <x v="1"/>
    <x v="113"/>
    <x v="0"/>
  </r>
  <r>
    <s v="PLAN0233"/>
    <n v="2028"/>
    <x v="1"/>
    <x v="1"/>
    <x v="18"/>
    <x v="70"/>
    <x v="49"/>
    <x v="13"/>
    <x v="22"/>
    <x v="2"/>
    <x v="7"/>
    <x v="2"/>
    <x v="89"/>
    <x v="0"/>
  </r>
  <r>
    <s v="PLAN0234"/>
    <n v="2027"/>
    <x v="3"/>
    <x v="3"/>
    <x v="67"/>
    <x v="74"/>
    <x v="82"/>
    <x v="3"/>
    <x v="11"/>
    <x v="0"/>
    <x v="16"/>
    <x v="1"/>
    <x v="127"/>
    <x v="0"/>
  </r>
  <r>
    <s v="PLAN0235"/>
    <n v="2029"/>
    <x v="1"/>
    <x v="19"/>
    <x v="57"/>
    <x v="23"/>
    <x v="60"/>
    <x v="4"/>
    <x v="32"/>
    <x v="3"/>
    <x v="40"/>
    <x v="0"/>
    <x v="75"/>
    <x v="3"/>
  </r>
  <r>
    <s v="PLAN0236"/>
    <n v="2028"/>
    <x v="4"/>
    <x v="41"/>
    <x v="62"/>
    <x v="24"/>
    <x v="71"/>
    <x v="2"/>
    <x v="15"/>
    <x v="3"/>
    <x v="25"/>
    <x v="0"/>
    <x v="78"/>
    <x v="1"/>
  </r>
  <r>
    <s v="PLAN0237"/>
    <n v="2027"/>
    <x v="9"/>
    <x v="25"/>
    <x v="32"/>
    <x v="29"/>
    <x v="18"/>
    <x v="11"/>
    <x v="21"/>
    <x v="0"/>
    <x v="14"/>
    <x v="1"/>
    <x v="90"/>
    <x v="0"/>
  </r>
  <r>
    <s v="PLAN0238"/>
    <n v="2030"/>
    <x v="7"/>
    <x v="11"/>
    <x v="73"/>
    <x v="82"/>
    <x v="70"/>
    <x v="13"/>
    <x v="2"/>
    <x v="4"/>
    <x v="11"/>
    <x v="1"/>
    <x v="25"/>
    <x v="2"/>
  </r>
  <r>
    <s v="PLAN0239"/>
    <n v="2027"/>
    <x v="5"/>
    <x v="13"/>
    <x v="14"/>
    <x v="13"/>
    <x v="78"/>
    <x v="11"/>
    <x v="6"/>
    <x v="0"/>
    <x v="40"/>
    <x v="2"/>
    <x v="126"/>
    <x v="1"/>
  </r>
  <r>
    <s v="PLAN0240"/>
    <n v="2026"/>
    <x v="1"/>
    <x v="44"/>
    <x v="57"/>
    <x v="58"/>
    <x v="32"/>
    <x v="11"/>
    <x v="15"/>
    <x v="5"/>
    <x v="13"/>
    <x v="1"/>
    <x v="8"/>
    <x v="1"/>
  </r>
  <r>
    <s v="PLAN0241"/>
    <n v="2029"/>
    <x v="9"/>
    <x v="21"/>
    <x v="3"/>
    <x v="35"/>
    <x v="8"/>
    <x v="16"/>
    <x v="20"/>
    <x v="8"/>
    <x v="6"/>
    <x v="2"/>
    <x v="48"/>
    <x v="3"/>
  </r>
  <r>
    <s v="PLAN0242"/>
    <n v="2030"/>
    <x v="7"/>
    <x v="33"/>
    <x v="68"/>
    <x v="74"/>
    <x v="85"/>
    <x v="12"/>
    <x v="18"/>
    <x v="6"/>
    <x v="22"/>
    <x v="2"/>
    <x v="47"/>
    <x v="1"/>
  </r>
  <r>
    <s v="PLAN0243"/>
    <n v="2026"/>
    <x v="6"/>
    <x v="28"/>
    <x v="62"/>
    <x v="21"/>
    <x v="51"/>
    <x v="11"/>
    <x v="34"/>
    <x v="2"/>
    <x v="19"/>
    <x v="2"/>
    <x v="66"/>
    <x v="1"/>
  </r>
  <r>
    <s v="PLAN0244"/>
    <n v="2030"/>
    <x v="1"/>
    <x v="35"/>
    <x v="73"/>
    <x v="49"/>
    <x v="69"/>
    <x v="17"/>
    <x v="9"/>
    <x v="0"/>
    <x v="20"/>
    <x v="2"/>
    <x v="23"/>
    <x v="0"/>
  </r>
  <r>
    <s v="PLAN0245"/>
    <n v="2029"/>
    <x v="7"/>
    <x v="11"/>
    <x v="67"/>
    <x v="70"/>
    <x v="65"/>
    <x v="6"/>
    <x v="22"/>
    <x v="8"/>
    <x v="37"/>
    <x v="0"/>
    <x v="117"/>
    <x v="2"/>
  </r>
  <r>
    <s v="PLAN0246"/>
    <n v="2030"/>
    <x v="9"/>
    <x v="43"/>
    <x v="58"/>
    <x v="63"/>
    <x v="71"/>
    <x v="5"/>
    <x v="0"/>
    <x v="1"/>
    <x v="18"/>
    <x v="2"/>
    <x v="74"/>
    <x v="3"/>
  </r>
  <r>
    <s v="PLAN0247"/>
    <n v="2028"/>
    <x v="4"/>
    <x v="4"/>
    <x v="0"/>
    <x v="26"/>
    <x v="41"/>
    <x v="1"/>
    <x v="7"/>
    <x v="3"/>
    <x v="39"/>
    <x v="2"/>
    <x v="12"/>
    <x v="0"/>
  </r>
  <r>
    <s v="PLAN0248"/>
    <n v="2026"/>
    <x v="7"/>
    <x v="14"/>
    <x v="47"/>
    <x v="59"/>
    <x v="28"/>
    <x v="0"/>
    <x v="2"/>
    <x v="5"/>
    <x v="7"/>
    <x v="0"/>
    <x v="55"/>
    <x v="2"/>
  </r>
  <r>
    <s v="PLAN0249"/>
    <n v="2030"/>
    <x v="8"/>
    <x v="26"/>
    <x v="18"/>
    <x v="83"/>
    <x v="41"/>
    <x v="12"/>
    <x v="8"/>
    <x v="0"/>
    <x v="17"/>
    <x v="0"/>
    <x v="10"/>
    <x v="1"/>
  </r>
  <r>
    <s v="PLAN0250"/>
    <n v="2027"/>
    <x v="0"/>
    <x v="10"/>
    <x v="38"/>
    <x v="26"/>
    <x v="36"/>
    <x v="6"/>
    <x v="24"/>
    <x v="6"/>
    <x v="38"/>
    <x v="0"/>
    <x v="105"/>
    <x v="2"/>
  </r>
  <r>
    <s v="PLAN0251"/>
    <n v="2030"/>
    <x v="3"/>
    <x v="8"/>
    <x v="26"/>
    <x v="5"/>
    <x v="12"/>
    <x v="5"/>
    <x v="2"/>
    <x v="6"/>
    <x v="25"/>
    <x v="1"/>
    <x v="128"/>
    <x v="1"/>
  </r>
  <r>
    <s v="PLAN0252"/>
    <n v="2026"/>
    <x v="0"/>
    <x v="0"/>
    <x v="12"/>
    <x v="54"/>
    <x v="31"/>
    <x v="12"/>
    <x v="13"/>
    <x v="7"/>
    <x v="23"/>
    <x v="1"/>
    <x v="97"/>
    <x v="3"/>
  </r>
  <r>
    <s v="PLAN0253"/>
    <n v="2028"/>
    <x v="8"/>
    <x v="26"/>
    <x v="33"/>
    <x v="68"/>
    <x v="11"/>
    <x v="10"/>
    <x v="18"/>
    <x v="3"/>
    <x v="11"/>
    <x v="1"/>
    <x v="7"/>
    <x v="2"/>
  </r>
  <r>
    <s v="PLAN0254"/>
    <n v="2027"/>
    <x v="2"/>
    <x v="37"/>
    <x v="42"/>
    <x v="43"/>
    <x v="75"/>
    <x v="7"/>
    <x v="17"/>
    <x v="9"/>
    <x v="6"/>
    <x v="0"/>
    <x v="40"/>
    <x v="3"/>
  </r>
  <r>
    <s v="PLAN0255"/>
    <n v="2027"/>
    <x v="1"/>
    <x v="35"/>
    <x v="52"/>
    <x v="58"/>
    <x v="9"/>
    <x v="13"/>
    <x v="7"/>
    <x v="3"/>
    <x v="0"/>
    <x v="2"/>
    <x v="129"/>
    <x v="3"/>
  </r>
  <r>
    <s v="PLAN0256"/>
    <n v="2027"/>
    <x v="9"/>
    <x v="22"/>
    <x v="69"/>
    <x v="51"/>
    <x v="52"/>
    <x v="2"/>
    <x v="12"/>
    <x v="2"/>
    <x v="38"/>
    <x v="2"/>
    <x v="75"/>
    <x v="0"/>
  </r>
  <r>
    <s v="PLAN0257"/>
    <n v="2030"/>
    <x v="2"/>
    <x v="29"/>
    <x v="4"/>
    <x v="17"/>
    <x v="47"/>
    <x v="12"/>
    <x v="6"/>
    <x v="3"/>
    <x v="17"/>
    <x v="0"/>
    <x v="105"/>
    <x v="2"/>
  </r>
  <r>
    <s v="PLAN0258"/>
    <n v="2026"/>
    <x v="1"/>
    <x v="35"/>
    <x v="66"/>
    <x v="16"/>
    <x v="80"/>
    <x v="15"/>
    <x v="16"/>
    <x v="7"/>
    <x v="1"/>
    <x v="2"/>
    <x v="113"/>
    <x v="3"/>
  </r>
  <r>
    <s v="PLAN0259"/>
    <n v="2030"/>
    <x v="7"/>
    <x v="14"/>
    <x v="60"/>
    <x v="72"/>
    <x v="68"/>
    <x v="6"/>
    <x v="5"/>
    <x v="1"/>
    <x v="0"/>
    <x v="1"/>
    <x v="29"/>
    <x v="2"/>
  </r>
  <r>
    <s v="PLAN0260"/>
    <n v="2030"/>
    <x v="6"/>
    <x v="28"/>
    <x v="14"/>
    <x v="32"/>
    <x v="5"/>
    <x v="17"/>
    <x v="17"/>
    <x v="5"/>
    <x v="8"/>
    <x v="2"/>
    <x v="82"/>
    <x v="3"/>
  </r>
  <r>
    <s v="PLAN0261"/>
    <n v="2026"/>
    <x v="6"/>
    <x v="7"/>
    <x v="37"/>
    <x v="40"/>
    <x v="61"/>
    <x v="11"/>
    <x v="8"/>
    <x v="6"/>
    <x v="19"/>
    <x v="0"/>
    <x v="71"/>
    <x v="2"/>
  </r>
  <r>
    <s v="PLAN0262"/>
    <n v="2029"/>
    <x v="2"/>
    <x v="18"/>
    <x v="10"/>
    <x v="45"/>
    <x v="15"/>
    <x v="11"/>
    <x v="7"/>
    <x v="4"/>
    <x v="4"/>
    <x v="2"/>
    <x v="9"/>
    <x v="1"/>
  </r>
  <r>
    <s v="PLAN0263"/>
    <n v="2030"/>
    <x v="6"/>
    <x v="38"/>
    <x v="44"/>
    <x v="54"/>
    <x v="9"/>
    <x v="0"/>
    <x v="19"/>
    <x v="9"/>
    <x v="5"/>
    <x v="0"/>
    <x v="60"/>
    <x v="0"/>
  </r>
  <r>
    <s v="PLAN0264"/>
    <n v="2026"/>
    <x v="3"/>
    <x v="3"/>
    <x v="59"/>
    <x v="68"/>
    <x v="29"/>
    <x v="6"/>
    <x v="3"/>
    <x v="2"/>
    <x v="33"/>
    <x v="2"/>
    <x v="91"/>
    <x v="1"/>
  </r>
  <r>
    <s v="PLAN0265"/>
    <n v="2026"/>
    <x v="5"/>
    <x v="32"/>
    <x v="6"/>
    <x v="35"/>
    <x v="63"/>
    <x v="5"/>
    <x v="19"/>
    <x v="3"/>
    <x v="17"/>
    <x v="0"/>
    <x v="77"/>
    <x v="2"/>
  </r>
  <r>
    <s v="PLAN0266"/>
    <n v="2030"/>
    <x v="4"/>
    <x v="31"/>
    <x v="7"/>
    <x v="34"/>
    <x v="78"/>
    <x v="7"/>
    <x v="5"/>
    <x v="1"/>
    <x v="26"/>
    <x v="2"/>
    <x v="45"/>
    <x v="0"/>
  </r>
  <r>
    <s v="PLAN0267"/>
    <n v="2027"/>
    <x v="3"/>
    <x v="39"/>
    <x v="59"/>
    <x v="52"/>
    <x v="42"/>
    <x v="13"/>
    <x v="6"/>
    <x v="0"/>
    <x v="27"/>
    <x v="2"/>
    <x v="125"/>
    <x v="3"/>
  </r>
  <r>
    <s v="PLAN0268"/>
    <n v="2027"/>
    <x v="1"/>
    <x v="1"/>
    <x v="30"/>
    <x v="2"/>
    <x v="30"/>
    <x v="7"/>
    <x v="19"/>
    <x v="8"/>
    <x v="0"/>
    <x v="2"/>
    <x v="130"/>
    <x v="3"/>
  </r>
  <r>
    <s v="PLAN0269"/>
    <n v="2030"/>
    <x v="4"/>
    <x v="41"/>
    <x v="29"/>
    <x v="74"/>
    <x v="75"/>
    <x v="0"/>
    <x v="32"/>
    <x v="1"/>
    <x v="24"/>
    <x v="2"/>
    <x v="131"/>
    <x v="2"/>
  </r>
  <r>
    <s v="PLAN0270"/>
    <n v="2028"/>
    <x v="8"/>
    <x v="12"/>
    <x v="72"/>
    <x v="68"/>
    <x v="65"/>
    <x v="7"/>
    <x v="26"/>
    <x v="4"/>
    <x v="13"/>
    <x v="0"/>
    <x v="121"/>
    <x v="2"/>
  </r>
  <r>
    <s v="PLAN0271"/>
    <n v="2028"/>
    <x v="9"/>
    <x v="25"/>
    <x v="3"/>
    <x v="45"/>
    <x v="8"/>
    <x v="0"/>
    <x v="20"/>
    <x v="8"/>
    <x v="13"/>
    <x v="2"/>
    <x v="49"/>
    <x v="0"/>
  </r>
  <r>
    <s v="PLAN0272"/>
    <n v="2028"/>
    <x v="4"/>
    <x v="36"/>
    <x v="56"/>
    <x v="65"/>
    <x v="28"/>
    <x v="9"/>
    <x v="12"/>
    <x v="6"/>
    <x v="21"/>
    <x v="1"/>
    <x v="8"/>
    <x v="0"/>
  </r>
  <r>
    <s v="PLAN0273"/>
    <n v="2030"/>
    <x v="8"/>
    <x v="17"/>
    <x v="30"/>
    <x v="55"/>
    <x v="81"/>
    <x v="6"/>
    <x v="5"/>
    <x v="9"/>
    <x v="6"/>
    <x v="0"/>
    <x v="56"/>
    <x v="3"/>
  </r>
  <r>
    <s v="PLAN0274"/>
    <n v="2026"/>
    <x v="0"/>
    <x v="0"/>
    <x v="28"/>
    <x v="65"/>
    <x v="50"/>
    <x v="1"/>
    <x v="11"/>
    <x v="7"/>
    <x v="8"/>
    <x v="0"/>
    <x v="38"/>
    <x v="1"/>
  </r>
  <r>
    <s v="PLAN0275"/>
    <n v="2027"/>
    <x v="3"/>
    <x v="8"/>
    <x v="61"/>
    <x v="17"/>
    <x v="7"/>
    <x v="16"/>
    <x v="30"/>
    <x v="2"/>
    <x v="21"/>
    <x v="1"/>
    <x v="59"/>
    <x v="1"/>
  </r>
  <r>
    <s v="PLAN0276"/>
    <n v="2026"/>
    <x v="2"/>
    <x v="27"/>
    <x v="12"/>
    <x v="58"/>
    <x v="6"/>
    <x v="2"/>
    <x v="3"/>
    <x v="5"/>
    <x v="4"/>
    <x v="1"/>
    <x v="43"/>
    <x v="1"/>
  </r>
  <r>
    <s v="PLAN0277"/>
    <n v="2029"/>
    <x v="7"/>
    <x v="33"/>
    <x v="35"/>
    <x v="40"/>
    <x v="31"/>
    <x v="3"/>
    <x v="21"/>
    <x v="6"/>
    <x v="26"/>
    <x v="0"/>
    <x v="69"/>
    <x v="0"/>
  </r>
  <r>
    <s v="PLAN0278"/>
    <n v="2028"/>
    <x v="9"/>
    <x v="22"/>
    <x v="34"/>
    <x v="6"/>
    <x v="15"/>
    <x v="10"/>
    <x v="20"/>
    <x v="8"/>
    <x v="19"/>
    <x v="2"/>
    <x v="25"/>
    <x v="0"/>
  </r>
  <r>
    <s v="PLAN0279"/>
    <n v="2026"/>
    <x v="9"/>
    <x v="22"/>
    <x v="68"/>
    <x v="75"/>
    <x v="71"/>
    <x v="15"/>
    <x v="11"/>
    <x v="3"/>
    <x v="10"/>
    <x v="1"/>
    <x v="85"/>
    <x v="1"/>
  </r>
  <r>
    <s v="PLAN0280"/>
    <n v="2030"/>
    <x v="8"/>
    <x v="26"/>
    <x v="17"/>
    <x v="50"/>
    <x v="2"/>
    <x v="5"/>
    <x v="21"/>
    <x v="9"/>
    <x v="14"/>
    <x v="2"/>
    <x v="57"/>
    <x v="2"/>
  </r>
  <r>
    <s v="PLAN0281"/>
    <n v="2029"/>
    <x v="0"/>
    <x v="24"/>
    <x v="64"/>
    <x v="84"/>
    <x v="25"/>
    <x v="2"/>
    <x v="21"/>
    <x v="5"/>
    <x v="25"/>
    <x v="2"/>
    <x v="34"/>
    <x v="2"/>
  </r>
  <r>
    <s v="PLAN0282"/>
    <n v="2030"/>
    <x v="8"/>
    <x v="26"/>
    <x v="6"/>
    <x v="20"/>
    <x v="55"/>
    <x v="0"/>
    <x v="6"/>
    <x v="1"/>
    <x v="19"/>
    <x v="1"/>
    <x v="88"/>
    <x v="3"/>
  </r>
  <r>
    <s v="PLAN0283"/>
    <n v="2026"/>
    <x v="7"/>
    <x v="34"/>
    <x v="53"/>
    <x v="75"/>
    <x v="36"/>
    <x v="16"/>
    <x v="31"/>
    <x v="6"/>
    <x v="18"/>
    <x v="1"/>
    <x v="132"/>
    <x v="1"/>
  </r>
  <r>
    <s v="PLAN0284"/>
    <n v="2030"/>
    <x v="6"/>
    <x v="42"/>
    <x v="9"/>
    <x v="35"/>
    <x v="18"/>
    <x v="10"/>
    <x v="30"/>
    <x v="2"/>
    <x v="21"/>
    <x v="0"/>
    <x v="0"/>
    <x v="0"/>
  </r>
  <r>
    <s v="PLAN0285"/>
    <n v="2029"/>
    <x v="2"/>
    <x v="18"/>
    <x v="17"/>
    <x v="78"/>
    <x v="81"/>
    <x v="6"/>
    <x v="17"/>
    <x v="9"/>
    <x v="29"/>
    <x v="0"/>
    <x v="46"/>
    <x v="0"/>
  </r>
  <r>
    <s v="PLAN0286"/>
    <n v="2027"/>
    <x v="0"/>
    <x v="30"/>
    <x v="48"/>
    <x v="46"/>
    <x v="73"/>
    <x v="7"/>
    <x v="22"/>
    <x v="0"/>
    <x v="8"/>
    <x v="0"/>
    <x v="133"/>
    <x v="0"/>
  </r>
  <r>
    <s v="PLAN0287"/>
    <n v="2029"/>
    <x v="6"/>
    <x v="42"/>
    <x v="0"/>
    <x v="68"/>
    <x v="2"/>
    <x v="14"/>
    <x v="36"/>
    <x v="7"/>
    <x v="2"/>
    <x v="0"/>
    <x v="112"/>
    <x v="2"/>
  </r>
  <r>
    <s v="PLAN0288"/>
    <n v="2030"/>
    <x v="9"/>
    <x v="22"/>
    <x v="34"/>
    <x v="34"/>
    <x v="34"/>
    <x v="12"/>
    <x v="3"/>
    <x v="8"/>
    <x v="14"/>
    <x v="1"/>
    <x v="65"/>
    <x v="3"/>
  </r>
  <r>
    <s v="PLAN0289"/>
    <n v="2030"/>
    <x v="5"/>
    <x v="5"/>
    <x v="5"/>
    <x v="11"/>
    <x v="32"/>
    <x v="11"/>
    <x v="21"/>
    <x v="0"/>
    <x v="32"/>
    <x v="2"/>
    <x v="41"/>
    <x v="2"/>
  </r>
  <r>
    <s v="PLAN0290"/>
    <n v="2030"/>
    <x v="8"/>
    <x v="26"/>
    <x v="39"/>
    <x v="18"/>
    <x v="33"/>
    <x v="14"/>
    <x v="9"/>
    <x v="0"/>
    <x v="35"/>
    <x v="2"/>
    <x v="94"/>
    <x v="2"/>
  </r>
  <r>
    <s v="PLAN0291"/>
    <n v="2029"/>
    <x v="4"/>
    <x v="23"/>
    <x v="61"/>
    <x v="38"/>
    <x v="34"/>
    <x v="14"/>
    <x v="25"/>
    <x v="2"/>
    <x v="32"/>
    <x v="1"/>
    <x v="3"/>
    <x v="2"/>
  </r>
  <r>
    <s v="PLAN0292"/>
    <n v="2030"/>
    <x v="8"/>
    <x v="12"/>
    <x v="53"/>
    <x v="50"/>
    <x v="19"/>
    <x v="8"/>
    <x v="5"/>
    <x v="6"/>
    <x v="27"/>
    <x v="0"/>
    <x v="96"/>
    <x v="2"/>
  </r>
  <r>
    <s v="PLAN0293"/>
    <n v="2026"/>
    <x v="3"/>
    <x v="39"/>
    <x v="16"/>
    <x v="47"/>
    <x v="8"/>
    <x v="10"/>
    <x v="12"/>
    <x v="3"/>
    <x v="27"/>
    <x v="1"/>
    <x v="39"/>
    <x v="3"/>
  </r>
  <r>
    <s v="PLAN0294"/>
    <n v="2027"/>
    <x v="3"/>
    <x v="39"/>
    <x v="23"/>
    <x v="83"/>
    <x v="57"/>
    <x v="13"/>
    <x v="15"/>
    <x v="1"/>
    <x v="31"/>
    <x v="2"/>
    <x v="13"/>
    <x v="2"/>
  </r>
  <r>
    <s v="PLAN0295"/>
    <n v="2026"/>
    <x v="4"/>
    <x v="4"/>
    <x v="19"/>
    <x v="34"/>
    <x v="47"/>
    <x v="0"/>
    <x v="15"/>
    <x v="5"/>
    <x v="7"/>
    <x v="1"/>
    <x v="12"/>
    <x v="3"/>
  </r>
  <r>
    <s v="PLAN0296"/>
    <n v="2028"/>
    <x v="5"/>
    <x v="5"/>
    <x v="70"/>
    <x v="0"/>
    <x v="22"/>
    <x v="1"/>
    <x v="19"/>
    <x v="4"/>
    <x v="38"/>
    <x v="1"/>
    <x v="33"/>
    <x v="2"/>
  </r>
  <r>
    <s v="PLAN0297"/>
    <n v="2026"/>
    <x v="6"/>
    <x v="28"/>
    <x v="72"/>
    <x v="0"/>
    <x v="42"/>
    <x v="16"/>
    <x v="21"/>
    <x v="6"/>
    <x v="21"/>
    <x v="0"/>
    <x v="14"/>
    <x v="0"/>
  </r>
  <r>
    <s v="PLAN0298"/>
    <n v="2029"/>
    <x v="2"/>
    <x v="29"/>
    <x v="23"/>
    <x v="39"/>
    <x v="3"/>
    <x v="16"/>
    <x v="30"/>
    <x v="6"/>
    <x v="11"/>
    <x v="0"/>
    <x v="116"/>
    <x v="2"/>
  </r>
  <r>
    <s v="PLAN0299"/>
    <n v="2027"/>
    <x v="3"/>
    <x v="3"/>
    <x v="59"/>
    <x v="73"/>
    <x v="84"/>
    <x v="5"/>
    <x v="25"/>
    <x v="7"/>
    <x v="39"/>
    <x v="1"/>
    <x v="53"/>
    <x v="2"/>
  </r>
  <r>
    <s v="PLAN0300"/>
    <n v="2027"/>
    <x v="2"/>
    <x v="37"/>
    <x v="50"/>
    <x v="7"/>
    <x v="41"/>
    <x v="11"/>
    <x v="16"/>
    <x v="8"/>
    <x v="25"/>
    <x v="1"/>
    <x v="110"/>
    <x v="0"/>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9">
  <location ref="A23:E34" firstHeaderRow="0" firstDataRow="1" firstDataCol="1"/>
  <pivotFields count="14">
    <pivotField showAll="0"/>
    <pivotField showAll="0"/>
    <pivotField axis="axisRow" showAll="0">
      <items count="11">
        <item x="8"/>
        <item x="6"/>
        <item x="9"/>
        <item x="0"/>
        <item x="5"/>
        <item x="4"/>
        <item x="7"/>
        <item x="3"/>
        <item x="1"/>
        <item x="2"/>
        <item t="default"/>
      </items>
    </pivotField>
    <pivotField showAll="0">
      <items count="47">
        <item x="14"/>
        <item x="44"/>
        <item x="24"/>
        <item x="22"/>
        <item x="31"/>
        <item x="10"/>
        <item x="38"/>
        <item x="26"/>
        <item x="7"/>
        <item x="32"/>
        <item x="35"/>
        <item x="42"/>
        <item x="33"/>
        <item x="39"/>
        <item x="28"/>
        <item x="0"/>
        <item x="27"/>
        <item x="12"/>
        <item x="41"/>
        <item x="19"/>
        <item x="20"/>
        <item x="9"/>
        <item x="3"/>
        <item x="16"/>
        <item x="43"/>
        <item x="5"/>
        <item x="40"/>
        <item x="11"/>
        <item x="45"/>
        <item x="25"/>
        <item x="1"/>
        <item x="15"/>
        <item x="8"/>
        <item x="2"/>
        <item x="17"/>
        <item x="23"/>
        <item x="34"/>
        <item x="30"/>
        <item x="36"/>
        <item x="13"/>
        <item x="21"/>
        <item x="6"/>
        <item x="29"/>
        <item x="37"/>
        <item x="18"/>
        <item x="4"/>
        <item t="default"/>
      </items>
    </pivotField>
    <pivotField showAll="0">
      <items count="3">
        <item x="0"/>
        <item x="1"/>
        <item t="default"/>
      </items>
    </pivotField>
    <pivotField showAll="0"/>
    <pivotField dataField="1" showAll="0"/>
    <pivotField dataField="1" showAll="0"/>
    <pivotField dataField="1" showAll="0">
      <items count="6">
        <item h="1" x="4"/>
        <item x="0"/>
        <item h="1" x="3"/>
        <item h="1" x="2"/>
        <item h="1" x="1"/>
        <item t="default"/>
      </items>
    </pivotField>
    <pivotField dataField="1" showAll="0">
      <items count="6">
        <item h="1" x="2"/>
        <item h="1" x="0"/>
        <item h="1" x="3"/>
        <item h="1" x="1"/>
        <item x="4"/>
        <item t="default"/>
      </items>
    </pivotField>
    <pivotField showAll="0">
      <items count="3">
        <item x="1"/>
        <item x="0"/>
        <item t="default"/>
      </items>
    </pivotField>
    <pivotField showAll="0">
      <items count="3">
        <item x="0"/>
        <item x="1"/>
        <item t="default"/>
      </items>
    </pivotField>
    <pivotField showAll="0">
      <items count="10">
        <item x="1"/>
        <item x="2"/>
        <item x="5"/>
        <item x="7"/>
        <item x="8"/>
        <item x="6"/>
        <item x="3"/>
        <item x="4"/>
        <item x="0"/>
        <item t="default"/>
      </items>
    </pivotField>
    <pivotField showAll="0">
      <items count="50">
        <item x="2"/>
        <item x="5"/>
        <item x="8"/>
        <item x="10"/>
        <item x="43"/>
        <item x="40"/>
        <item x="13"/>
        <item x="14"/>
        <item x="1"/>
        <item x="3"/>
        <item x="20"/>
        <item x="41"/>
        <item x="30"/>
        <item x="7"/>
        <item x="12"/>
        <item x="18"/>
        <item x="45"/>
        <item x="34"/>
        <item x="9"/>
        <item x="32"/>
        <item x="29"/>
        <item x="33"/>
        <item x="37"/>
        <item x="19"/>
        <item x="31"/>
        <item x="36"/>
        <item x="23"/>
        <item x="11"/>
        <item x="24"/>
        <item x="42"/>
        <item x="46"/>
        <item x="17"/>
        <item x="35"/>
        <item x="48"/>
        <item x="22"/>
        <item x="28"/>
        <item x="44"/>
        <item x="4"/>
        <item x="38"/>
        <item x="47"/>
        <item x="27"/>
        <item x="15"/>
        <item x="6"/>
        <item x="26"/>
        <item x="39"/>
        <item x="16"/>
        <item x="25"/>
        <item x="21"/>
        <item x="0"/>
        <item t="default"/>
      </items>
    </pivotField>
  </pivotFields>
  <rowFields count="1">
    <field x="2"/>
  </rowFields>
  <rowItems count="11">
    <i>
      <x/>
    </i>
    <i>
      <x v="1"/>
    </i>
    <i>
      <x v="2"/>
    </i>
    <i>
      <x v="3"/>
    </i>
    <i>
      <x v="4"/>
    </i>
    <i>
      <x v="5"/>
    </i>
    <i>
      <x v="6"/>
    </i>
    <i>
      <x v="7"/>
    </i>
    <i>
      <x v="8"/>
    </i>
    <i>
      <x v="9"/>
    </i>
    <i t="grand">
      <x/>
    </i>
  </rowItems>
  <colFields count="1">
    <field x="-2"/>
  </colFields>
  <colItems count="4">
    <i>
      <x/>
    </i>
    <i i="1">
      <x v="1"/>
    </i>
    <i i="2">
      <x v="2"/>
    </i>
    <i i="3">
      <x v="3"/>
    </i>
  </colItems>
  <dataFields count="4">
    <dataField name="Sum of Work-Life Balance" fld="9" baseField="0" baseItem="0"/>
    <dataField name="Sum of Years at Company" fld="7" baseField="0" baseItem="0"/>
    <dataField name="Sum of Monthly Salary" fld="6" baseField="0" baseItem="0"/>
    <dataField name="Sum of Job Satisfaction" fld="8" baseField="0" baseItem="0"/>
  </dataFields>
  <chartFormats count="15">
    <chartFormat chart="3" format="11"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1"/>
          </reference>
        </references>
      </pivotArea>
    </chartFormat>
    <chartFormat chart="3" format="13" series="1">
      <pivotArea type="data" outline="0" fieldPosition="0">
        <references count="1">
          <reference field="4294967294"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2"/>
          </reference>
        </references>
      </pivotArea>
    </chartFormat>
    <chartFormat chart="13" format="11" series="1">
      <pivotArea type="data" outline="0" fieldPosition="0">
        <references count="1">
          <reference field="4294967294" count="1" selected="0">
            <x v="3"/>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3"/>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2"/>
          </reference>
        </references>
      </pivotArea>
    </chartFormat>
    <chartFormat chart="16"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80:B85" firstHeaderRow="1" firstDataRow="1" firstDataCol="1"/>
  <pivotFields count="14">
    <pivotField showAll="0"/>
    <pivotField showAll="0"/>
    <pivotField showAll="0">
      <items count="12">
        <item x="8"/>
        <item x="3"/>
        <item x="2"/>
        <item x="5"/>
        <item x="4"/>
        <item x="9"/>
        <item x="6"/>
        <item x="7"/>
        <item x="0"/>
        <item x="1"/>
        <item x="10"/>
        <item t="default"/>
      </items>
    </pivotField>
    <pivotField showAll="0">
      <items count="47">
        <item x="16"/>
        <item x="37"/>
        <item x="26"/>
        <item x="20"/>
        <item x="27"/>
        <item x="42"/>
        <item x="35"/>
        <item x="28"/>
        <item x="3"/>
        <item x="4"/>
        <item x="41"/>
        <item x="7"/>
        <item x="12"/>
        <item x="2"/>
        <item x="18"/>
        <item x="32"/>
        <item x="13"/>
        <item x="0"/>
        <item x="43"/>
        <item x="38"/>
        <item x="17"/>
        <item x="11"/>
        <item x="33"/>
        <item x="34"/>
        <item x="29"/>
        <item x="14"/>
        <item x="30"/>
        <item x="40"/>
        <item x="5"/>
        <item x="24"/>
        <item x="10"/>
        <item x="1"/>
        <item x="19"/>
        <item x="44"/>
        <item x="9"/>
        <item x="8"/>
        <item x="36"/>
        <item x="21"/>
        <item x="15"/>
        <item x="39"/>
        <item x="23"/>
        <item x="6"/>
        <item x="25"/>
        <item x="31"/>
        <item x="22"/>
        <item x="45"/>
        <item t="default"/>
      </items>
    </pivotField>
    <pivotField showAll="0">
      <items count="77">
        <item x="55"/>
        <item x="45"/>
        <item x="54"/>
        <item x="44"/>
        <item x="52"/>
        <item x="12"/>
        <item x="70"/>
        <item x="26"/>
        <item x="57"/>
        <item x="24"/>
        <item x="5"/>
        <item x="35"/>
        <item x="74"/>
        <item x="37"/>
        <item x="11"/>
        <item x="25"/>
        <item x="38"/>
        <item x="0"/>
        <item x="59"/>
        <item x="63"/>
        <item x="42"/>
        <item x="72"/>
        <item x="8"/>
        <item x="69"/>
        <item x="50"/>
        <item x="41"/>
        <item x="67"/>
        <item x="29"/>
        <item x="27"/>
        <item x="68"/>
        <item x="23"/>
        <item x="73"/>
        <item x="36"/>
        <item x="33"/>
        <item x="51"/>
        <item x="18"/>
        <item x="66"/>
        <item x="62"/>
        <item x="58"/>
        <item x="30"/>
        <item x="53"/>
        <item x="71"/>
        <item x="17"/>
        <item x="22"/>
        <item x="6"/>
        <item x="2"/>
        <item x="32"/>
        <item x="7"/>
        <item x="40"/>
        <item x="39"/>
        <item x="46"/>
        <item x="9"/>
        <item x="3"/>
        <item x="10"/>
        <item x="49"/>
        <item x="4"/>
        <item x="19"/>
        <item x="61"/>
        <item x="34"/>
        <item x="14"/>
        <item x="16"/>
        <item x="43"/>
        <item x="1"/>
        <item x="28"/>
        <item x="20"/>
        <item x="65"/>
        <item x="48"/>
        <item x="15"/>
        <item x="60"/>
        <item x="56"/>
        <item x="21"/>
        <item x="47"/>
        <item x="31"/>
        <item x="13"/>
        <item x="64"/>
        <item x="75"/>
        <item t="default"/>
      </items>
    </pivotField>
    <pivotField showAll="0">
      <items count="87">
        <item x="61"/>
        <item x="79"/>
        <item x="77"/>
        <item x="54"/>
        <item x="80"/>
        <item x="36"/>
        <item x="57"/>
        <item x="58"/>
        <item x="37"/>
        <item x="11"/>
        <item x="62"/>
        <item x="5"/>
        <item x="40"/>
        <item x="67"/>
        <item x="30"/>
        <item x="23"/>
        <item x="22"/>
        <item x="0"/>
        <item x="3"/>
        <item x="81"/>
        <item x="10"/>
        <item x="52"/>
        <item x="73"/>
        <item x="7"/>
        <item x="33"/>
        <item x="51"/>
        <item x="39"/>
        <item x="74"/>
        <item x="26"/>
        <item x="43"/>
        <item x="68"/>
        <item x="76"/>
        <item x="42"/>
        <item x="83"/>
        <item x="82"/>
        <item x="25"/>
        <item x="21"/>
        <item x="75"/>
        <item x="70"/>
        <item x="24"/>
        <item x="15"/>
        <item x="49"/>
        <item x="63"/>
        <item x="27"/>
        <item x="16"/>
        <item x="20"/>
        <item x="29"/>
        <item x="50"/>
        <item x="2"/>
        <item x="35"/>
        <item x="53"/>
        <item x="55"/>
        <item x="71"/>
        <item x="45"/>
        <item x="17"/>
        <item x="78"/>
        <item x="6"/>
        <item x="34"/>
        <item x="47"/>
        <item x="13"/>
        <item x="4"/>
        <item x="8"/>
        <item x="31"/>
        <item x="18"/>
        <item x="44"/>
        <item x="9"/>
        <item x="66"/>
        <item x="14"/>
        <item x="56"/>
        <item x="32"/>
        <item x="38"/>
        <item x="59"/>
        <item x="28"/>
        <item x="1"/>
        <item x="65"/>
        <item x="46"/>
        <item x="84"/>
        <item x="19"/>
        <item x="12"/>
        <item x="48"/>
        <item x="72"/>
        <item x="41"/>
        <item x="60"/>
        <item x="64"/>
        <item x="69"/>
        <item x="85"/>
        <item t="default"/>
      </items>
    </pivotField>
    <pivotField showAll="0">
      <items count="92">
        <item x="56"/>
        <item x="89"/>
        <item x="83"/>
        <item x="12"/>
        <item x="37"/>
        <item x="53"/>
        <item x="61"/>
        <item x="58"/>
        <item x="32"/>
        <item x="31"/>
        <item x="60"/>
        <item x="6"/>
        <item x="72"/>
        <item x="21"/>
        <item x="9"/>
        <item x="44"/>
        <item x="0"/>
        <item x="22"/>
        <item x="85"/>
        <item x="42"/>
        <item x="52"/>
        <item x="43"/>
        <item x="11"/>
        <item x="3"/>
        <item x="29"/>
        <item x="84"/>
        <item x="70"/>
        <item x="41"/>
        <item x="36"/>
        <item x="75"/>
        <item x="57"/>
        <item x="51"/>
        <item x="59"/>
        <item x="54"/>
        <item x="82"/>
        <item x="23"/>
        <item x="24"/>
        <item x="71"/>
        <item x="27"/>
        <item x="80"/>
        <item x="65"/>
        <item x="2"/>
        <item x="16"/>
        <item x="26"/>
        <item x="17"/>
        <item x="18"/>
        <item x="55"/>
        <item x="69"/>
        <item x="88"/>
        <item x="49"/>
        <item x="30"/>
        <item x="7"/>
        <item x="81"/>
        <item x="38"/>
        <item x="19"/>
        <item x="14"/>
        <item x="63"/>
        <item x="47"/>
        <item x="8"/>
        <item x="64"/>
        <item x="79"/>
        <item x="78"/>
        <item x="76"/>
        <item x="45"/>
        <item x="15"/>
        <item x="34"/>
        <item x="33"/>
        <item x="28"/>
        <item x="4"/>
        <item x="5"/>
        <item x="20"/>
        <item x="10"/>
        <item x="50"/>
        <item x="25"/>
        <item x="39"/>
        <item x="74"/>
        <item x="62"/>
        <item x="13"/>
        <item x="35"/>
        <item x="67"/>
        <item x="73"/>
        <item x="68"/>
        <item x="46"/>
        <item x="87"/>
        <item x="1"/>
        <item x="77"/>
        <item x="86"/>
        <item x="48"/>
        <item x="40"/>
        <item x="66"/>
        <item x="90"/>
        <item t="default"/>
      </items>
    </pivotField>
    <pivotField showAll="0">
      <items count="20">
        <item x="16"/>
        <item x="10"/>
        <item x="12"/>
        <item x="11"/>
        <item x="0"/>
        <item x="3"/>
        <item x="2"/>
        <item x="13"/>
        <item x="5"/>
        <item x="9"/>
        <item x="8"/>
        <item x="4"/>
        <item x="15"/>
        <item x="7"/>
        <item x="17"/>
        <item x="1"/>
        <item x="6"/>
        <item x="14"/>
        <item x="18"/>
        <item t="default"/>
      </items>
    </pivotField>
    <pivotField showAll="0">
      <items count="39">
        <item x="31"/>
        <item x="14"/>
        <item x="18"/>
        <item x="27"/>
        <item x="28"/>
        <item x="8"/>
        <item x="30"/>
        <item x="34"/>
        <item x="2"/>
        <item x="23"/>
        <item x="12"/>
        <item x="21"/>
        <item x="0"/>
        <item x="15"/>
        <item x="6"/>
        <item x="32"/>
        <item x="16"/>
        <item x="13"/>
        <item x="20"/>
        <item x="3"/>
        <item x="25"/>
        <item x="11"/>
        <item x="17"/>
        <item x="7"/>
        <item x="19"/>
        <item x="24"/>
        <item x="5"/>
        <item x="22"/>
        <item x="4"/>
        <item x="9"/>
        <item x="10"/>
        <item x="26"/>
        <item x="35"/>
        <item x="29"/>
        <item x="1"/>
        <item x="33"/>
        <item x="36"/>
        <item x="37"/>
        <item t="default"/>
      </items>
    </pivotField>
    <pivotField axis="axisRow" showAll="0">
      <items count="12">
        <item x="9"/>
        <item h="1" x="6"/>
        <item h="1" x="1"/>
        <item h="1" x="5"/>
        <item h="1" x="4"/>
        <item h="1" x="8"/>
        <item h="1" x="0"/>
        <item h="1" x="7"/>
        <item h="1" x="3"/>
        <item h="1" x="2"/>
        <item h="1" x="10"/>
        <item t="default"/>
      </items>
    </pivotField>
    <pivotField showAll="0">
      <items count="43">
        <item x="33"/>
        <item x="25"/>
        <item x="20"/>
        <item x="11"/>
        <item x="37"/>
        <item x="30"/>
        <item x="39"/>
        <item x="2"/>
        <item x="13"/>
        <item x="23"/>
        <item x="32"/>
        <item x="9"/>
        <item x="18"/>
        <item x="35"/>
        <item x="19"/>
        <item x="22"/>
        <item x="3"/>
        <item x="8"/>
        <item x="17"/>
        <item x="10"/>
        <item x="38"/>
        <item x="26"/>
        <item x="40"/>
        <item x="28"/>
        <item x="1"/>
        <item x="16"/>
        <item x="34"/>
        <item x="15"/>
        <item x="4"/>
        <item x="24"/>
        <item x="21"/>
        <item x="7"/>
        <item x="14"/>
        <item x="36"/>
        <item x="31"/>
        <item x="12"/>
        <item x="0"/>
        <item x="6"/>
        <item x="5"/>
        <item x="27"/>
        <item x="29"/>
        <item x="41"/>
        <item t="default"/>
      </items>
    </pivotField>
    <pivotField axis="axisRow" showAll="0">
      <items count="5">
        <item x="0"/>
        <item x="1"/>
        <item x="2"/>
        <item x="3"/>
        <item t="default"/>
      </items>
    </pivotField>
    <pivotField showAll="0">
      <items count="136">
        <item x="115"/>
        <item x="19"/>
        <item x="49"/>
        <item x="122"/>
        <item x="33"/>
        <item x="89"/>
        <item x="22"/>
        <item x="103"/>
        <item x="104"/>
        <item x="97"/>
        <item x="123"/>
        <item x="1"/>
        <item x="117"/>
        <item x="101"/>
        <item x="39"/>
        <item x="63"/>
        <item x="61"/>
        <item x="111"/>
        <item x="71"/>
        <item x="25"/>
        <item x="8"/>
        <item x="11"/>
        <item x="90"/>
        <item x="88"/>
        <item x="131"/>
        <item x="48"/>
        <item x="46"/>
        <item x="72"/>
        <item x="20"/>
        <item x="96"/>
        <item x="113"/>
        <item x="30"/>
        <item x="126"/>
        <item x="16"/>
        <item x="12"/>
        <item x="3"/>
        <item x="62"/>
        <item x="76"/>
        <item x="34"/>
        <item x="133"/>
        <item x="130"/>
        <item x="114"/>
        <item x="44"/>
        <item x="36"/>
        <item x="74"/>
        <item x="81"/>
        <item x="87"/>
        <item x="5"/>
        <item x="24"/>
        <item x="58"/>
        <item x="66"/>
        <item x="94"/>
        <item x="120"/>
        <item x="100"/>
        <item x="93"/>
        <item x="129"/>
        <item x="112"/>
        <item x="40"/>
        <item x="35"/>
        <item x="108"/>
        <item x="109"/>
        <item x="67"/>
        <item x="28"/>
        <item x="86"/>
        <item x="80"/>
        <item x="56"/>
        <item x="13"/>
        <item x="50"/>
        <item x="57"/>
        <item x="83"/>
        <item x="17"/>
        <item x="38"/>
        <item x="2"/>
        <item x="27"/>
        <item x="106"/>
        <item x="43"/>
        <item x="14"/>
        <item x="18"/>
        <item x="119"/>
        <item x="32"/>
        <item x="10"/>
        <item x="84"/>
        <item x="52"/>
        <item x="116"/>
        <item x="4"/>
        <item x="6"/>
        <item x="75"/>
        <item x="127"/>
        <item x="15"/>
        <item x="65"/>
        <item x="54"/>
        <item x="118"/>
        <item x="132"/>
        <item x="98"/>
        <item x="107"/>
        <item x="64"/>
        <item x="110"/>
        <item x="79"/>
        <item x="73"/>
        <item x="42"/>
        <item x="78"/>
        <item x="105"/>
        <item x="47"/>
        <item x="125"/>
        <item x="82"/>
        <item x="91"/>
        <item x="53"/>
        <item x="31"/>
        <item x="59"/>
        <item x="92"/>
        <item x="37"/>
        <item x="45"/>
        <item x="85"/>
        <item x="102"/>
        <item x="124"/>
        <item x="77"/>
        <item x="51"/>
        <item x="68"/>
        <item x="99"/>
        <item x="29"/>
        <item x="128"/>
        <item x="70"/>
        <item x="121"/>
        <item x="26"/>
        <item x="21"/>
        <item x="95"/>
        <item x="9"/>
        <item x="0"/>
        <item x="69"/>
        <item x="55"/>
        <item x="7"/>
        <item x="60"/>
        <item x="23"/>
        <item x="41"/>
        <item x="134"/>
        <item t="default"/>
      </items>
    </pivotField>
    <pivotField dataField="1" showAll="0">
      <items count="6">
        <item x="1"/>
        <item x="3"/>
        <item x="2"/>
        <item x="0"/>
        <item x="4"/>
        <item t="default"/>
      </items>
    </pivotField>
  </pivotFields>
  <rowFields count="2">
    <field x="9"/>
    <field x="11"/>
  </rowFields>
  <rowItems count="5">
    <i>
      <x/>
    </i>
    <i r="1">
      <x/>
    </i>
    <i r="1">
      <x v="1"/>
    </i>
    <i r="1">
      <x v="2"/>
    </i>
    <i t="grand">
      <x/>
    </i>
  </rowItems>
  <colItems count="1">
    <i/>
  </colItems>
  <dataFields count="1">
    <dataField name="Count of Training Need" fld="13" subtotal="count" baseField="0" baseItem="0"/>
  </dataFields>
  <chartFormats count="3">
    <chartFormat chart="0"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location ref="A61:E67" firstHeaderRow="0" firstDataRow="1" firstDataCol="1"/>
  <pivotFields count="12">
    <pivotField showAll="0"/>
    <pivotField showAll="0"/>
    <pivotField showAll="0">
      <items count="11">
        <item x="8"/>
        <item x="6"/>
        <item x="9"/>
        <item x="0"/>
        <item x="5"/>
        <item x="4"/>
        <item x="7"/>
        <item x="3"/>
        <item x="1"/>
        <item x="2"/>
        <item t="default"/>
      </items>
    </pivotField>
    <pivotField axis="axisRow" showAll="0">
      <items count="47">
        <item x="14"/>
        <item h="1" x="44"/>
        <item h="1" x="24"/>
        <item x="22"/>
        <item h="1" x="31"/>
        <item h="1" x="10"/>
        <item h="1" x="38"/>
        <item h="1" x="26"/>
        <item h="1" x="7"/>
        <item h="1" x="32"/>
        <item h="1" x="35"/>
        <item h="1" x="42"/>
        <item h="1" x="33"/>
        <item h="1" x="39"/>
        <item h="1" x="28"/>
        <item h="1" x="0"/>
        <item h="1" x="27"/>
        <item h="1" x="12"/>
        <item h="1" x="41"/>
        <item h="1" x="19"/>
        <item h="1" x="20"/>
        <item h="1" x="9"/>
        <item x="3"/>
        <item h="1" x="16"/>
        <item h="1" x="43"/>
        <item x="5"/>
        <item h="1" x="40"/>
        <item h="1" x="11"/>
        <item h="1" x="45"/>
        <item h="1" x="25"/>
        <item h="1" x="1"/>
        <item h="1" x="15"/>
        <item h="1" x="8"/>
        <item h="1" x="2"/>
        <item h="1" x="17"/>
        <item h="1" x="23"/>
        <item h="1" x="34"/>
        <item h="1" x="30"/>
        <item h="1" x="36"/>
        <item h="1" x="13"/>
        <item h="1" x="21"/>
        <item x="6"/>
        <item x="29"/>
        <item h="1" x="37"/>
        <item x="18"/>
        <item h="1" x="4"/>
        <item t="default"/>
      </items>
    </pivotField>
    <pivotField dataField="1" showAll="0"/>
    <pivotField dataField="1" showAll="0"/>
    <pivotField showAll="0"/>
    <pivotField showAll="0"/>
    <pivotField showAll="0"/>
    <pivotField dataField="1" showAll="0"/>
    <pivotField showAll="0">
      <items count="7">
        <item h="1" x="4"/>
        <item x="2"/>
        <item h="1" x="5"/>
        <item h="1" x="1"/>
        <item h="1" x="3"/>
        <item h="1" x="0"/>
        <item t="default"/>
      </items>
    </pivotField>
    <pivotField dataField="1" showAll="0"/>
  </pivotFields>
  <rowFields count="1">
    <field x="3"/>
  </rowFields>
  <rowItems count="6">
    <i>
      <x/>
    </i>
    <i>
      <x v="3"/>
    </i>
    <i>
      <x v="22"/>
    </i>
    <i>
      <x v="41"/>
    </i>
    <i>
      <x v="42"/>
    </i>
    <i t="grand">
      <x/>
    </i>
  </rowItems>
  <colFields count="1">
    <field x="-2"/>
  </colFields>
  <colItems count="4">
    <i>
      <x/>
    </i>
    <i i="1">
      <x v="1"/>
    </i>
    <i i="2">
      <x v="2"/>
    </i>
    <i i="3">
      <x v="3"/>
    </i>
  </colItems>
  <dataFields count="4">
    <dataField name="Sum of Experience (Years)" fld="4" baseField="0" baseItem="0"/>
    <dataField name="Sum of Monthly Salary" fld="5" baseField="0" baseItem="0"/>
    <dataField name="Sum of Total Compensation" fld="9" baseField="0" baseItem="0"/>
    <dataField name="Sum of Last Increment %" fld="11" baseField="0" baseItem="0"/>
  </dataFields>
  <chartFormats count="20">
    <chartFormat chart="0" format="5"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2"/>
          </reference>
        </references>
      </pivotArea>
    </chartFormat>
    <chartFormat chart="0" format="9" series="1">
      <pivotArea type="data" outline="0" fieldPosition="0">
        <references count="1">
          <reference field="4294967294" count="1" selected="0">
            <x v="3"/>
          </reference>
        </references>
      </pivotArea>
    </chartFormat>
    <chartFormat chart="0" format="10">
      <pivotArea type="data" outline="0" fieldPosition="0">
        <references count="2">
          <reference field="4294967294" count="1" selected="0">
            <x v="0"/>
          </reference>
          <reference field="3" count="1" selected="0">
            <x v="45"/>
          </reference>
        </references>
      </pivotArea>
    </chartFormat>
    <chartFormat chart="0" format="11">
      <pivotArea type="data" outline="0" fieldPosition="0">
        <references count="2">
          <reference field="4294967294" count="1" selected="0">
            <x v="1"/>
          </reference>
          <reference field="3" count="1" selected="0">
            <x v="45"/>
          </reference>
        </references>
      </pivotArea>
    </chartFormat>
    <chartFormat chart="0" format="12">
      <pivotArea type="data" outline="0" fieldPosition="0">
        <references count="2">
          <reference field="4294967294" count="1" selected="0">
            <x v="2"/>
          </reference>
          <reference field="3" count="1" selected="0">
            <x v="45"/>
          </reference>
        </references>
      </pivotArea>
    </chartFormat>
    <chartFormat chart="0" format="13">
      <pivotArea type="data" outline="0" fieldPosition="0">
        <references count="2">
          <reference field="4294967294" count="1" selected="0">
            <x v="3"/>
          </reference>
          <reference field="3" count="1" selected="0">
            <x v="45"/>
          </reference>
        </references>
      </pivotArea>
    </chartFormat>
    <chartFormat chart="4" format="22" series="1">
      <pivotArea type="data" outline="0" fieldPosition="0">
        <references count="1">
          <reference field="4294967294" count="1" selected="0">
            <x v="0"/>
          </reference>
        </references>
      </pivotArea>
    </chartFormat>
    <chartFormat chart="4" format="23" series="1">
      <pivotArea type="data" outline="0" fieldPosition="0">
        <references count="1">
          <reference field="4294967294" count="1" selected="0">
            <x v="1"/>
          </reference>
        </references>
      </pivotArea>
    </chartFormat>
    <chartFormat chart="4" format="24" series="1">
      <pivotArea type="data" outline="0" fieldPosition="0">
        <references count="1">
          <reference field="4294967294" count="1" selected="0">
            <x v="2"/>
          </reference>
        </references>
      </pivotArea>
    </chartFormat>
    <chartFormat chart="4" format="25" series="1">
      <pivotArea type="data" outline="0" fieldPosition="0">
        <references count="1">
          <reference field="4294967294" count="1" selected="0">
            <x v="3"/>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2"/>
          </reference>
        </references>
      </pivotArea>
    </chartFormat>
    <chartFormat chart="9"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3:E10" firstHeaderRow="0" firstDataRow="1" firstDataCol="1"/>
  <pivotFields count="1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344">
        <item x="163"/>
        <item x="187"/>
        <item x="45"/>
        <item x="235"/>
        <item x="303"/>
        <item x="268"/>
        <item x="263"/>
        <item x="93"/>
        <item x="310"/>
        <item x="323"/>
        <item x="70"/>
        <item x="215"/>
        <item x="173"/>
        <item x="248"/>
        <item x="217"/>
        <item x="139"/>
        <item x="63"/>
        <item x="102"/>
        <item x="317"/>
        <item x="76"/>
        <item x="216"/>
        <item x="160"/>
        <item x="219"/>
        <item x="140"/>
        <item x="330"/>
        <item x="189"/>
        <item x="31"/>
        <item x="311"/>
        <item x="107"/>
        <item x="158"/>
        <item x="249"/>
        <item x="88"/>
        <item x="198"/>
        <item x="120"/>
        <item x="35"/>
        <item x="38"/>
        <item x="52"/>
        <item x="290"/>
        <item x="270"/>
        <item x="204"/>
        <item x="231"/>
        <item x="33"/>
        <item x="236"/>
        <item x="280"/>
        <item x="237"/>
        <item x="224"/>
        <item x="19"/>
        <item x="41"/>
        <item x="108"/>
        <item x="238"/>
        <item x="82"/>
        <item x="315"/>
        <item x="29"/>
        <item x="152"/>
        <item x="51"/>
        <item x="291"/>
        <item x="257"/>
        <item x="208"/>
        <item x="196"/>
        <item x="209"/>
        <item x="300"/>
        <item x="164"/>
        <item x="14"/>
        <item x="183"/>
        <item x="62"/>
        <item x="131"/>
        <item x="271"/>
        <item x="242"/>
        <item x="34"/>
        <item x="295"/>
        <item x="324"/>
        <item x="294"/>
        <item x="218"/>
        <item x="177"/>
        <item x="20"/>
        <item x="24"/>
        <item x="23"/>
        <item x="284"/>
        <item x="269"/>
        <item x="186"/>
        <item x="232"/>
        <item x="172"/>
        <item x="40"/>
        <item x="105"/>
        <item x="10"/>
        <item x="185"/>
        <item x="103"/>
        <item x="95"/>
        <item x="250"/>
        <item x="297"/>
        <item x="3"/>
        <item x="245"/>
        <item x="114"/>
        <item x="37"/>
        <item x="46"/>
        <item x="179"/>
        <item x="12"/>
        <item x="60"/>
        <item x="96"/>
        <item x="132"/>
        <item x="197"/>
        <item x="165"/>
        <item x="100"/>
        <item x="304"/>
        <item x="133"/>
        <item x="156"/>
        <item x="47"/>
        <item x="145"/>
        <item x="123"/>
        <item x="223"/>
        <item x="278"/>
        <item x="234"/>
        <item x="342"/>
        <item x="91"/>
        <item x="281"/>
        <item x="21"/>
        <item x="221"/>
        <item x="264"/>
        <item x="277"/>
        <item x="282"/>
        <item x="99"/>
        <item x="307"/>
        <item x="241"/>
        <item x="59"/>
        <item x="106"/>
        <item x="50"/>
        <item x="118"/>
        <item x="157"/>
        <item x="194"/>
        <item x="244"/>
        <item x="56"/>
        <item x="116"/>
        <item x="328"/>
        <item x="316"/>
        <item x="272"/>
        <item x="174"/>
        <item x="112"/>
        <item x="49"/>
        <item x="142"/>
        <item x="25"/>
        <item x="13"/>
        <item x="129"/>
        <item x="26"/>
        <item x="230"/>
        <item x="262"/>
        <item x="138"/>
        <item x="184"/>
        <item x="149"/>
        <item x="252"/>
        <item x="265"/>
        <item x="266"/>
        <item x="90"/>
        <item x="243"/>
        <item x="43"/>
        <item x="74"/>
        <item x="213"/>
        <item x="7"/>
        <item x="4"/>
        <item x="119"/>
        <item x="125"/>
        <item x="309"/>
        <item x="336"/>
        <item x="71"/>
        <item x="48"/>
        <item x="260"/>
        <item x="276"/>
        <item x="97"/>
        <item x="206"/>
        <item x="190"/>
        <item x="122"/>
        <item x="212"/>
        <item x="44"/>
        <item x="117"/>
        <item x="286"/>
        <item x="255"/>
        <item x="170"/>
        <item x="301"/>
        <item x="339"/>
        <item x="42"/>
        <item x="92"/>
        <item x="155"/>
        <item x="312"/>
        <item x="22"/>
        <item x="58"/>
        <item x="273"/>
        <item x="205"/>
        <item x="293"/>
        <item x="181"/>
        <item x="331"/>
        <item x="161"/>
        <item x="201"/>
        <item x="168"/>
        <item x="17"/>
        <item x="332"/>
        <item x="319"/>
        <item x="333"/>
        <item x="308"/>
        <item x="11"/>
        <item x="61"/>
        <item x="202"/>
        <item x="137"/>
        <item x="8"/>
        <item x="341"/>
        <item x="292"/>
        <item x="259"/>
        <item x="335"/>
        <item x="89"/>
        <item x="306"/>
        <item x="180"/>
        <item x="340"/>
        <item x="299"/>
        <item x="321"/>
        <item x="188"/>
        <item x="104"/>
        <item x="94"/>
        <item x="77"/>
        <item x="192"/>
        <item x="334"/>
        <item x="233"/>
        <item x="298"/>
        <item x="66"/>
        <item x="30"/>
        <item x="72"/>
        <item x="222"/>
        <item x="182"/>
        <item x="220"/>
        <item x="150"/>
        <item x="86"/>
        <item x="109"/>
        <item x="15"/>
        <item x="64"/>
        <item x="124"/>
        <item x="283"/>
        <item x="36"/>
        <item x="146"/>
        <item x="171"/>
        <item x="275"/>
        <item x="0"/>
        <item x="296"/>
        <item x="154"/>
        <item x="288"/>
        <item x="254"/>
        <item x="135"/>
        <item x="256"/>
        <item x="329"/>
        <item x="267"/>
        <item x="325"/>
        <item x="134"/>
        <item x="229"/>
        <item x="327"/>
        <item x="148"/>
        <item x="225"/>
        <item x="113"/>
        <item x="68"/>
        <item x="101"/>
        <item x="80"/>
        <item x="87"/>
        <item x="210"/>
        <item x="287"/>
        <item x="6"/>
        <item x="136"/>
        <item x="144"/>
        <item x="110"/>
        <item x="176"/>
        <item x="228"/>
        <item x="81"/>
        <item x="127"/>
        <item x="162"/>
        <item x="320"/>
        <item x="322"/>
        <item x="226"/>
        <item x="207"/>
        <item x="258"/>
        <item x="143"/>
        <item x="251"/>
        <item x="85"/>
        <item x="98"/>
        <item x="18"/>
        <item x="32"/>
        <item x="169"/>
        <item x="1"/>
        <item x="246"/>
        <item x="178"/>
        <item x="261"/>
        <item x="289"/>
        <item x="128"/>
        <item x="57"/>
        <item x="247"/>
        <item x="27"/>
        <item x="28"/>
        <item x="54"/>
        <item x="175"/>
        <item x="166"/>
        <item x="53"/>
        <item x="78"/>
        <item x="130"/>
        <item x="84"/>
        <item x="73"/>
        <item x="141"/>
        <item x="193"/>
        <item x="111"/>
        <item x="337"/>
        <item x="121"/>
        <item x="115"/>
        <item x="211"/>
        <item x="16"/>
        <item x="214"/>
        <item x="191"/>
        <item x="227"/>
        <item x="305"/>
        <item x="167"/>
        <item x="83"/>
        <item x="67"/>
        <item x="159"/>
        <item x="203"/>
        <item x="326"/>
        <item x="253"/>
        <item x="39"/>
        <item x="338"/>
        <item x="5"/>
        <item x="79"/>
        <item x="200"/>
        <item x="302"/>
        <item x="153"/>
        <item x="55"/>
        <item x="240"/>
        <item x="313"/>
        <item x="239"/>
        <item x="279"/>
        <item x="274"/>
        <item x="126"/>
        <item x="318"/>
        <item x="9"/>
        <item x="314"/>
        <item x="285"/>
        <item x="69"/>
        <item x="65"/>
        <item x="151"/>
        <item x="147"/>
        <item x="195"/>
        <item x="75"/>
        <item x="2"/>
        <item x="199"/>
        <item t="default"/>
      </items>
    </pivotField>
    <pivotField showAll="0">
      <items count="11">
        <item h="1" x="8"/>
        <item h="1" x="6"/>
        <item h="1" x="9"/>
        <item h="1" x="0"/>
        <item x="5"/>
        <item h="1" x="4"/>
        <item h="1" x="7"/>
        <item h="1" x="3"/>
        <item h="1" x="1"/>
        <item h="1" x="2"/>
        <item t="default"/>
      </items>
    </pivotField>
    <pivotField axis="axisRow" showAll="0">
      <items count="47">
        <item x="14"/>
        <item x="44"/>
        <item x="24"/>
        <item x="22"/>
        <item x="31"/>
        <item x="10"/>
        <item x="38"/>
        <item x="26"/>
        <item x="7"/>
        <item x="32"/>
        <item x="35"/>
        <item x="42"/>
        <item x="33"/>
        <item x="39"/>
        <item x="28"/>
        <item x="0"/>
        <item x="27"/>
        <item x="12"/>
        <item x="41"/>
        <item x="19"/>
        <item x="20"/>
        <item x="9"/>
        <item x="3"/>
        <item x="16"/>
        <item x="43"/>
        <item x="5"/>
        <item x="40"/>
        <item x="11"/>
        <item x="45"/>
        <item x="25"/>
        <item x="1"/>
        <item x="15"/>
        <item x="8"/>
        <item x="2"/>
        <item x="17"/>
        <item x="23"/>
        <item x="34"/>
        <item x="30"/>
        <item x="36"/>
        <item x="13"/>
        <item x="21"/>
        <item x="6"/>
        <item x="29"/>
        <item x="37"/>
        <item x="18"/>
        <item x="4"/>
        <item t="default"/>
      </items>
    </pivotField>
    <pivotField showAll="0">
      <items count="3">
        <item x="0"/>
        <item h="1" x="1"/>
        <item t="default"/>
      </items>
    </pivotField>
    <pivotField dataField="1" showAll="0">
      <items count="39">
        <item x="22"/>
        <item x="35"/>
        <item x="1"/>
        <item x="11"/>
        <item x="9"/>
        <item x="28"/>
        <item x="17"/>
        <item x="14"/>
        <item x="13"/>
        <item x="24"/>
        <item x="18"/>
        <item x="29"/>
        <item x="30"/>
        <item x="36"/>
        <item x="25"/>
        <item x="0"/>
        <item x="23"/>
        <item x="31"/>
        <item x="7"/>
        <item x="12"/>
        <item x="8"/>
        <item x="15"/>
        <item x="26"/>
        <item x="6"/>
        <item x="4"/>
        <item x="27"/>
        <item x="21"/>
        <item x="3"/>
        <item x="34"/>
        <item x="5"/>
        <item x="33"/>
        <item x="32"/>
        <item x="20"/>
        <item x="37"/>
        <item x="2"/>
        <item x="19"/>
        <item x="16"/>
        <item x="10"/>
        <item t="default"/>
      </items>
    </pivotField>
    <pivotField showAll="0">
      <items count="233">
        <item x="216"/>
        <item x="27"/>
        <item x="202"/>
        <item x="15"/>
        <item x="182"/>
        <item x="67"/>
        <item x="36"/>
        <item x="215"/>
        <item x="61"/>
        <item x="173"/>
        <item x="75"/>
        <item x="3"/>
        <item x="227"/>
        <item x="161"/>
        <item x="152"/>
        <item x="228"/>
        <item x="9"/>
        <item x="106"/>
        <item x="156"/>
        <item x="166"/>
        <item x="142"/>
        <item x="119"/>
        <item x="66"/>
        <item x="138"/>
        <item x="112"/>
        <item x="16"/>
        <item x="158"/>
        <item x="93"/>
        <item x="133"/>
        <item x="59"/>
        <item x="32"/>
        <item x="34"/>
        <item x="47"/>
        <item x="24"/>
        <item x="177"/>
        <item x="44"/>
        <item x="171"/>
        <item x="25"/>
        <item x="163"/>
        <item x="95"/>
        <item x="178"/>
        <item x="114"/>
        <item x="217"/>
        <item x="63"/>
        <item x="204"/>
        <item x="126"/>
        <item x="165"/>
        <item x="72"/>
        <item x="88"/>
        <item x="135"/>
        <item x="137"/>
        <item x="89"/>
        <item x="192"/>
        <item x="197"/>
        <item x="97"/>
        <item x="221"/>
        <item x="79"/>
        <item x="187"/>
        <item x="57"/>
        <item x="180"/>
        <item x="130"/>
        <item x="225"/>
        <item x="169"/>
        <item x="2"/>
        <item x="85"/>
        <item x="80"/>
        <item x="168"/>
        <item x="102"/>
        <item x="149"/>
        <item x="176"/>
        <item x="212"/>
        <item x="145"/>
        <item x="108"/>
        <item x="150"/>
        <item x="117"/>
        <item x="100"/>
        <item x="209"/>
        <item x="179"/>
        <item x="71"/>
        <item x="14"/>
        <item x="35"/>
        <item x="219"/>
        <item x="121"/>
        <item x="99"/>
        <item x="65"/>
        <item x="195"/>
        <item x="159"/>
        <item x="87"/>
        <item x="21"/>
        <item x="81"/>
        <item x="131"/>
        <item x="45"/>
        <item x="147"/>
        <item x="146"/>
        <item x="110"/>
        <item x="229"/>
        <item x="127"/>
        <item x="46"/>
        <item x="0"/>
        <item x="223"/>
        <item x="113"/>
        <item x="26"/>
        <item x="175"/>
        <item x="53"/>
        <item x="90"/>
        <item x="50"/>
        <item x="30"/>
        <item x="10"/>
        <item x="76"/>
        <item x="41"/>
        <item x="12"/>
        <item x="109"/>
        <item x="82"/>
        <item x="188"/>
        <item x="103"/>
        <item x="199"/>
        <item x="42"/>
        <item x="52"/>
        <item x="118"/>
        <item x="22"/>
        <item x="54"/>
        <item x="143"/>
        <item x="213"/>
        <item x="84"/>
        <item x="62"/>
        <item x="86"/>
        <item x="184"/>
        <item x="153"/>
        <item x="205"/>
        <item x="33"/>
        <item x="185"/>
        <item x="4"/>
        <item x="37"/>
        <item x="49"/>
        <item x="107"/>
        <item x="170"/>
        <item x="115"/>
        <item x="226"/>
        <item x="201"/>
        <item x="155"/>
        <item x="77"/>
        <item x="74"/>
        <item x="92"/>
        <item x="64"/>
        <item x="231"/>
        <item x="211"/>
        <item x="125"/>
        <item x="58"/>
        <item x="7"/>
        <item x="94"/>
        <item x="218"/>
        <item x="206"/>
        <item x="190"/>
        <item x="139"/>
        <item x="17"/>
        <item x="157"/>
        <item x="48"/>
        <item x="11"/>
        <item x="220"/>
        <item x="96"/>
        <item x="191"/>
        <item x="70"/>
        <item x="151"/>
        <item x="230"/>
        <item x="111"/>
        <item x="189"/>
        <item x="98"/>
        <item x="116"/>
        <item x="164"/>
        <item x="104"/>
        <item x="123"/>
        <item x="18"/>
        <item x="198"/>
        <item x="181"/>
        <item x="160"/>
        <item x="38"/>
        <item x="203"/>
        <item x="78"/>
        <item x="210"/>
        <item x="144"/>
        <item x="13"/>
        <item x="83"/>
        <item x="134"/>
        <item x="141"/>
        <item x="183"/>
        <item x="124"/>
        <item x="200"/>
        <item x="105"/>
        <item x="148"/>
        <item x="39"/>
        <item x="60"/>
        <item x="154"/>
        <item x="6"/>
        <item x="40"/>
        <item x="167"/>
        <item x="129"/>
        <item x="224"/>
        <item x="69"/>
        <item x="51"/>
        <item x="136"/>
        <item x="68"/>
        <item x="132"/>
        <item x="28"/>
        <item x="5"/>
        <item x="208"/>
        <item x="122"/>
        <item x="31"/>
        <item x="196"/>
        <item x="56"/>
        <item x="73"/>
        <item x="8"/>
        <item x="172"/>
        <item x="140"/>
        <item x="19"/>
        <item x="186"/>
        <item x="1"/>
        <item x="55"/>
        <item x="214"/>
        <item x="101"/>
        <item x="193"/>
        <item x="174"/>
        <item x="128"/>
        <item x="120"/>
        <item x="222"/>
        <item x="23"/>
        <item x="194"/>
        <item x="207"/>
        <item x="162"/>
        <item x="20"/>
        <item x="43"/>
        <item x="29"/>
        <item x="91"/>
        <item t="default"/>
      </items>
    </pivotField>
    <pivotField showAll="0"/>
    <pivotField dataField="1" showAll="0"/>
    <pivotField dataField="1" showAll="0"/>
    <pivotField dataField="1" showAll="0"/>
    <pivotField showAll="0">
      <items count="6">
        <item x="1"/>
        <item x="4"/>
        <item x="3"/>
        <item x="2"/>
        <item x="0"/>
        <item t="default"/>
      </items>
    </pivotField>
    <pivotField showAll="0"/>
  </pivotFields>
  <rowFields count="1">
    <field x="3"/>
  </rowFields>
  <rowItems count="7">
    <i>
      <x v="9"/>
    </i>
    <i>
      <x v="10"/>
    </i>
    <i>
      <x v="28"/>
    </i>
    <i>
      <x v="37"/>
    </i>
    <i>
      <x v="41"/>
    </i>
    <i>
      <x v="44"/>
    </i>
    <i t="grand">
      <x/>
    </i>
  </rowItems>
  <colFields count="1">
    <field x="-2"/>
  </colFields>
  <colItems count="4">
    <i>
      <x/>
    </i>
    <i i="1">
      <x v="1"/>
    </i>
    <i i="2">
      <x v="2"/>
    </i>
    <i i="3">
      <x v="3"/>
    </i>
  </colItems>
  <dataFields count="4">
    <dataField name="Sum of Age" fld="5" baseField="0" baseItem="0"/>
    <dataField name="Sum of KPI Achievement %" fld="8" baseField="0" baseItem="0"/>
    <dataField name="Sum of Training Hours" fld="10" baseField="0" baseItem="0"/>
    <dataField name="Sum of Goal Completion %" fld="9" baseField="0" baseItem="0"/>
  </dataFields>
  <chartFormats count="12">
    <chartFormat chart="3" format="10"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1"/>
          </reference>
        </references>
      </pivotArea>
    </chartFormat>
    <chartFormat chart="4" format="18" series="1">
      <pivotArea type="data" outline="0" fieldPosition="0">
        <references count="1">
          <reference field="4294967294" count="1" selected="0">
            <x v="2"/>
          </reference>
        </references>
      </pivotArea>
    </chartFormat>
    <chartFormat chart="4" format="19" series="1">
      <pivotArea type="data" outline="0" fieldPosition="0">
        <references count="1">
          <reference field="4294967294" count="1" selected="0">
            <x v="3"/>
          </reference>
        </references>
      </pivotArea>
    </chartFormat>
    <chartFormat chart="5" format="20" series="1">
      <pivotArea type="data" outline="0" fieldPosition="0">
        <references count="1">
          <reference field="4294967294" count="1" selected="0">
            <x v="0"/>
          </reference>
        </references>
      </pivotArea>
    </chartFormat>
    <chartFormat chart="5" format="21" series="1">
      <pivotArea type="data" outline="0" fieldPosition="0">
        <references count="1">
          <reference field="4294967294" count="1" selected="0">
            <x v="1"/>
          </reference>
        </references>
      </pivotArea>
    </chartFormat>
    <chartFormat chart="5" format="22" series="1">
      <pivotArea type="data" outline="0" fieldPosition="0">
        <references count="1">
          <reference field="4294967294" count="1" selected="0">
            <x v="2"/>
          </reference>
        </references>
      </pivotArea>
    </chartFormat>
    <chartFormat chart="5" format="2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40:D45" firstHeaderRow="0" firstDataRow="1" firstDataCol="1"/>
  <pivotFields count="14">
    <pivotField showAll="0"/>
    <pivotField showAll="0">
      <items count="344">
        <item x="163"/>
        <item x="187"/>
        <item x="45"/>
        <item x="235"/>
        <item x="303"/>
        <item x="268"/>
        <item x="263"/>
        <item x="93"/>
        <item x="310"/>
        <item x="323"/>
        <item x="70"/>
        <item x="215"/>
        <item x="173"/>
        <item x="248"/>
        <item x="217"/>
        <item x="139"/>
        <item x="63"/>
        <item x="102"/>
        <item x="317"/>
        <item x="76"/>
        <item x="216"/>
        <item x="160"/>
        <item x="219"/>
        <item x="140"/>
        <item x="330"/>
        <item x="189"/>
        <item x="31"/>
        <item x="311"/>
        <item x="107"/>
        <item x="158"/>
        <item x="249"/>
        <item x="88"/>
        <item x="198"/>
        <item x="120"/>
        <item x="35"/>
        <item x="38"/>
        <item x="52"/>
        <item x="290"/>
        <item x="270"/>
        <item x="204"/>
        <item x="231"/>
        <item x="33"/>
        <item x="236"/>
        <item x="280"/>
        <item x="237"/>
        <item x="224"/>
        <item x="19"/>
        <item x="41"/>
        <item x="108"/>
        <item x="238"/>
        <item x="82"/>
        <item x="315"/>
        <item x="29"/>
        <item x="152"/>
        <item x="51"/>
        <item x="291"/>
        <item x="257"/>
        <item x="208"/>
        <item x="196"/>
        <item x="209"/>
        <item x="300"/>
        <item x="164"/>
        <item x="14"/>
        <item x="183"/>
        <item x="62"/>
        <item x="131"/>
        <item x="271"/>
        <item x="242"/>
        <item x="34"/>
        <item x="295"/>
        <item x="324"/>
        <item x="294"/>
        <item x="218"/>
        <item x="177"/>
        <item x="20"/>
        <item x="24"/>
        <item x="23"/>
        <item x="284"/>
        <item x="269"/>
        <item x="186"/>
        <item x="232"/>
        <item x="172"/>
        <item x="40"/>
        <item x="105"/>
        <item x="10"/>
        <item x="185"/>
        <item x="103"/>
        <item x="95"/>
        <item x="250"/>
        <item x="297"/>
        <item x="3"/>
        <item x="245"/>
        <item x="114"/>
        <item x="37"/>
        <item x="46"/>
        <item x="179"/>
        <item x="12"/>
        <item x="60"/>
        <item x="96"/>
        <item x="132"/>
        <item x="197"/>
        <item x="165"/>
        <item x="100"/>
        <item x="304"/>
        <item x="133"/>
        <item x="156"/>
        <item x="47"/>
        <item x="145"/>
        <item x="123"/>
        <item x="223"/>
        <item x="278"/>
        <item x="234"/>
        <item x="342"/>
        <item x="91"/>
        <item x="281"/>
        <item x="21"/>
        <item x="221"/>
        <item x="264"/>
        <item x="277"/>
        <item x="282"/>
        <item x="99"/>
        <item x="307"/>
        <item x="241"/>
        <item x="59"/>
        <item x="106"/>
        <item x="50"/>
        <item x="118"/>
        <item x="157"/>
        <item x="194"/>
        <item x="244"/>
        <item x="56"/>
        <item x="116"/>
        <item x="328"/>
        <item x="316"/>
        <item x="272"/>
        <item x="174"/>
        <item x="112"/>
        <item x="49"/>
        <item x="142"/>
        <item x="25"/>
        <item x="13"/>
        <item x="129"/>
        <item x="26"/>
        <item x="230"/>
        <item x="262"/>
        <item x="138"/>
        <item x="184"/>
        <item x="149"/>
        <item x="252"/>
        <item x="265"/>
        <item x="266"/>
        <item x="90"/>
        <item x="243"/>
        <item x="43"/>
        <item x="74"/>
        <item x="213"/>
        <item x="7"/>
        <item x="4"/>
        <item x="119"/>
        <item x="125"/>
        <item x="309"/>
        <item x="336"/>
        <item x="71"/>
        <item x="48"/>
        <item x="260"/>
        <item x="276"/>
        <item x="97"/>
        <item x="206"/>
        <item x="190"/>
        <item x="122"/>
        <item x="212"/>
        <item x="44"/>
        <item x="117"/>
        <item x="286"/>
        <item x="255"/>
        <item x="170"/>
        <item x="301"/>
        <item x="339"/>
        <item x="42"/>
        <item x="92"/>
        <item x="155"/>
        <item x="312"/>
        <item x="22"/>
        <item x="58"/>
        <item x="273"/>
        <item x="205"/>
        <item x="293"/>
        <item x="181"/>
        <item x="331"/>
        <item x="161"/>
        <item x="201"/>
        <item x="168"/>
        <item x="17"/>
        <item x="332"/>
        <item x="319"/>
        <item x="333"/>
        <item x="308"/>
        <item x="11"/>
        <item x="61"/>
        <item x="202"/>
        <item x="137"/>
        <item x="8"/>
        <item x="341"/>
        <item x="292"/>
        <item x="259"/>
        <item x="335"/>
        <item x="89"/>
        <item x="306"/>
        <item x="180"/>
        <item x="340"/>
        <item x="299"/>
        <item x="321"/>
        <item x="188"/>
        <item x="104"/>
        <item x="94"/>
        <item x="77"/>
        <item x="192"/>
        <item x="334"/>
        <item x="233"/>
        <item x="298"/>
        <item x="66"/>
        <item x="30"/>
        <item x="72"/>
        <item x="222"/>
        <item x="182"/>
        <item x="220"/>
        <item x="150"/>
        <item x="86"/>
        <item x="109"/>
        <item x="15"/>
        <item x="64"/>
        <item x="124"/>
        <item x="283"/>
        <item x="36"/>
        <item x="146"/>
        <item x="171"/>
        <item x="275"/>
        <item x="0"/>
        <item x="296"/>
        <item x="154"/>
        <item x="288"/>
        <item x="254"/>
        <item x="135"/>
        <item x="256"/>
        <item x="329"/>
        <item x="267"/>
        <item x="325"/>
        <item x="134"/>
        <item x="229"/>
        <item x="327"/>
        <item x="148"/>
        <item x="225"/>
        <item x="113"/>
        <item x="68"/>
        <item x="101"/>
        <item x="80"/>
        <item x="87"/>
        <item x="210"/>
        <item x="287"/>
        <item x="6"/>
        <item x="136"/>
        <item x="144"/>
        <item x="110"/>
        <item x="176"/>
        <item x="228"/>
        <item x="81"/>
        <item x="127"/>
        <item x="162"/>
        <item x="320"/>
        <item x="322"/>
        <item x="226"/>
        <item x="207"/>
        <item x="258"/>
        <item x="143"/>
        <item x="251"/>
        <item x="85"/>
        <item x="98"/>
        <item x="18"/>
        <item x="32"/>
        <item x="169"/>
        <item x="1"/>
        <item x="246"/>
        <item x="178"/>
        <item x="261"/>
        <item x="289"/>
        <item x="128"/>
        <item x="57"/>
        <item x="247"/>
        <item x="27"/>
        <item x="28"/>
        <item x="54"/>
        <item x="175"/>
        <item x="166"/>
        <item x="53"/>
        <item x="78"/>
        <item x="130"/>
        <item x="84"/>
        <item x="73"/>
        <item x="141"/>
        <item x="193"/>
        <item x="111"/>
        <item x="337"/>
        <item x="121"/>
        <item x="115"/>
        <item x="211"/>
        <item x="16"/>
        <item x="214"/>
        <item x="191"/>
        <item x="227"/>
        <item x="305"/>
        <item x="167"/>
        <item x="83"/>
        <item x="67"/>
        <item x="159"/>
        <item x="203"/>
        <item x="326"/>
        <item x="253"/>
        <item x="39"/>
        <item x="338"/>
        <item x="5"/>
        <item x="79"/>
        <item x="200"/>
        <item x="302"/>
        <item x="153"/>
        <item x="55"/>
        <item x="240"/>
        <item x="313"/>
        <item x="239"/>
        <item x="279"/>
        <item x="274"/>
        <item x="126"/>
        <item x="318"/>
        <item x="9"/>
        <item x="314"/>
        <item x="285"/>
        <item x="69"/>
        <item x="65"/>
        <item x="151"/>
        <item x="147"/>
        <item x="195"/>
        <item x="75"/>
        <item x="2"/>
        <item x="199"/>
        <item t="default"/>
      </items>
    </pivotField>
    <pivotField showAll="0">
      <items count="11">
        <item x="8"/>
        <item x="6"/>
        <item x="9"/>
        <item x="0"/>
        <item x="5"/>
        <item x="4"/>
        <item x="7"/>
        <item x="3"/>
        <item x="1"/>
        <item x="2"/>
        <item t="default"/>
      </items>
    </pivotField>
    <pivotField showAll="0">
      <items count="47">
        <item x="14"/>
        <item x="44"/>
        <item x="24"/>
        <item x="22"/>
        <item x="31"/>
        <item x="10"/>
        <item x="38"/>
        <item x="26"/>
        <item x="7"/>
        <item x="32"/>
        <item x="35"/>
        <item x="42"/>
        <item x="33"/>
        <item x="39"/>
        <item x="28"/>
        <item x="0"/>
        <item x="27"/>
        <item x="12"/>
        <item x="41"/>
        <item x="19"/>
        <item x="20"/>
        <item x="9"/>
        <item x="3"/>
        <item x="16"/>
        <item x="43"/>
        <item x="5"/>
        <item x="40"/>
        <item x="11"/>
        <item x="45"/>
        <item x="25"/>
        <item x="1"/>
        <item x="15"/>
        <item x="8"/>
        <item x="2"/>
        <item x="17"/>
        <item x="23"/>
        <item x="34"/>
        <item x="30"/>
        <item x="36"/>
        <item x="13"/>
        <item x="21"/>
        <item x="6"/>
        <item x="29"/>
        <item x="37"/>
        <item x="18"/>
        <item x="4"/>
        <item t="default"/>
      </items>
    </pivotField>
    <pivotField showAll="0">
      <items count="3">
        <item x="0"/>
        <item x="1"/>
        <item t="default"/>
      </items>
    </pivotField>
    <pivotField showAll="0"/>
    <pivotField showAll="0"/>
    <pivotField dataField="1" showAll="0"/>
    <pivotField dataField="1" showAll="0"/>
    <pivotField dataField="1" showAll="0">
      <items count="6">
        <item h="1" x="2"/>
        <item h="1" x="0"/>
        <item h="1" x="3"/>
        <item h="1" x="1"/>
        <item x="4"/>
        <item t="default"/>
      </items>
    </pivotField>
    <pivotField axis="axisRow" showAll="0">
      <items count="3">
        <item x="1"/>
        <item x="0"/>
        <item t="default"/>
      </items>
    </pivotField>
    <pivotField axis="axisRow" showAll="0">
      <items count="3">
        <item h="1" x="0"/>
        <item x="1"/>
        <item t="default"/>
      </items>
    </pivotField>
    <pivotField showAll="0">
      <items count="10">
        <item h="1" x="1"/>
        <item x="2"/>
        <item h="1" x="5"/>
        <item h="1" x="7"/>
        <item h="1" x="8"/>
        <item h="1" x="6"/>
        <item h="1" x="3"/>
        <item h="1" x="4"/>
        <item h="1" x="0"/>
        <item t="default"/>
      </items>
    </pivotField>
    <pivotField showAll="0">
      <items count="50">
        <item x="2"/>
        <item x="5"/>
        <item x="8"/>
        <item x="10"/>
        <item x="43"/>
        <item x="40"/>
        <item x="13"/>
        <item x="14"/>
        <item x="1"/>
        <item x="3"/>
        <item x="20"/>
        <item x="41"/>
        <item x="30"/>
        <item x="7"/>
        <item x="12"/>
        <item x="18"/>
        <item x="45"/>
        <item x="34"/>
        <item x="9"/>
        <item x="32"/>
        <item x="29"/>
        <item x="33"/>
        <item x="37"/>
        <item x="19"/>
        <item x="31"/>
        <item x="36"/>
        <item x="23"/>
        <item x="11"/>
        <item x="24"/>
        <item x="42"/>
        <item x="46"/>
        <item x="17"/>
        <item x="35"/>
        <item x="48"/>
        <item x="22"/>
        <item x="28"/>
        <item x="44"/>
        <item x="4"/>
        <item x="38"/>
        <item x="47"/>
        <item x="27"/>
        <item x="15"/>
        <item x="6"/>
        <item x="26"/>
        <item x="39"/>
        <item x="16"/>
        <item x="25"/>
        <item x="21"/>
        <item x="0"/>
        <item t="default"/>
      </items>
    </pivotField>
  </pivotFields>
  <rowFields count="2">
    <field x="10"/>
    <field x="11"/>
  </rowFields>
  <rowItems count="5">
    <i>
      <x/>
    </i>
    <i r="1">
      <x v="1"/>
    </i>
    <i>
      <x v="1"/>
    </i>
    <i r="1">
      <x v="1"/>
    </i>
    <i t="grand">
      <x/>
    </i>
  </rowItems>
  <colFields count="1">
    <field x="-2"/>
  </colFields>
  <colItems count="3">
    <i>
      <x/>
    </i>
    <i i="1">
      <x v="1"/>
    </i>
    <i i="2">
      <x v="2"/>
    </i>
  </colItems>
  <dataFields count="3">
    <dataField name="Sum of Job Satisfaction" fld="8" baseField="0" baseItem="0"/>
    <dataField name="Sum of Years at Company" fld="7" baseField="0" baseItem="0"/>
    <dataField name="Sum of Work-Life Balance" fld="9" baseField="0" baseItem="0"/>
  </dataFields>
  <chartFormats count="6">
    <chartFormat chart="1" format="9"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1"/>
          </reference>
        </references>
      </pivotArea>
    </chartFormat>
    <chartFormat chart="1" format="11"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0"/>
          </reference>
        </references>
      </pivotArea>
    </chartFormat>
    <chartFormat chart="3" format="16" series="1">
      <pivotArea type="data" outline="0" fieldPosition="0">
        <references count="1">
          <reference field="4294967294" count="1" selected="0">
            <x v="1"/>
          </reference>
        </references>
      </pivotArea>
    </chartFormat>
    <chartFormat chart="3"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1" name="PivotTable1"/>
  </pivotTables>
  <data>
    <tabular pivotCacheId="1">
      <items count="10">
        <i x="8"/>
        <i x="6"/>
        <i x="9"/>
        <i x="0"/>
        <i x="5" s="1"/>
        <i x="4"/>
        <i x="7"/>
        <i x="3"/>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Job_Satisfaction" sourceName="Job Satisfaction">
  <pivotTables>
    <pivotTable tabId="11" name="PivotTable12"/>
  </pivotTables>
  <data>
    <tabular pivotCacheId="3">
      <items count="5">
        <i x="4"/>
        <i x="0" s="1"/>
        <i x="3"/>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xit_Reason" sourceName="Exit Reason">
  <pivotTables>
    <pivotTable tabId="11" name="PivotTable13"/>
  </pivotTables>
  <data>
    <tabular pivotCacheId="3">
      <items count="9">
        <i x="1"/>
        <i x="2" s="1"/>
        <i x="5"/>
        <i x="7"/>
        <i x="8"/>
        <i x="6"/>
        <i x="3"/>
        <i x="4"/>
        <i x="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ritical_Skill" sourceName="Critical Skill">
  <pivotTables>
    <pivotTable tabId="11" name="PivotTable5"/>
  </pivotTables>
  <data>
    <tabular pivotCacheId="5">
      <items count="11">
        <i x="9" s="1"/>
        <i x="6"/>
        <i x="1"/>
        <i x="5"/>
        <i x="4"/>
        <i x="8"/>
        <i x="0"/>
        <i x="7"/>
        <i x="3"/>
        <i x="2"/>
        <i x="1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alary_Grade" sourceName="Salary Grade">
  <pivotTables>
    <pivotTable tabId="11" name="PivotTable4"/>
  </pivotTables>
  <data>
    <tabular pivotCacheId="4">
      <items count="6">
        <i x="4"/>
        <i x="2" s="1"/>
        <i x="5"/>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style="SlicerStyleDark5" rowHeight="241300"/>
  <slicer name="Job Satisfaction 1" cache="Slicer_Job_Satisfaction" caption="Job Satisfaction" style="SlicerStyleDark6" rowHeight="241300"/>
  <slicer name="Exit Reason 1" cache="Slicer_Exit_Reason" caption="Exit Reason" startItem="1" style="SlicerStyleDark4" rowHeight="241300"/>
  <slicer name="Critical Skill 1" cache="Slicer_Critical_Skill" caption="Critical Skill" style="SlicerStyleDark3" rowHeight="241300"/>
  <slicer name="Salary Grade 1" cache="Slicer_Salary_Grade" caption="Salary Grade"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 name="Job Satisfaction" cache="Slicer_Job_Satisfaction" caption="Job Satisfaction" rowHeight="241300"/>
  <slicer name="Exit Reason" cache="Slicer_Exit_Reason" caption="Exit Reason" startItem="1" rowHeight="241300"/>
  <slicer name="Critical Skill" cache="Slicer_Critical_Skill" caption="Critical Skill" rowHeight="241300"/>
  <slicer name="Salary Grade" cache="Slicer_Salary_Grade" caption="Salary Grade" rowHeight="241300"/>
</slicers>
</file>

<file path=xl/tables/table1.xml><?xml version="1.0" encoding="utf-8"?>
<table xmlns="http://schemas.openxmlformats.org/spreadsheetml/2006/main" id="1" name="Table1" displayName="Table1" ref="A1:M501" totalsRowShown="0" headerRowDxfId="5">
  <autoFilter ref="A1:M501"/>
  <tableColumns count="13">
    <tableColumn id="1" name="Employee ID"/>
    <tableColumn id="2" name="Employee Name"/>
    <tableColumn id="3" name="Department"/>
    <tableColumn id="4" name="Job Role"/>
    <tableColumn id="5" name="Gender"/>
    <tableColumn id="6" name="Age"/>
    <tableColumn id="7" name="Performance Score"/>
    <tableColumn id="8" name="Productivity %"/>
    <tableColumn id="9" name="KPI Achievement %"/>
    <tableColumn id="10" name="Goal Completion %"/>
    <tableColumn id="11" name="Training Hours"/>
    <tableColumn id="12" name="Review Rating"/>
    <tableColumn id="13" name="Review Year"/>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N501" totalsRowShown="0" headerRowDxfId="4">
  <autoFilter ref="A1:N501"/>
  <tableColumns count="14">
    <tableColumn id="1" name="Employee ID"/>
    <tableColumn id="2" name="Employee Name"/>
    <tableColumn id="3" name="Department"/>
    <tableColumn id="4" name="Job Role"/>
    <tableColumn id="5" name="Gender"/>
    <tableColumn id="6" name="Age"/>
    <tableColumn id="7" name="Monthly Salary"/>
    <tableColumn id="8" name="Years at Company"/>
    <tableColumn id="9" name="Job Satisfaction"/>
    <tableColumn id="10" name="Work-Life Balance"/>
    <tableColumn id="11" name="Overtime"/>
    <tableColumn id="12" name="Attrition Status"/>
    <tableColumn id="13" name="Exit Reason"/>
    <tableColumn id="14" name="Exit Date"/>
  </tableColumns>
  <tableStyleInfo name="TableStyleMedium2" showFirstColumn="0" showLastColumn="0" showRowStripes="1" showColumnStripes="0"/>
</table>
</file>

<file path=xl/tables/table3.xml><?xml version="1.0" encoding="utf-8"?>
<table xmlns="http://schemas.openxmlformats.org/spreadsheetml/2006/main" id="4" name="Table4" displayName="Table4" ref="A1:N501" totalsRowShown="0" headerRowDxfId="3">
  <autoFilter ref="A1:N501"/>
  <tableColumns count="14">
    <tableColumn id="1" name="Application ID"/>
    <tableColumn id="2" name="Application Date" dataDxfId="2"/>
    <tableColumn id="3" name="Candidate Name"/>
    <tableColumn id="4" name="Department"/>
    <tableColumn id="5" name="Job Role"/>
    <tableColumn id="6" name="Source"/>
    <tableColumn id="7" name="Experience (Years)"/>
    <tableColumn id="8" name="Education"/>
    <tableColumn id="9" name="Screening Score"/>
    <tableColumn id="10" name="Interview Score"/>
    <tableColumn id="11" name="Stage"/>
    <tableColumn id="12" name="Offer Status"/>
    <tableColumn id="13" name="Days to Hire"/>
    <tableColumn id="14" name="Recruiter"/>
  </tableColumns>
  <tableStyleInfo name="TableStyleMedium2" showFirstColumn="0" showLastColumn="0" showRowStripes="1" showColumnStripes="0"/>
</table>
</file>

<file path=xl/tables/table4.xml><?xml version="1.0" encoding="utf-8"?>
<table xmlns="http://schemas.openxmlformats.org/spreadsheetml/2006/main" id="2" name="Table2" displayName="Table2" ref="A1:L501" totalsRowShown="0" headerRowDxfId="1">
  <autoFilter ref="A1:L501"/>
  <tableColumns count="12">
    <tableColumn id="1" name="Employee ID"/>
    <tableColumn id="2" name="Employee Name"/>
    <tableColumn id="3" name="Department"/>
    <tableColumn id="4" name="Job Role"/>
    <tableColumn id="5" name="Experience (Years)"/>
    <tableColumn id="6" name="Monthly Salary"/>
    <tableColumn id="7" name="Annual Salary"/>
    <tableColumn id="8" name="Bonus %"/>
    <tableColumn id="9" name="Annual Bonus"/>
    <tableColumn id="10" name="Total Compensation"/>
    <tableColumn id="11" name="Salary Grade"/>
    <tableColumn id="12" name="Last Increment %"/>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N501" totalsRowShown="0" headerRowDxfId="0">
  <autoFilter ref="A1:N501"/>
  <tableColumns count="14">
    <tableColumn id="1" name="Plan ID"/>
    <tableColumn id="2" name="Year"/>
    <tableColumn id="3" name="Department"/>
    <tableColumn id="4" name="Job Role"/>
    <tableColumn id="5" name="Current Headcount"/>
    <tableColumn id="6" name="Required Headcount"/>
    <tableColumn id="7" name="Projected Demand"/>
    <tableColumn id="8" name="Current Gap"/>
    <tableColumn id="9" name="Projected Gap"/>
    <tableColumn id="10" name="Critical Skill"/>
    <tableColumn id="11" name="Skill Gap %"/>
    <tableColumn id="12" name="Hiring Priority"/>
    <tableColumn id="13" name="Attrition Forecast %"/>
    <tableColumn id="14" name="Training Ne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AS112"/>
  <sheetViews>
    <sheetView tabSelected="1" zoomScale="40" zoomScaleNormal="40" workbookViewId="0">
      <selection activeCell="D1" sqref="D1:AS55"/>
    </sheetView>
  </sheetViews>
  <sheetFormatPr defaultRowHeight="14.5" x14ac:dyDescent="0.35"/>
  <cols>
    <col min="6" max="6" width="8.7265625" customWidth="1"/>
  </cols>
  <sheetData>
    <row r="1" spans="4:45" x14ac:dyDescent="0.35">
      <c r="D1" s="22"/>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4"/>
    </row>
    <row r="2" spans="4:45" x14ac:dyDescent="0.35">
      <c r="D2" s="25"/>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7"/>
    </row>
    <row r="3" spans="4:45" x14ac:dyDescent="0.35">
      <c r="D3" s="25"/>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7"/>
    </row>
    <row r="4" spans="4:45" x14ac:dyDescent="0.35">
      <c r="D4" s="25"/>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7"/>
    </row>
    <row r="5" spans="4:45" x14ac:dyDescent="0.35">
      <c r="D5" s="25"/>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7"/>
    </row>
    <row r="6" spans="4:45" x14ac:dyDescent="0.35">
      <c r="D6" s="25"/>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7"/>
    </row>
    <row r="7" spans="4:45" x14ac:dyDescent="0.35">
      <c r="D7" s="25"/>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7"/>
    </row>
    <row r="8" spans="4:45" x14ac:dyDescent="0.35">
      <c r="D8" s="25"/>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7"/>
    </row>
    <row r="9" spans="4:45" x14ac:dyDescent="0.35">
      <c r="D9" s="25"/>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7"/>
    </row>
    <row r="10" spans="4:45" x14ac:dyDescent="0.35">
      <c r="D10" s="25"/>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7"/>
    </row>
    <row r="11" spans="4:45" x14ac:dyDescent="0.35">
      <c r="D11" s="25"/>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7"/>
    </row>
    <row r="12" spans="4:45" x14ac:dyDescent="0.35">
      <c r="D12" s="25"/>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7"/>
    </row>
    <row r="13" spans="4:45" x14ac:dyDescent="0.35">
      <c r="D13" s="25"/>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7"/>
    </row>
    <row r="14" spans="4:45" x14ac:dyDescent="0.35">
      <c r="D14" s="25"/>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7"/>
    </row>
    <row r="15" spans="4:45" x14ac:dyDescent="0.35">
      <c r="D15" s="25"/>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7"/>
    </row>
    <row r="16" spans="4:45" x14ac:dyDescent="0.35">
      <c r="D16" s="25"/>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7"/>
    </row>
    <row r="17" spans="4:45" x14ac:dyDescent="0.35">
      <c r="D17" s="25"/>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7"/>
    </row>
    <row r="18" spans="4:45" x14ac:dyDescent="0.35">
      <c r="D18" s="25"/>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7"/>
    </row>
    <row r="19" spans="4:45" x14ac:dyDescent="0.35">
      <c r="D19" s="25"/>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7"/>
    </row>
    <row r="20" spans="4:45" x14ac:dyDescent="0.35">
      <c r="D20" s="25"/>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7"/>
    </row>
    <row r="21" spans="4:45" x14ac:dyDescent="0.35">
      <c r="D21" s="25"/>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7"/>
    </row>
    <row r="22" spans="4:45" x14ac:dyDescent="0.35">
      <c r="D22" s="25"/>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7"/>
    </row>
    <row r="23" spans="4:45" x14ac:dyDescent="0.35">
      <c r="D23" s="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7"/>
    </row>
    <row r="24" spans="4:45" x14ac:dyDescent="0.35">
      <c r="D24" s="25"/>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7"/>
    </row>
    <row r="25" spans="4:45" x14ac:dyDescent="0.35">
      <c r="D25" s="25"/>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7"/>
    </row>
    <row r="26" spans="4:45" x14ac:dyDescent="0.35">
      <c r="D26" s="25"/>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7"/>
    </row>
    <row r="27" spans="4:45" x14ac:dyDescent="0.35">
      <c r="D27" s="25"/>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7"/>
    </row>
    <row r="28" spans="4:45" x14ac:dyDescent="0.35">
      <c r="D28" s="25"/>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7"/>
    </row>
    <row r="29" spans="4:45" x14ac:dyDescent="0.35">
      <c r="D29" s="25"/>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7"/>
    </row>
    <row r="30" spans="4:45" x14ac:dyDescent="0.35">
      <c r="D30" s="25"/>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7"/>
    </row>
    <row r="31" spans="4:45" x14ac:dyDescent="0.35">
      <c r="D31" s="25"/>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7"/>
    </row>
    <row r="32" spans="4:45" ht="14.5" customHeight="1" x14ac:dyDescent="0.35">
      <c r="D32" s="25"/>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7"/>
    </row>
    <row r="33" spans="4:45" x14ac:dyDescent="0.35">
      <c r="D33" s="25"/>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7"/>
    </row>
    <row r="34" spans="4:45" x14ac:dyDescent="0.35">
      <c r="D34" s="25"/>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7"/>
    </row>
    <row r="35" spans="4:45" x14ac:dyDescent="0.35">
      <c r="D35" s="25"/>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7"/>
    </row>
    <row r="36" spans="4:45" x14ac:dyDescent="0.35">
      <c r="D36" s="25"/>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7"/>
    </row>
    <row r="37" spans="4:45" x14ac:dyDescent="0.35">
      <c r="D37" s="25"/>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7"/>
    </row>
    <row r="38" spans="4:45" x14ac:dyDescent="0.35">
      <c r="D38" s="25"/>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7"/>
    </row>
    <row r="39" spans="4:45" x14ac:dyDescent="0.35">
      <c r="D39" s="25"/>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7"/>
    </row>
    <row r="40" spans="4:45" x14ac:dyDescent="0.35">
      <c r="D40" s="25"/>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7"/>
    </row>
    <row r="41" spans="4:45" x14ac:dyDescent="0.35">
      <c r="D41" s="25"/>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7"/>
    </row>
    <row r="42" spans="4:45" x14ac:dyDescent="0.35">
      <c r="D42" s="25"/>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7"/>
    </row>
    <row r="43" spans="4:45" x14ac:dyDescent="0.35">
      <c r="D43" s="25"/>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7"/>
    </row>
    <row r="44" spans="4:45" x14ac:dyDescent="0.35">
      <c r="D44" s="25"/>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7"/>
    </row>
    <row r="45" spans="4:45" x14ac:dyDescent="0.35">
      <c r="D45" s="25"/>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7"/>
    </row>
    <row r="46" spans="4:45" x14ac:dyDescent="0.35">
      <c r="D46" s="25"/>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7"/>
    </row>
    <row r="47" spans="4:45" x14ac:dyDescent="0.35">
      <c r="D47" s="25"/>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7"/>
    </row>
    <row r="48" spans="4:45" x14ac:dyDescent="0.35">
      <c r="D48" s="25"/>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7"/>
    </row>
    <row r="49" spans="4:45" x14ac:dyDescent="0.35">
      <c r="D49" s="25"/>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7"/>
    </row>
    <row r="50" spans="4:45" x14ac:dyDescent="0.35">
      <c r="D50" s="25"/>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7"/>
    </row>
    <row r="51" spans="4:45" x14ac:dyDescent="0.35">
      <c r="D51" s="25"/>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7"/>
    </row>
    <row r="52" spans="4:45" x14ac:dyDescent="0.35">
      <c r="D52" s="25"/>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7"/>
    </row>
    <row r="53" spans="4:45" x14ac:dyDescent="0.35">
      <c r="D53" s="25"/>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7"/>
    </row>
    <row r="54" spans="4:45" x14ac:dyDescent="0.35">
      <c r="D54" s="25"/>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7"/>
    </row>
    <row r="55" spans="4:45" ht="15" thickBot="1" x14ac:dyDescent="0.4">
      <c r="D55" s="28"/>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30"/>
    </row>
    <row r="56" spans="4:45" x14ac:dyDescent="0.35">
      <c r="J56" s="8"/>
      <c r="K56" s="8"/>
      <c r="L56" s="8"/>
      <c r="M56" s="8"/>
      <c r="N56" s="8"/>
      <c r="O56" s="8"/>
      <c r="P56" s="8"/>
      <c r="Q56" s="8"/>
      <c r="R56" s="8"/>
      <c r="S56" s="8"/>
      <c r="T56" s="8"/>
      <c r="U56" s="8"/>
      <c r="V56" s="8"/>
      <c r="W56" s="8"/>
      <c r="X56" s="8"/>
      <c r="Y56" s="8"/>
    </row>
    <row r="57" spans="4:45" x14ac:dyDescent="0.35">
      <c r="J57" s="8"/>
      <c r="K57" s="8"/>
      <c r="L57" s="8"/>
      <c r="M57" s="8"/>
      <c r="N57" s="8"/>
      <c r="O57" s="8"/>
      <c r="P57" s="8"/>
      <c r="Q57" s="8"/>
      <c r="R57" s="8"/>
      <c r="S57" s="8"/>
      <c r="T57" s="8"/>
      <c r="U57" s="8"/>
      <c r="V57" s="8"/>
      <c r="W57" s="8"/>
      <c r="X57" s="8"/>
      <c r="Y57" s="8"/>
    </row>
    <row r="58" spans="4:45" x14ac:dyDescent="0.35">
      <c r="J58" s="8"/>
      <c r="K58" s="8"/>
      <c r="L58" s="8"/>
      <c r="M58" s="8"/>
      <c r="N58" s="8"/>
      <c r="O58" s="8"/>
      <c r="P58" s="8"/>
      <c r="Q58" s="8"/>
      <c r="R58" s="8"/>
      <c r="S58" s="8"/>
      <c r="T58" s="8"/>
      <c r="U58" s="8"/>
      <c r="V58" s="8"/>
      <c r="W58" s="8"/>
      <c r="X58" s="8"/>
      <c r="Y58" s="8"/>
    </row>
    <row r="59" spans="4:45" x14ac:dyDescent="0.35">
      <c r="J59" s="8"/>
      <c r="K59" s="8"/>
      <c r="L59" s="8"/>
      <c r="M59" s="8"/>
      <c r="N59" s="8"/>
      <c r="O59" s="8"/>
      <c r="P59" s="8"/>
      <c r="Q59" s="8"/>
      <c r="R59" s="8"/>
      <c r="S59" s="8"/>
      <c r="T59" s="8"/>
      <c r="U59" s="8"/>
      <c r="V59" s="8"/>
      <c r="W59" s="8"/>
      <c r="X59" s="8"/>
      <c r="Y59" s="8"/>
    </row>
    <row r="60" spans="4:45" x14ac:dyDescent="0.35">
      <c r="J60" s="8"/>
      <c r="K60" s="8"/>
      <c r="L60" s="8"/>
      <c r="M60" s="8"/>
      <c r="N60" s="8"/>
      <c r="O60" s="8"/>
      <c r="P60" s="8"/>
      <c r="Q60" s="8"/>
      <c r="R60" s="8"/>
      <c r="S60" s="8"/>
      <c r="T60" s="8"/>
      <c r="U60" s="8"/>
      <c r="V60" s="8"/>
      <c r="W60" s="8"/>
      <c r="X60" s="8"/>
      <c r="Y60" s="8"/>
    </row>
    <row r="61" spans="4:45" x14ac:dyDescent="0.35">
      <c r="J61" s="8"/>
      <c r="K61" s="8"/>
      <c r="L61" s="8"/>
      <c r="M61" s="8"/>
      <c r="N61" s="8"/>
      <c r="O61" s="8"/>
      <c r="P61" s="8"/>
      <c r="Q61" s="8"/>
      <c r="R61" s="8"/>
      <c r="S61" s="8"/>
      <c r="T61" s="8"/>
      <c r="U61" s="8"/>
      <c r="V61" s="8"/>
      <c r="W61" s="8"/>
      <c r="X61" s="8"/>
      <c r="Y61" s="8"/>
    </row>
    <row r="62" spans="4:45" x14ac:dyDescent="0.35">
      <c r="J62" s="8"/>
      <c r="K62" s="8"/>
      <c r="L62" s="8"/>
      <c r="M62" s="8"/>
      <c r="N62" s="8"/>
      <c r="O62" s="8"/>
      <c r="P62" s="8"/>
      <c r="Q62" s="8"/>
      <c r="R62" s="8"/>
      <c r="S62" s="8"/>
      <c r="T62" s="8"/>
      <c r="U62" s="8"/>
      <c r="V62" s="8"/>
      <c r="W62" s="8"/>
      <c r="X62" s="8"/>
      <c r="Y62" s="8"/>
    </row>
    <row r="63" spans="4:45" x14ac:dyDescent="0.35">
      <c r="J63" s="8"/>
      <c r="K63" s="8"/>
      <c r="L63" s="8"/>
      <c r="M63" s="8"/>
      <c r="N63" s="8"/>
      <c r="O63" s="8"/>
      <c r="P63" s="8"/>
      <c r="Q63" s="8"/>
      <c r="R63" s="8"/>
      <c r="S63" s="8"/>
      <c r="T63" s="8"/>
      <c r="U63" s="8"/>
      <c r="V63" s="8"/>
      <c r="W63" s="8"/>
      <c r="X63" s="8"/>
      <c r="Y63" s="8"/>
    </row>
    <row r="64" spans="4:45" x14ac:dyDescent="0.35">
      <c r="J64" s="8"/>
      <c r="K64" s="8"/>
      <c r="L64" s="8"/>
      <c r="M64" s="8"/>
      <c r="N64" s="8"/>
      <c r="O64" s="8"/>
      <c r="P64" s="8"/>
      <c r="Q64" s="8"/>
      <c r="R64" s="8"/>
      <c r="S64" s="8"/>
      <c r="T64" s="8"/>
      <c r="U64" s="8"/>
      <c r="V64" s="8"/>
      <c r="W64" s="8"/>
      <c r="X64" s="8"/>
      <c r="Y64" s="8"/>
    </row>
    <row r="65" spans="10:25" x14ac:dyDescent="0.35">
      <c r="J65" s="8"/>
      <c r="K65" s="8"/>
      <c r="L65" s="8"/>
      <c r="M65" s="8"/>
      <c r="N65" s="8"/>
      <c r="O65" s="8"/>
      <c r="P65" s="8"/>
      <c r="Q65" s="8"/>
      <c r="R65" s="8"/>
      <c r="S65" s="8"/>
      <c r="T65" s="8"/>
      <c r="U65" s="8"/>
      <c r="V65" s="8"/>
      <c r="W65" s="8"/>
      <c r="X65" s="8"/>
      <c r="Y65" s="8"/>
    </row>
    <row r="66" spans="10:25" x14ac:dyDescent="0.35">
      <c r="J66" s="8"/>
      <c r="K66" s="8"/>
      <c r="L66" s="8"/>
      <c r="M66" s="8"/>
      <c r="N66" s="8"/>
      <c r="O66" s="8"/>
      <c r="P66" s="8"/>
      <c r="Q66" s="8"/>
      <c r="R66" s="8"/>
      <c r="S66" s="8"/>
      <c r="T66" s="8"/>
      <c r="U66" s="8"/>
      <c r="V66" s="8"/>
      <c r="W66" s="8"/>
      <c r="X66" s="8"/>
      <c r="Y66" s="8"/>
    </row>
    <row r="67" spans="10:25" x14ac:dyDescent="0.35">
      <c r="J67" s="8"/>
      <c r="K67" s="8"/>
      <c r="L67" s="8"/>
      <c r="M67" s="8"/>
      <c r="N67" s="8"/>
      <c r="O67" s="8"/>
      <c r="P67" s="8"/>
      <c r="Q67" s="8"/>
      <c r="R67" s="8"/>
      <c r="S67" s="8"/>
      <c r="T67" s="8"/>
      <c r="U67" s="8"/>
      <c r="V67" s="8"/>
      <c r="W67" s="8"/>
      <c r="X67" s="8"/>
      <c r="Y67" s="8"/>
    </row>
    <row r="68" spans="10:25" x14ac:dyDescent="0.35">
      <c r="J68" s="8"/>
      <c r="K68" s="8"/>
      <c r="L68" s="8"/>
      <c r="M68" s="8"/>
      <c r="N68" s="8"/>
      <c r="O68" s="8"/>
      <c r="P68" s="8"/>
      <c r="Q68" s="8"/>
      <c r="R68" s="8"/>
      <c r="S68" s="8"/>
      <c r="T68" s="8"/>
      <c r="U68" s="8"/>
      <c r="V68" s="8"/>
      <c r="W68" s="8"/>
      <c r="X68" s="8"/>
      <c r="Y68" s="8"/>
    </row>
    <row r="69" spans="10:25" x14ac:dyDescent="0.35">
      <c r="J69" s="8"/>
      <c r="K69" s="8"/>
      <c r="L69" s="8"/>
      <c r="M69" s="8"/>
      <c r="N69" s="8"/>
      <c r="O69" s="8"/>
      <c r="P69" s="8"/>
      <c r="Q69" s="8"/>
      <c r="R69" s="8"/>
      <c r="S69" s="8"/>
      <c r="T69" s="8"/>
      <c r="U69" s="8"/>
      <c r="V69" s="8"/>
      <c r="W69" s="8"/>
      <c r="X69" s="8"/>
      <c r="Y69" s="8"/>
    </row>
    <row r="70" spans="10:25" x14ac:dyDescent="0.35">
      <c r="J70" s="8"/>
      <c r="K70" s="8"/>
      <c r="L70" s="8"/>
      <c r="M70" s="8"/>
      <c r="N70" s="8"/>
      <c r="O70" s="8"/>
      <c r="P70" s="8"/>
      <c r="Q70" s="8"/>
      <c r="R70" s="8"/>
      <c r="S70" s="8"/>
      <c r="T70" s="8"/>
      <c r="U70" s="8"/>
      <c r="V70" s="8"/>
      <c r="W70" s="8"/>
      <c r="X70" s="8"/>
      <c r="Y70" s="8"/>
    </row>
    <row r="71" spans="10:25" x14ac:dyDescent="0.35">
      <c r="J71" s="6"/>
      <c r="K71" s="6"/>
      <c r="L71" s="6"/>
      <c r="M71" s="6"/>
      <c r="N71" s="6"/>
      <c r="O71" s="6"/>
      <c r="P71" s="6"/>
      <c r="Q71" s="6"/>
      <c r="R71" s="6"/>
      <c r="S71" s="6"/>
      <c r="T71" s="6"/>
      <c r="U71" s="6"/>
      <c r="V71" s="6"/>
      <c r="W71" s="6"/>
      <c r="X71" s="6"/>
      <c r="Y71" s="6"/>
    </row>
    <row r="72" spans="10:25" x14ac:dyDescent="0.35">
      <c r="J72" s="6"/>
      <c r="K72" s="6"/>
      <c r="L72" s="6"/>
      <c r="M72" s="6"/>
      <c r="N72" s="6"/>
      <c r="O72" s="6"/>
      <c r="P72" s="6"/>
      <c r="Q72" s="6"/>
      <c r="R72" s="6"/>
      <c r="S72" s="6"/>
      <c r="T72" s="6"/>
      <c r="U72" s="6"/>
      <c r="V72" s="6"/>
      <c r="W72" s="6"/>
      <c r="X72" s="6"/>
      <c r="Y72" s="6"/>
    </row>
    <row r="73" spans="10:25" x14ac:dyDescent="0.35">
      <c r="J73" s="6"/>
      <c r="K73" s="6"/>
      <c r="L73" s="6"/>
      <c r="M73" s="6"/>
      <c r="N73" s="6"/>
      <c r="O73" s="6"/>
      <c r="P73" s="6"/>
      <c r="Q73" s="6"/>
      <c r="R73" s="6"/>
      <c r="S73" s="6"/>
      <c r="T73" s="6"/>
      <c r="U73" s="6"/>
      <c r="V73" s="6"/>
      <c r="W73" s="6"/>
      <c r="X73" s="6"/>
      <c r="Y73" s="6"/>
    </row>
    <row r="74" spans="10:25" x14ac:dyDescent="0.35">
      <c r="J74" s="6"/>
      <c r="K74" s="6"/>
      <c r="L74" s="6"/>
      <c r="M74" s="6"/>
      <c r="N74" s="6"/>
      <c r="O74" s="6"/>
      <c r="P74" s="6"/>
      <c r="Q74" s="6"/>
      <c r="R74" s="6"/>
      <c r="S74" s="6"/>
      <c r="T74" s="6"/>
      <c r="U74" s="6"/>
      <c r="V74" s="6"/>
      <c r="W74" s="6"/>
      <c r="X74" s="6"/>
      <c r="Y74" s="6"/>
    </row>
    <row r="75" spans="10:25" x14ac:dyDescent="0.35">
      <c r="J75" s="6"/>
      <c r="K75" s="6"/>
      <c r="L75" s="6"/>
      <c r="M75" s="6"/>
      <c r="N75" s="6"/>
      <c r="O75" s="6"/>
      <c r="P75" s="6"/>
      <c r="Q75" s="6"/>
      <c r="R75" s="6"/>
      <c r="S75" s="6"/>
      <c r="T75" s="6"/>
      <c r="U75" s="6"/>
      <c r="V75" s="6"/>
      <c r="W75" s="6"/>
      <c r="X75" s="6"/>
      <c r="Y75" s="6"/>
    </row>
    <row r="76" spans="10:25" x14ac:dyDescent="0.35">
      <c r="J76" s="6"/>
      <c r="K76" s="6"/>
      <c r="L76" s="6"/>
      <c r="M76" s="6"/>
      <c r="N76" s="6"/>
      <c r="O76" s="6"/>
      <c r="P76" s="6"/>
      <c r="Q76" s="6"/>
      <c r="R76" s="6"/>
      <c r="S76" s="6"/>
      <c r="T76" s="6"/>
      <c r="U76" s="6"/>
      <c r="V76" s="6"/>
      <c r="W76" s="6"/>
      <c r="X76" s="6"/>
      <c r="Y76" s="6"/>
    </row>
    <row r="77" spans="10:25" x14ac:dyDescent="0.35">
      <c r="J77" s="6"/>
      <c r="K77" s="6"/>
      <c r="L77" s="6"/>
      <c r="M77" s="6"/>
      <c r="N77" s="6"/>
      <c r="O77" s="6"/>
      <c r="P77" s="6"/>
      <c r="Q77" s="6"/>
      <c r="R77" s="6"/>
      <c r="S77" s="6"/>
      <c r="T77" s="6"/>
      <c r="U77" s="6"/>
      <c r="V77" s="6"/>
      <c r="W77" s="6"/>
      <c r="X77" s="6"/>
      <c r="Y77" s="6"/>
    </row>
    <row r="78" spans="10:25" x14ac:dyDescent="0.35">
      <c r="J78" s="6"/>
      <c r="K78" s="6"/>
      <c r="L78" s="6"/>
      <c r="M78" s="6"/>
      <c r="N78" s="6"/>
      <c r="O78" s="6"/>
      <c r="P78" s="6"/>
      <c r="Q78" s="6"/>
      <c r="R78" s="6"/>
      <c r="S78" s="6"/>
      <c r="T78" s="6"/>
      <c r="U78" s="6"/>
      <c r="V78" s="6"/>
      <c r="W78" s="6"/>
      <c r="X78" s="6"/>
      <c r="Y78" s="6"/>
    </row>
    <row r="79" spans="10:25" x14ac:dyDescent="0.35">
      <c r="J79" s="6"/>
      <c r="K79" s="6"/>
      <c r="L79" s="6"/>
      <c r="M79" s="6"/>
      <c r="N79" s="6"/>
      <c r="O79" s="6"/>
      <c r="P79" s="6"/>
      <c r="Q79" s="6"/>
      <c r="R79" s="6"/>
      <c r="S79" s="6"/>
      <c r="T79" s="6"/>
      <c r="U79" s="6"/>
      <c r="V79" s="6"/>
      <c r="W79" s="6"/>
      <c r="X79" s="6"/>
      <c r="Y79" s="6"/>
    </row>
    <row r="80" spans="10:25" x14ac:dyDescent="0.35">
      <c r="J80" s="6"/>
      <c r="K80" s="6"/>
      <c r="L80" s="6"/>
      <c r="M80" s="6"/>
      <c r="N80" s="6"/>
      <c r="O80" s="6"/>
      <c r="P80" s="6"/>
      <c r="Q80" s="6"/>
      <c r="R80" s="6"/>
      <c r="S80" s="6"/>
      <c r="T80" s="6"/>
      <c r="U80" s="6"/>
      <c r="V80" s="6"/>
      <c r="W80" s="6"/>
      <c r="X80" s="6"/>
      <c r="Y80" s="6"/>
    </row>
    <row r="81" spans="10:25" x14ac:dyDescent="0.35">
      <c r="J81" s="6"/>
      <c r="K81" s="6"/>
      <c r="L81" s="6"/>
      <c r="M81" s="6"/>
      <c r="N81" s="6"/>
      <c r="O81" s="6"/>
      <c r="P81" s="6"/>
      <c r="Q81" s="6"/>
      <c r="R81" s="6"/>
      <c r="S81" s="6"/>
      <c r="T81" s="6"/>
      <c r="U81" s="6"/>
      <c r="V81" s="6"/>
      <c r="W81" s="6"/>
      <c r="X81" s="6"/>
      <c r="Y81" s="6"/>
    </row>
    <row r="82" spans="10:25" x14ac:dyDescent="0.35">
      <c r="J82" s="6"/>
      <c r="K82" s="6"/>
      <c r="L82" s="6"/>
      <c r="M82" s="6"/>
      <c r="N82" s="6"/>
      <c r="O82" s="6"/>
      <c r="P82" s="6"/>
      <c r="Q82" s="6"/>
      <c r="R82" s="6"/>
      <c r="S82" s="6"/>
      <c r="T82" s="6"/>
      <c r="U82" s="6"/>
      <c r="V82" s="6"/>
      <c r="W82" s="6"/>
      <c r="X82" s="6"/>
      <c r="Y82" s="6"/>
    </row>
    <row r="83" spans="10:25" x14ac:dyDescent="0.35">
      <c r="J83" s="6"/>
      <c r="K83" s="6"/>
      <c r="L83" s="6"/>
      <c r="M83" s="6"/>
      <c r="N83" s="6"/>
      <c r="O83" s="6"/>
      <c r="P83" s="6"/>
      <c r="Q83" s="6"/>
      <c r="R83" s="6"/>
      <c r="S83" s="6"/>
      <c r="T83" s="6"/>
      <c r="U83" s="6"/>
      <c r="V83" s="6"/>
      <c r="W83" s="6"/>
      <c r="X83" s="6"/>
      <c r="Y83" s="6"/>
    </row>
    <row r="84" spans="10:25" x14ac:dyDescent="0.35">
      <c r="J84" s="6"/>
      <c r="K84" s="6"/>
      <c r="L84" s="6"/>
      <c r="M84" s="6"/>
      <c r="N84" s="6"/>
      <c r="O84" s="6"/>
      <c r="P84" s="6"/>
      <c r="Q84" s="6"/>
      <c r="R84" s="6"/>
      <c r="S84" s="6"/>
      <c r="T84" s="6"/>
      <c r="U84" s="6"/>
      <c r="V84" s="6"/>
      <c r="W84" s="6"/>
      <c r="X84" s="6"/>
      <c r="Y84" s="6"/>
    </row>
    <row r="85" spans="10:25" x14ac:dyDescent="0.35">
      <c r="J85" s="6"/>
      <c r="K85" s="6"/>
      <c r="L85" s="6"/>
      <c r="M85" s="6"/>
      <c r="N85" s="6"/>
      <c r="O85" s="6"/>
      <c r="P85" s="6"/>
      <c r="Q85" s="6"/>
      <c r="R85" s="6"/>
      <c r="S85" s="6"/>
      <c r="T85" s="6"/>
      <c r="U85" s="6"/>
      <c r="V85" s="6"/>
      <c r="W85" s="6"/>
      <c r="X85" s="6"/>
      <c r="Y85" s="6"/>
    </row>
    <row r="86" spans="10:25" x14ac:dyDescent="0.35">
      <c r="J86" s="6"/>
      <c r="K86" s="6"/>
      <c r="L86" s="6"/>
      <c r="M86" s="6"/>
      <c r="N86" s="6"/>
      <c r="O86" s="6"/>
      <c r="P86" s="6"/>
      <c r="Q86" s="6"/>
      <c r="R86" s="6"/>
      <c r="S86" s="6"/>
      <c r="T86" s="6"/>
      <c r="U86" s="6"/>
      <c r="V86" s="6"/>
      <c r="W86" s="6"/>
      <c r="X86" s="6"/>
      <c r="Y86" s="6"/>
    </row>
    <row r="87" spans="10:25" x14ac:dyDescent="0.35">
      <c r="J87" s="6"/>
      <c r="K87" s="6"/>
      <c r="L87" s="6"/>
      <c r="M87" s="6"/>
      <c r="N87" s="6"/>
      <c r="O87" s="6"/>
      <c r="P87" s="6"/>
      <c r="Q87" s="6"/>
      <c r="R87" s="6"/>
      <c r="S87" s="6"/>
      <c r="T87" s="6"/>
      <c r="U87" s="6"/>
      <c r="V87" s="6"/>
      <c r="W87" s="6"/>
      <c r="X87" s="6"/>
      <c r="Y87" s="6"/>
    </row>
    <row r="88" spans="10:25" x14ac:dyDescent="0.35">
      <c r="J88" s="6"/>
      <c r="K88" s="6"/>
      <c r="L88" s="6"/>
      <c r="M88" s="6"/>
      <c r="N88" s="6"/>
      <c r="O88" s="6"/>
      <c r="P88" s="6"/>
      <c r="Q88" s="6"/>
      <c r="R88" s="6"/>
      <c r="S88" s="6"/>
      <c r="T88" s="6"/>
      <c r="U88" s="6"/>
      <c r="V88" s="6"/>
      <c r="W88" s="6"/>
      <c r="X88" s="6"/>
      <c r="Y88" s="6"/>
    </row>
    <row r="89" spans="10:25" x14ac:dyDescent="0.35">
      <c r="J89" s="6"/>
      <c r="K89" s="6"/>
      <c r="L89" s="6"/>
      <c r="M89" s="6"/>
      <c r="N89" s="6"/>
      <c r="O89" s="6"/>
      <c r="P89" s="6"/>
      <c r="Q89" s="6"/>
      <c r="R89" s="6"/>
      <c r="S89" s="6"/>
      <c r="T89" s="6"/>
      <c r="U89" s="6"/>
      <c r="V89" s="6"/>
      <c r="W89" s="6"/>
      <c r="X89" s="6"/>
      <c r="Y89" s="6"/>
    </row>
    <row r="90" spans="10:25" x14ac:dyDescent="0.35">
      <c r="J90" s="6"/>
      <c r="K90" s="6"/>
      <c r="L90" s="6"/>
      <c r="M90" s="6"/>
      <c r="N90" s="6"/>
      <c r="O90" s="6"/>
      <c r="P90" s="6"/>
      <c r="Q90" s="6"/>
      <c r="R90" s="6"/>
      <c r="S90" s="6"/>
      <c r="T90" s="6"/>
      <c r="U90" s="6"/>
      <c r="V90" s="6"/>
      <c r="W90" s="6"/>
      <c r="X90" s="6"/>
      <c r="Y90" s="6"/>
    </row>
    <row r="91" spans="10:25" x14ac:dyDescent="0.35">
      <c r="J91" s="6"/>
      <c r="K91" s="6"/>
      <c r="L91" s="6"/>
      <c r="M91" s="6"/>
      <c r="N91" s="6"/>
      <c r="O91" s="6"/>
      <c r="P91" s="6"/>
      <c r="Q91" s="6"/>
      <c r="R91" s="6"/>
      <c r="S91" s="6"/>
      <c r="T91" s="6"/>
      <c r="U91" s="6"/>
      <c r="V91" s="6"/>
      <c r="W91" s="6"/>
      <c r="X91" s="6"/>
      <c r="Y91" s="6"/>
    </row>
    <row r="92" spans="10:25" x14ac:dyDescent="0.35">
      <c r="J92" s="6"/>
      <c r="K92" s="6"/>
      <c r="L92" s="6"/>
      <c r="M92" s="6"/>
      <c r="N92" s="6"/>
      <c r="O92" s="6"/>
      <c r="P92" s="6"/>
      <c r="Q92" s="6"/>
      <c r="R92" s="6"/>
      <c r="S92" s="6"/>
      <c r="T92" s="6"/>
      <c r="U92" s="6"/>
      <c r="V92" s="6"/>
      <c r="W92" s="6"/>
      <c r="X92" s="6"/>
      <c r="Y92" s="6"/>
    </row>
    <row r="93" spans="10:25" x14ac:dyDescent="0.35">
      <c r="J93" s="6"/>
      <c r="K93" s="6"/>
      <c r="L93" s="6"/>
      <c r="M93" s="6"/>
      <c r="N93" s="6"/>
      <c r="O93" s="6"/>
      <c r="P93" s="6"/>
      <c r="Q93" s="6"/>
      <c r="R93" s="6"/>
      <c r="S93" s="6"/>
      <c r="T93" s="6"/>
      <c r="U93" s="6"/>
      <c r="V93" s="6"/>
      <c r="W93" s="6"/>
      <c r="X93" s="6"/>
      <c r="Y93" s="6"/>
    </row>
    <row r="94" spans="10:25" x14ac:dyDescent="0.35">
      <c r="J94" s="6"/>
      <c r="K94" s="6"/>
      <c r="L94" s="6"/>
      <c r="M94" s="6"/>
      <c r="N94" s="6"/>
      <c r="O94" s="6"/>
      <c r="P94" s="6"/>
      <c r="Q94" s="6"/>
      <c r="R94" s="6"/>
      <c r="S94" s="6"/>
      <c r="T94" s="6"/>
      <c r="U94" s="6"/>
      <c r="V94" s="6"/>
      <c r="W94" s="6"/>
      <c r="X94" s="6"/>
      <c r="Y94" s="6"/>
    </row>
    <row r="95" spans="10:25" x14ac:dyDescent="0.35">
      <c r="J95" s="6"/>
      <c r="K95" s="6"/>
      <c r="L95" s="6"/>
      <c r="M95" s="6"/>
      <c r="N95" s="6"/>
      <c r="O95" s="6"/>
      <c r="P95" s="6"/>
      <c r="Q95" s="6"/>
      <c r="R95" s="6"/>
      <c r="S95" s="6"/>
      <c r="T95" s="6"/>
      <c r="U95" s="6"/>
      <c r="V95" s="6"/>
      <c r="W95" s="6"/>
      <c r="X95" s="6"/>
      <c r="Y95" s="6"/>
    </row>
    <row r="96" spans="10:25" x14ac:dyDescent="0.35">
      <c r="J96" s="6"/>
      <c r="K96" s="6"/>
      <c r="L96" s="6"/>
      <c r="M96" s="6"/>
      <c r="N96" s="6"/>
      <c r="O96" s="6"/>
      <c r="P96" s="6"/>
      <c r="Q96" s="6"/>
      <c r="R96" s="6"/>
      <c r="S96" s="6"/>
      <c r="T96" s="6"/>
      <c r="U96" s="6"/>
      <c r="V96" s="6"/>
      <c r="W96" s="6"/>
      <c r="X96" s="6"/>
      <c r="Y96" s="6"/>
    </row>
    <row r="97" spans="10:25" x14ac:dyDescent="0.35">
      <c r="J97" s="6"/>
      <c r="K97" s="6"/>
      <c r="L97" s="6"/>
      <c r="M97" s="6"/>
      <c r="N97" s="6"/>
      <c r="O97" s="6"/>
      <c r="P97" s="6"/>
      <c r="Q97" s="6"/>
      <c r="R97" s="6"/>
      <c r="S97" s="6"/>
      <c r="T97" s="6"/>
      <c r="U97" s="6"/>
      <c r="V97" s="6"/>
      <c r="W97" s="6"/>
      <c r="X97" s="6"/>
      <c r="Y97" s="6"/>
    </row>
    <row r="98" spans="10:25" x14ac:dyDescent="0.35">
      <c r="J98" s="6"/>
      <c r="K98" s="6"/>
      <c r="L98" s="6"/>
      <c r="M98" s="6"/>
      <c r="N98" s="6"/>
      <c r="O98" s="6"/>
      <c r="P98" s="6"/>
      <c r="Q98" s="6"/>
      <c r="R98" s="6"/>
      <c r="S98" s="6"/>
      <c r="T98" s="6"/>
      <c r="U98" s="6"/>
      <c r="V98" s="6"/>
      <c r="W98" s="6"/>
      <c r="X98" s="6"/>
      <c r="Y98" s="6"/>
    </row>
    <row r="99" spans="10:25" x14ac:dyDescent="0.35">
      <c r="J99" s="6"/>
      <c r="K99" s="6"/>
      <c r="L99" s="6"/>
      <c r="M99" s="6"/>
      <c r="N99" s="6"/>
      <c r="O99" s="6"/>
      <c r="P99" s="6"/>
      <c r="Q99" s="6"/>
      <c r="R99" s="6"/>
      <c r="S99" s="6"/>
      <c r="T99" s="6"/>
      <c r="U99" s="6"/>
      <c r="V99" s="6"/>
      <c r="W99" s="6"/>
      <c r="X99" s="6"/>
      <c r="Y99" s="6"/>
    </row>
    <row r="100" spans="10:25" x14ac:dyDescent="0.35">
      <c r="J100" s="6"/>
      <c r="K100" s="6"/>
      <c r="L100" s="6"/>
      <c r="M100" s="6"/>
      <c r="N100" s="6"/>
      <c r="O100" s="6"/>
      <c r="P100" s="6"/>
      <c r="Q100" s="6"/>
      <c r="R100" s="6"/>
      <c r="S100" s="6"/>
      <c r="T100" s="6"/>
      <c r="U100" s="6"/>
      <c r="V100" s="6"/>
      <c r="W100" s="6"/>
      <c r="X100" s="6"/>
      <c r="Y100" s="6"/>
    </row>
    <row r="101" spans="10:25" x14ac:dyDescent="0.35">
      <c r="J101" s="6"/>
      <c r="K101" s="6"/>
      <c r="L101" s="6"/>
      <c r="M101" s="6"/>
      <c r="N101" s="6"/>
      <c r="O101" s="6"/>
      <c r="P101" s="6"/>
      <c r="Q101" s="6"/>
      <c r="R101" s="6"/>
      <c r="S101" s="6"/>
      <c r="T101" s="6"/>
      <c r="U101" s="6"/>
      <c r="V101" s="6"/>
      <c r="W101" s="6"/>
      <c r="X101" s="6"/>
      <c r="Y101" s="6"/>
    </row>
    <row r="102" spans="10:25" x14ac:dyDescent="0.35">
      <c r="J102" s="6"/>
      <c r="K102" s="6"/>
      <c r="L102" s="6"/>
      <c r="M102" s="6"/>
      <c r="N102" s="6"/>
      <c r="O102" s="6"/>
      <c r="P102" s="6"/>
      <c r="Q102" s="6"/>
      <c r="R102" s="6"/>
      <c r="S102" s="6"/>
      <c r="T102" s="6"/>
      <c r="U102" s="6"/>
      <c r="V102" s="6"/>
      <c r="W102" s="6"/>
      <c r="X102" s="6"/>
      <c r="Y102" s="6"/>
    </row>
    <row r="103" spans="10:25" x14ac:dyDescent="0.35">
      <c r="J103" s="6"/>
      <c r="K103" s="6"/>
      <c r="L103" s="6"/>
      <c r="M103" s="6"/>
      <c r="N103" s="6"/>
      <c r="O103" s="6"/>
      <c r="P103" s="6"/>
      <c r="Q103" s="6"/>
      <c r="R103" s="6"/>
      <c r="S103" s="6"/>
      <c r="T103" s="6"/>
      <c r="U103" s="6"/>
      <c r="V103" s="6"/>
      <c r="W103" s="6"/>
      <c r="X103" s="6"/>
      <c r="Y103" s="6"/>
    </row>
    <row r="104" spans="10:25" x14ac:dyDescent="0.35">
      <c r="J104" s="6"/>
      <c r="K104" s="6"/>
      <c r="L104" s="6"/>
      <c r="M104" s="6"/>
      <c r="N104" s="6"/>
      <c r="O104" s="6"/>
      <c r="P104" s="6"/>
      <c r="Q104" s="6"/>
      <c r="R104" s="6"/>
      <c r="S104" s="6"/>
      <c r="T104" s="6"/>
      <c r="U104" s="6"/>
      <c r="V104" s="6"/>
      <c r="W104" s="6"/>
      <c r="X104" s="6"/>
      <c r="Y104" s="6"/>
    </row>
    <row r="105" spans="10:25" x14ac:dyDescent="0.35">
      <c r="J105" s="6"/>
      <c r="K105" s="6"/>
      <c r="L105" s="6"/>
      <c r="M105" s="6"/>
      <c r="N105" s="6"/>
      <c r="O105" s="6"/>
      <c r="P105" s="6"/>
      <c r="Q105" s="6"/>
      <c r="R105" s="6"/>
      <c r="S105" s="6"/>
      <c r="T105" s="6"/>
      <c r="U105" s="6"/>
      <c r="V105" s="6"/>
      <c r="W105" s="6"/>
      <c r="X105" s="6"/>
      <c r="Y105" s="6"/>
    </row>
    <row r="106" spans="10:25" x14ac:dyDescent="0.35">
      <c r="J106" s="6"/>
      <c r="K106" s="6"/>
      <c r="L106" s="6"/>
      <c r="M106" s="6"/>
      <c r="N106" s="6"/>
      <c r="O106" s="6"/>
      <c r="P106" s="6"/>
      <c r="Q106" s="6"/>
      <c r="R106" s="6"/>
      <c r="S106" s="6"/>
      <c r="T106" s="6"/>
      <c r="U106" s="6"/>
      <c r="V106" s="6"/>
      <c r="W106" s="6"/>
      <c r="X106" s="6"/>
      <c r="Y106" s="6"/>
    </row>
    <row r="107" spans="10:25" x14ac:dyDescent="0.35">
      <c r="J107" s="6"/>
      <c r="K107" s="6"/>
      <c r="L107" s="6"/>
      <c r="M107" s="6"/>
      <c r="N107" s="6"/>
      <c r="O107" s="6"/>
      <c r="P107" s="6"/>
      <c r="Q107" s="6"/>
      <c r="R107" s="6"/>
      <c r="S107" s="6"/>
      <c r="T107" s="6"/>
      <c r="U107" s="6"/>
      <c r="V107" s="6"/>
      <c r="W107" s="6"/>
      <c r="X107" s="6"/>
      <c r="Y107" s="6"/>
    </row>
    <row r="108" spans="10:25" x14ac:dyDescent="0.35">
      <c r="J108" s="6"/>
      <c r="K108" s="6"/>
      <c r="L108" s="6"/>
      <c r="M108" s="6"/>
      <c r="N108" s="6"/>
      <c r="O108" s="6"/>
      <c r="P108" s="6"/>
      <c r="Q108" s="6"/>
      <c r="R108" s="6"/>
      <c r="S108" s="6"/>
      <c r="T108" s="6"/>
      <c r="U108" s="6"/>
      <c r="V108" s="6"/>
      <c r="W108" s="6"/>
      <c r="X108" s="6"/>
      <c r="Y108" s="6"/>
    </row>
    <row r="109" spans="10:25" x14ac:dyDescent="0.35">
      <c r="J109" s="6"/>
      <c r="K109" s="6"/>
      <c r="L109" s="6"/>
      <c r="M109" s="6"/>
      <c r="N109" s="6"/>
      <c r="O109" s="6"/>
      <c r="P109" s="6"/>
      <c r="Q109" s="6"/>
      <c r="R109" s="6"/>
      <c r="S109" s="6"/>
      <c r="T109" s="6"/>
      <c r="U109" s="6"/>
      <c r="V109" s="6"/>
      <c r="W109" s="6"/>
      <c r="X109" s="6"/>
      <c r="Y109" s="6"/>
    </row>
    <row r="110" spans="10:25" x14ac:dyDescent="0.35">
      <c r="J110" s="6"/>
      <c r="K110" s="6"/>
      <c r="L110" s="6"/>
      <c r="M110" s="6"/>
      <c r="N110" s="6"/>
      <c r="O110" s="6"/>
      <c r="P110" s="6"/>
      <c r="Q110" s="6"/>
      <c r="R110" s="6"/>
      <c r="S110" s="6"/>
      <c r="T110" s="6"/>
      <c r="U110" s="6"/>
      <c r="V110" s="6"/>
      <c r="W110" s="6"/>
      <c r="X110" s="6"/>
      <c r="Y110" s="6"/>
    </row>
    <row r="111" spans="10:25" x14ac:dyDescent="0.35">
      <c r="J111" s="6"/>
      <c r="K111" s="6"/>
      <c r="L111" s="6"/>
      <c r="M111" s="6"/>
      <c r="N111" s="6"/>
      <c r="O111" s="6"/>
      <c r="P111" s="6"/>
      <c r="Q111" s="6"/>
      <c r="R111" s="6"/>
      <c r="S111" s="6"/>
      <c r="T111" s="6"/>
      <c r="U111" s="6"/>
      <c r="V111" s="6"/>
      <c r="W111" s="6"/>
      <c r="X111" s="6"/>
      <c r="Y111" s="6"/>
    </row>
    <row r="112" spans="10:25" x14ac:dyDescent="0.35">
      <c r="J112" s="6"/>
      <c r="K112" s="6"/>
      <c r="L112" s="6"/>
      <c r="M112" s="6"/>
      <c r="N112" s="6"/>
      <c r="O112" s="6"/>
      <c r="P112" s="6"/>
      <c r="Q112" s="6"/>
      <c r="R112" s="6"/>
      <c r="S112" s="6"/>
      <c r="T112" s="6"/>
      <c r="U112" s="6"/>
      <c r="V112" s="6"/>
      <c r="W112" s="6"/>
      <c r="X112" s="6"/>
      <c r="Y112" s="6"/>
    </row>
  </sheetData>
  <mergeCells count="1">
    <mergeCell ref="D1:AS5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344"/>
  <sheetViews>
    <sheetView topLeftCell="A51" zoomScale="55" zoomScaleNormal="55" workbookViewId="0">
      <selection activeCell="D66" sqref="D66"/>
    </sheetView>
  </sheetViews>
  <sheetFormatPr defaultRowHeight="14.5" x14ac:dyDescent="0.35"/>
  <cols>
    <col min="1" max="1" width="14.453125" customWidth="1"/>
    <col min="2" max="2" width="20.453125" customWidth="1"/>
    <col min="3" max="3" width="22.54296875" customWidth="1"/>
    <col min="4" max="4" width="22.90625" customWidth="1"/>
    <col min="5" max="5" width="20.453125" customWidth="1"/>
    <col min="6" max="6" width="19.6328125" bestFit="1" customWidth="1"/>
    <col min="10" max="10" width="14.453125" customWidth="1"/>
    <col min="11" max="11" width="18.81640625" customWidth="1"/>
    <col min="12" max="12" width="23.08984375" customWidth="1"/>
    <col min="13" max="13" width="20.08984375" customWidth="1"/>
    <col min="14" max="14" width="18.90625" customWidth="1"/>
    <col min="15" max="15" width="14.453125" customWidth="1"/>
    <col min="16" max="16" width="24.26953125" bestFit="1" customWidth="1"/>
    <col min="17" max="17" width="21.90625" bestFit="1" customWidth="1"/>
  </cols>
  <sheetData>
    <row r="3" spans="1:17" x14ac:dyDescent="0.35">
      <c r="A3" s="11" t="s">
        <v>2014</v>
      </c>
      <c r="B3" t="s">
        <v>2016</v>
      </c>
      <c r="C3" t="s">
        <v>2021</v>
      </c>
      <c r="D3" t="s">
        <v>2022</v>
      </c>
      <c r="E3" t="s">
        <v>2024</v>
      </c>
    </row>
    <row r="4" spans="1:17" x14ac:dyDescent="0.35">
      <c r="A4" s="12" t="s">
        <v>195</v>
      </c>
      <c r="B4" s="14">
        <v>281</v>
      </c>
      <c r="C4" s="14">
        <v>641</v>
      </c>
      <c r="D4" s="14">
        <v>223</v>
      </c>
      <c r="E4" s="14">
        <v>695</v>
      </c>
    </row>
    <row r="5" spans="1:17" x14ac:dyDescent="0.35">
      <c r="A5" s="12" t="s">
        <v>224</v>
      </c>
      <c r="B5" s="14">
        <v>392</v>
      </c>
      <c r="C5" s="14">
        <v>845</v>
      </c>
      <c r="D5" s="14">
        <v>405</v>
      </c>
      <c r="E5" s="14">
        <v>796</v>
      </c>
    </row>
    <row r="6" spans="1:17" x14ac:dyDescent="0.35">
      <c r="A6" s="12" t="s">
        <v>498</v>
      </c>
      <c r="B6" s="14">
        <v>127</v>
      </c>
      <c r="C6" s="14">
        <v>339</v>
      </c>
      <c r="D6" s="14">
        <v>112</v>
      </c>
      <c r="E6" s="14">
        <v>309</v>
      </c>
    </row>
    <row r="7" spans="1:17" x14ac:dyDescent="0.35">
      <c r="A7" s="12" t="s">
        <v>176</v>
      </c>
      <c r="B7" s="14">
        <v>179</v>
      </c>
      <c r="C7" s="14">
        <v>392</v>
      </c>
      <c r="D7" s="14">
        <v>164</v>
      </c>
      <c r="E7" s="14">
        <v>428</v>
      </c>
    </row>
    <row r="8" spans="1:17" x14ac:dyDescent="0.35">
      <c r="A8" s="12" t="s">
        <v>53</v>
      </c>
      <c r="B8" s="14">
        <v>103</v>
      </c>
      <c r="C8" s="14">
        <v>256</v>
      </c>
      <c r="D8" s="14">
        <v>80</v>
      </c>
      <c r="E8" s="14">
        <v>231</v>
      </c>
    </row>
    <row r="9" spans="1:17" x14ac:dyDescent="0.35">
      <c r="A9" s="12" t="s">
        <v>102</v>
      </c>
      <c r="B9" s="14">
        <v>478</v>
      </c>
      <c r="C9" s="14">
        <v>873</v>
      </c>
      <c r="D9" s="14">
        <v>353</v>
      </c>
      <c r="E9" s="14">
        <v>838</v>
      </c>
    </row>
    <row r="10" spans="1:17" x14ac:dyDescent="0.35">
      <c r="A10" s="12" t="s">
        <v>2015</v>
      </c>
      <c r="B10" s="14">
        <v>1560</v>
      </c>
      <c r="C10" s="14">
        <v>3346</v>
      </c>
      <c r="D10" s="14">
        <v>1337</v>
      </c>
      <c r="E10" s="14">
        <v>3297</v>
      </c>
    </row>
    <row r="12" spans="1:17" x14ac:dyDescent="0.35">
      <c r="J12" s="12"/>
      <c r="K12" s="14"/>
      <c r="L12" s="14"/>
      <c r="M12" s="14"/>
      <c r="N12" s="14"/>
      <c r="O12" s="14"/>
      <c r="P12" s="14"/>
      <c r="Q12" s="14"/>
    </row>
    <row r="23" spans="1:5" x14ac:dyDescent="0.35">
      <c r="A23" s="11" t="s">
        <v>2014</v>
      </c>
      <c r="B23" t="s">
        <v>2018</v>
      </c>
      <c r="C23" t="s">
        <v>2020</v>
      </c>
      <c r="D23" t="s">
        <v>2017</v>
      </c>
      <c r="E23" t="s">
        <v>2019</v>
      </c>
    </row>
    <row r="24" spans="1:5" x14ac:dyDescent="0.35">
      <c r="A24" s="12" t="s">
        <v>108</v>
      </c>
      <c r="B24" s="14">
        <v>14</v>
      </c>
      <c r="C24" s="14">
        <v>28.5</v>
      </c>
      <c r="D24" s="14">
        <v>575248</v>
      </c>
      <c r="E24" s="14">
        <v>14</v>
      </c>
    </row>
    <row r="25" spans="1:5" x14ac:dyDescent="0.35">
      <c r="A25" s="12" t="s">
        <v>56</v>
      </c>
      <c r="B25" s="14">
        <v>18</v>
      </c>
      <c r="C25" s="14">
        <v>30.299999999999997</v>
      </c>
      <c r="D25" s="14">
        <v>550568</v>
      </c>
      <c r="E25" s="14">
        <v>14</v>
      </c>
    </row>
    <row r="26" spans="1:5" x14ac:dyDescent="0.35">
      <c r="A26" s="12" t="s">
        <v>159</v>
      </c>
      <c r="B26" s="14">
        <v>22</v>
      </c>
      <c r="C26" s="14">
        <v>39.800000000000004</v>
      </c>
      <c r="D26" s="14">
        <v>566336</v>
      </c>
      <c r="E26" s="14">
        <v>14</v>
      </c>
    </row>
    <row r="27" spans="1:5" x14ac:dyDescent="0.35">
      <c r="A27" s="12" t="s">
        <v>21</v>
      </c>
      <c r="B27" s="14">
        <v>34</v>
      </c>
      <c r="C27" s="14">
        <v>39.099999999999994</v>
      </c>
      <c r="D27" s="14">
        <v>998159</v>
      </c>
      <c r="E27" s="14">
        <v>24</v>
      </c>
    </row>
    <row r="28" spans="1:5" x14ac:dyDescent="0.35">
      <c r="A28" s="12" t="s">
        <v>52</v>
      </c>
      <c r="B28" s="14">
        <v>36</v>
      </c>
      <c r="C28" s="14">
        <v>45.800000000000004</v>
      </c>
      <c r="D28" s="14">
        <v>807176</v>
      </c>
      <c r="E28" s="14">
        <v>22</v>
      </c>
    </row>
    <row r="29" spans="1:5" x14ac:dyDescent="0.35">
      <c r="A29" s="12" t="s">
        <v>45</v>
      </c>
      <c r="B29" s="14">
        <v>27</v>
      </c>
      <c r="C29" s="14">
        <v>51.6</v>
      </c>
      <c r="D29" s="14">
        <v>863148</v>
      </c>
      <c r="E29" s="14">
        <v>20</v>
      </c>
    </row>
    <row r="30" spans="1:5" x14ac:dyDescent="0.35">
      <c r="A30" s="12" t="s">
        <v>69</v>
      </c>
      <c r="B30" s="14">
        <v>32</v>
      </c>
      <c r="C30" s="14">
        <v>47.5</v>
      </c>
      <c r="D30" s="14">
        <v>821658</v>
      </c>
      <c r="E30" s="14">
        <v>22</v>
      </c>
    </row>
    <row r="31" spans="1:5" x14ac:dyDescent="0.35">
      <c r="A31" s="12" t="s">
        <v>40</v>
      </c>
      <c r="B31" s="14">
        <v>27</v>
      </c>
      <c r="C31" s="14">
        <v>32.300000000000004</v>
      </c>
      <c r="D31" s="14">
        <v>716814</v>
      </c>
      <c r="E31" s="14">
        <v>22</v>
      </c>
    </row>
    <row r="32" spans="1:5" x14ac:dyDescent="0.35">
      <c r="A32" s="12" t="s">
        <v>27</v>
      </c>
      <c r="B32" s="14">
        <v>42</v>
      </c>
      <c r="C32" s="14">
        <v>69.3</v>
      </c>
      <c r="D32" s="14">
        <v>935603</v>
      </c>
      <c r="E32" s="14">
        <v>26</v>
      </c>
    </row>
    <row r="33" spans="1:13" x14ac:dyDescent="0.35">
      <c r="A33" s="12" t="s">
        <v>36</v>
      </c>
      <c r="B33" s="14">
        <v>40</v>
      </c>
      <c r="C33" s="14">
        <v>38.699999999999996</v>
      </c>
      <c r="D33" s="14">
        <v>861583</v>
      </c>
      <c r="E33" s="14">
        <v>20</v>
      </c>
    </row>
    <row r="34" spans="1:13" x14ac:dyDescent="0.35">
      <c r="A34" s="12" t="s">
        <v>2015</v>
      </c>
      <c r="B34" s="14">
        <v>292</v>
      </c>
      <c r="C34" s="14">
        <v>422.90000000000003</v>
      </c>
      <c r="D34" s="14">
        <v>7696293</v>
      </c>
      <c r="E34" s="14">
        <v>198</v>
      </c>
    </row>
    <row r="36" spans="1:13" x14ac:dyDescent="0.35">
      <c r="J36" s="12"/>
      <c r="K36" s="14"/>
      <c r="L36" s="14"/>
      <c r="M36" s="14"/>
    </row>
    <row r="37" spans="1:13" x14ac:dyDescent="0.35">
      <c r="J37" s="12"/>
      <c r="K37" s="14"/>
      <c r="L37" s="14"/>
      <c r="M37" s="14"/>
    </row>
    <row r="38" spans="1:13" x14ac:dyDescent="0.35">
      <c r="J38" s="12"/>
      <c r="K38" s="14"/>
      <c r="L38" s="14"/>
      <c r="M38" s="14"/>
    </row>
    <row r="39" spans="1:13" x14ac:dyDescent="0.35">
      <c r="J39" s="12"/>
      <c r="K39" s="14"/>
      <c r="L39" s="14"/>
      <c r="M39" s="14"/>
    </row>
    <row r="40" spans="1:13" x14ac:dyDescent="0.35">
      <c r="A40" s="11" t="s">
        <v>2014</v>
      </c>
      <c r="B40" t="s">
        <v>2019</v>
      </c>
      <c r="C40" t="s">
        <v>2020</v>
      </c>
      <c r="D40" t="s">
        <v>2018</v>
      </c>
      <c r="J40" s="12"/>
      <c r="K40" s="14"/>
      <c r="L40" s="14"/>
      <c r="M40" s="14"/>
    </row>
    <row r="41" spans="1:13" x14ac:dyDescent="0.35">
      <c r="A41" s="12" t="s">
        <v>935</v>
      </c>
      <c r="B41" s="14">
        <v>9</v>
      </c>
      <c r="C41" s="14">
        <v>8.9</v>
      </c>
      <c r="D41" s="14">
        <v>7</v>
      </c>
      <c r="J41" s="12"/>
      <c r="K41" s="14"/>
      <c r="L41" s="14"/>
      <c r="M41" s="14"/>
    </row>
    <row r="42" spans="1:13" x14ac:dyDescent="0.35">
      <c r="A42" s="13" t="s">
        <v>936</v>
      </c>
      <c r="B42" s="14">
        <v>9</v>
      </c>
      <c r="C42" s="14">
        <v>8.9</v>
      </c>
      <c r="D42" s="14">
        <v>7</v>
      </c>
      <c r="J42" s="12"/>
      <c r="K42" s="14"/>
      <c r="L42" s="14"/>
      <c r="M42" s="14"/>
    </row>
    <row r="43" spans="1:13" x14ac:dyDescent="0.35">
      <c r="A43" s="12" t="s">
        <v>933</v>
      </c>
      <c r="B43" s="14">
        <v>13</v>
      </c>
      <c r="C43" s="14">
        <v>16.200000000000003</v>
      </c>
      <c r="D43" s="14">
        <v>7</v>
      </c>
      <c r="J43" s="12"/>
      <c r="K43" s="14"/>
      <c r="L43" s="14"/>
      <c r="M43" s="14"/>
    </row>
    <row r="44" spans="1:13" x14ac:dyDescent="0.35">
      <c r="A44" s="13" t="s">
        <v>936</v>
      </c>
      <c r="B44" s="14">
        <v>13</v>
      </c>
      <c r="C44" s="14">
        <v>16.200000000000003</v>
      </c>
      <c r="D44" s="14">
        <v>7</v>
      </c>
      <c r="J44" s="12"/>
      <c r="K44" s="14"/>
      <c r="L44" s="14"/>
      <c r="M44" s="14"/>
    </row>
    <row r="45" spans="1:13" x14ac:dyDescent="0.35">
      <c r="A45" s="12" t="s">
        <v>2015</v>
      </c>
      <c r="B45" s="14">
        <v>22</v>
      </c>
      <c r="C45" s="14">
        <v>25.1</v>
      </c>
      <c r="D45" s="14">
        <v>14</v>
      </c>
      <c r="J45" s="12"/>
      <c r="K45" s="14"/>
      <c r="L45" s="14"/>
      <c r="M45" s="14"/>
    </row>
    <row r="46" spans="1:13" x14ac:dyDescent="0.35">
      <c r="J46" s="12"/>
      <c r="K46" s="14"/>
      <c r="L46" s="14"/>
      <c r="M46" s="14"/>
    </row>
    <row r="61" spans="1:5" x14ac:dyDescent="0.35">
      <c r="A61" s="11" t="s">
        <v>2014</v>
      </c>
      <c r="B61" t="s">
        <v>2025</v>
      </c>
      <c r="C61" t="s">
        <v>2017</v>
      </c>
      <c r="D61" t="s">
        <v>2026</v>
      </c>
      <c r="E61" t="s">
        <v>2027</v>
      </c>
    </row>
    <row r="62" spans="1:5" x14ac:dyDescent="0.35">
      <c r="A62" s="12" t="s">
        <v>84</v>
      </c>
      <c r="B62" s="14">
        <v>8.3000000000000007</v>
      </c>
      <c r="C62" s="14">
        <v>196517</v>
      </c>
      <c r="D62" s="14">
        <v>2637553</v>
      </c>
      <c r="E62" s="14">
        <v>8.1</v>
      </c>
    </row>
    <row r="63" spans="1:5" x14ac:dyDescent="0.35">
      <c r="A63" s="12" t="s">
        <v>114</v>
      </c>
      <c r="B63" s="14">
        <v>4.5999999999999996</v>
      </c>
      <c r="C63" s="14">
        <v>89524</v>
      </c>
      <c r="D63" s="14">
        <v>1137671</v>
      </c>
      <c r="E63" s="14">
        <v>6.8</v>
      </c>
    </row>
    <row r="64" spans="1:5" x14ac:dyDescent="0.35">
      <c r="A64" s="12" t="s">
        <v>41</v>
      </c>
      <c r="B64" s="14">
        <v>13.5</v>
      </c>
      <c r="C64" s="14">
        <v>124064</v>
      </c>
      <c r="D64" s="14">
        <v>1699548</v>
      </c>
      <c r="E64" s="14">
        <v>22.200000000000003</v>
      </c>
    </row>
    <row r="65" spans="1:5" x14ac:dyDescent="0.35">
      <c r="A65" s="12" t="s">
        <v>53</v>
      </c>
      <c r="B65" s="14">
        <v>11.4</v>
      </c>
      <c r="C65" s="14">
        <v>142773</v>
      </c>
      <c r="D65" s="14">
        <v>1990546</v>
      </c>
      <c r="E65" s="14">
        <v>18.700000000000003</v>
      </c>
    </row>
    <row r="66" spans="1:5" x14ac:dyDescent="0.35">
      <c r="A66" s="12" t="s">
        <v>163</v>
      </c>
      <c r="B66" s="14">
        <v>21.200000000000003</v>
      </c>
      <c r="C66" s="14">
        <v>390856</v>
      </c>
      <c r="D66" s="14">
        <v>5198643</v>
      </c>
      <c r="E66" s="14">
        <v>41.5</v>
      </c>
    </row>
    <row r="67" spans="1:5" x14ac:dyDescent="0.35">
      <c r="A67" s="12" t="s">
        <v>2015</v>
      </c>
      <c r="B67" s="14">
        <v>59</v>
      </c>
      <c r="C67" s="14">
        <v>943734</v>
      </c>
      <c r="D67" s="14">
        <v>12663961</v>
      </c>
      <c r="E67" s="14">
        <v>97.300000000000011</v>
      </c>
    </row>
    <row r="73" spans="1:5" ht="14.5" customHeight="1" x14ac:dyDescent="0.35"/>
    <row r="80" spans="1:5" x14ac:dyDescent="0.35">
      <c r="A80" s="11" t="s">
        <v>2014</v>
      </c>
      <c r="B80" t="s">
        <v>2028</v>
      </c>
    </row>
    <row r="81" spans="1:2" x14ac:dyDescent="0.35">
      <c r="A81" s="12" t="s">
        <v>1718</v>
      </c>
      <c r="B81" s="14">
        <v>18</v>
      </c>
    </row>
    <row r="82" spans="1:2" x14ac:dyDescent="0.35">
      <c r="A82" s="13" t="s">
        <v>1670</v>
      </c>
      <c r="B82" s="14">
        <v>10</v>
      </c>
    </row>
    <row r="83" spans="1:2" x14ac:dyDescent="0.35">
      <c r="A83" s="13" t="s">
        <v>1678</v>
      </c>
      <c r="B83" s="14">
        <v>3</v>
      </c>
    </row>
    <row r="84" spans="1:2" x14ac:dyDescent="0.35">
      <c r="A84" s="13" t="s">
        <v>1671</v>
      </c>
      <c r="B84" s="14">
        <v>5</v>
      </c>
    </row>
    <row r="85" spans="1:2" x14ac:dyDescent="0.35">
      <c r="A85" s="12" t="s">
        <v>2015</v>
      </c>
      <c r="B85" s="14">
        <v>18</v>
      </c>
    </row>
    <row r="186" spans="1:1" x14ac:dyDescent="0.35">
      <c r="A186" s="16"/>
    </row>
    <row r="187" spans="1:1" x14ac:dyDescent="0.35">
      <c r="A187" s="17"/>
    </row>
    <row r="188" spans="1:1" x14ac:dyDescent="0.35">
      <c r="A188" s="18"/>
    </row>
    <row r="189" spans="1:1" x14ac:dyDescent="0.35">
      <c r="A189" s="19"/>
    </row>
    <row r="190" spans="1:1" x14ac:dyDescent="0.35">
      <c r="A190" s="20"/>
    </row>
    <row r="191" spans="1:1" x14ac:dyDescent="0.35">
      <c r="A191" s="21"/>
    </row>
    <row r="192" spans="1:1" x14ac:dyDescent="0.35">
      <c r="A192" s="15"/>
    </row>
    <row r="193" spans="1:1" x14ac:dyDescent="0.35">
      <c r="A193" s="16"/>
    </row>
    <row r="194" spans="1:1" x14ac:dyDescent="0.35">
      <c r="A194" s="17"/>
    </row>
    <row r="195" spans="1:1" x14ac:dyDescent="0.35">
      <c r="A195" s="18"/>
    </row>
    <row r="196" spans="1:1" x14ac:dyDescent="0.35">
      <c r="A196" s="19"/>
    </row>
    <row r="197" spans="1:1" x14ac:dyDescent="0.35">
      <c r="A197" s="20"/>
    </row>
    <row r="198" spans="1:1" x14ac:dyDescent="0.35">
      <c r="A198" s="21"/>
    </row>
    <row r="199" spans="1:1" x14ac:dyDescent="0.35">
      <c r="A199" s="13"/>
    </row>
    <row r="200" spans="1:1" x14ac:dyDescent="0.35">
      <c r="A200" s="15"/>
    </row>
    <row r="201" spans="1:1" x14ac:dyDescent="0.35">
      <c r="A201" s="16"/>
    </row>
    <row r="202" spans="1:1" x14ac:dyDescent="0.35">
      <c r="A202" s="17"/>
    </row>
    <row r="203" spans="1:1" x14ac:dyDescent="0.35">
      <c r="A203" s="18"/>
    </row>
    <row r="204" spans="1:1" x14ac:dyDescent="0.35">
      <c r="A204" s="19"/>
    </row>
    <row r="205" spans="1:1" x14ac:dyDescent="0.35">
      <c r="A205" s="20"/>
    </row>
    <row r="206" spans="1:1" x14ac:dyDescent="0.35">
      <c r="A206" s="21"/>
    </row>
    <row r="207" spans="1:1" x14ac:dyDescent="0.35">
      <c r="A207" s="13"/>
    </row>
    <row r="208" spans="1:1" x14ac:dyDescent="0.35">
      <c r="A208" s="15"/>
    </row>
    <row r="209" spans="1:1" x14ac:dyDescent="0.35">
      <c r="A209" s="16"/>
    </row>
    <row r="210" spans="1:1" x14ac:dyDescent="0.35">
      <c r="A210" s="17"/>
    </row>
    <row r="211" spans="1:1" x14ac:dyDescent="0.35">
      <c r="A211" s="18"/>
    </row>
    <row r="212" spans="1:1" x14ac:dyDescent="0.35">
      <c r="A212" s="19"/>
    </row>
    <row r="213" spans="1:1" x14ac:dyDescent="0.35">
      <c r="A213" s="20"/>
    </row>
    <row r="214" spans="1:1" x14ac:dyDescent="0.35">
      <c r="A214" s="21"/>
    </row>
    <row r="215" spans="1:1" x14ac:dyDescent="0.35">
      <c r="A215" s="13"/>
    </row>
    <row r="216" spans="1:1" x14ac:dyDescent="0.35">
      <c r="A216" s="15"/>
    </row>
    <row r="217" spans="1:1" x14ac:dyDescent="0.35">
      <c r="A217" s="16"/>
    </row>
    <row r="218" spans="1:1" x14ac:dyDescent="0.35">
      <c r="A218" s="17"/>
    </row>
    <row r="219" spans="1:1" x14ac:dyDescent="0.35">
      <c r="A219" s="18"/>
    </row>
    <row r="220" spans="1:1" x14ac:dyDescent="0.35">
      <c r="A220" s="19"/>
    </row>
    <row r="221" spans="1:1" x14ac:dyDescent="0.35">
      <c r="A221" s="20"/>
    </row>
    <row r="222" spans="1:1" x14ac:dyDescent="0.35">
      <c r="A222" s="21"/>
    </row>
    <row r="223" spans="1:1" x14ac:dyDescent="0.35">
      <c r="A223" s="13"/>
    </row>
    <row r="224" spans="1:1" x14ac:dyDescent="0.35">
      <c r="A224" s="15"/>
    </row>
    <row r="225" spans="1:1" x14ac:dyDescent="0.35">
      <c r="A225" s="16"/>
    </row>
    <row r="226" spans="1:1" x14ac:dyDescent="0.35">
      <c r="A226" s="17"/>
    </row>
    <row r="227" spans="1:1" x14ac:dyDescent="0.35">
      <c r="A227" s="18"/>
    </row>
    <row r="228" spans="1:1" x14ac:dyDescent="0.35">
      <c r="A228" s="19"/>
    </row>
    <row r="229" spans="1:1" x14ac:dyDescent="0.35">
      <c r="A229" s="20"/>
    </row>
    <row r="230" spans="1:1" x14ac:dyDescent="0.35">
      <c r="A230" s="21"/>
    </row>
    <row r="231" spans="1:1" x14ac:dyDescent="0.35">
      <c r="A231" s="13"/>
    </row>
    <row r="232" spans="1:1" x14ac:dyDescent="0.35">
      <c r="A232" s="15"/>
    </row>
    <row r="233" spans="1:1" x14ac:dyDescent="0.35">
      <c r="A233" s="16"/>
    </row>
    <row r="234" spans="1:1" x14ac:dyDescent="0.35">
      <c r="A234" s="17"/>
    </row>
    <row r="235" spans="1:1" x14ac:dyDescent="0.35">
      <c r="A235" s="18"/>
    </row>
    <row r="236" spans="1:1" x14ac:dyDescent="0.35">
      <c r="A236" s="19"/>
    </row>
    <row r="237" spans="1:1" x14ac:dyDescent="0.35">
      <c r="A237" s="20"/>
    </row>
    <row r="238" spans="1:1" x14ac:dyDescent="0.35">
      <c r="A238" s="21"/>
    </row>
    <row r="239" spans="1:1" x14ac:dyDescent="0.35">
      <c r="A239" s="16"/>
    </row>
    <row r="240" spans="1:1" x14ac:dyDescent="0.35">
      <c r="A240" s="17"/>
    </row>
    <row r="241" spans="1:1" x14ac:dyDescent="0.35">
      <c r="A241" s="18"/>
    </row>
    <row r="242" spans="1:1" x14ac:dyDescent="0.35">
      <c r="A242" s="19"/>
    </row>
    <row r="243" spans="1:1" x14ac:dyDescent="0.35">
      <c r="A243" s="20"/>
    </row>
    <row r="244" spans="1:1" x14ac:dyDescent="0.35">
      <c r="A244" s="21"/>
    </row>
    <row r="245" spans="1:1" x14ac:dyDescent="0.35">
      <c r="A245" s="13"/>
    </row>
    <row r="246" spans="1:1" x14ac:dyDescent="0.35">
      <c r="A246" s="15"/>
    </row>
    <row r="247" spans="1:1" x14ac:dyDescent="0.35">
      <c r="A247" s="16"/>
    </row>
    <row r="248" spans="1:1" x14ac:dyDescent="0.35">
      <c r="A248" s="17"/>
    </row>
    <row r="249" spans="1:1" x14ac:dyDescent="0.35">
      <c r="A249" s="18"/>
    </row>
    <row r="250" spans="1:1" x14ac:dyDescent="0.35">
      <c r="A250" s="19"/>
    </row>
    <row r="251" spans="1:1" x14ac:dyDescent="0.35">
      <c r="A251" s="20"/>
    </row>
    <row r="252" spans="1:1" x14ac:dyDescent="0.35">
      <c r="A252" s="21"/>
    </row>
    <row r="253" spans="1:1" x14ac:dyDescent="0.35">
      <c r="A253" s="13"/>
    </row>
    <row r="254" spans="1:1" x14ac:dyDescent="0.35">
      <c r="A254" s="15"/>
    </row>
    <row r="255" spans="1:1" x14ac:dyDescent="0.35">
      <c r="A255" s="16"/>
    </row>
    <row r="256" spans="1:1" x14ac:dyDescent="0.35">
      <c r="A256" s="17"/>
    </row>
    <row r="257" spans="1:1" x14ac:dyDescent="0.35">
      <c r="A257" s="18"/>
    </row>
    <row r="258" spans="1:1" x14ac:dyDescent="0.35">
      <c r="A258" s="19"/>
    </row>
    <row r="259" spans="1:1" x14ac:dyDescent="0.35">
      <c r="A259" s="20"/>
    </row>
    <row r="260" spans="1:1" x14ac:dyDescent="0.35">
      <c r="A260" s="21"/>
    </row>
    <row r="261" spans="1:1" x14ac:dyDescent="0.35">
      <c r="A261" s="15"/>
    </row>
    <row r="262" spans="1:1" x14ac:dyDescent="0.35">
      <c r="A262" s="16"/>
    </row>
    <row r="263" spans="1:1" x14ac:dyDescent="0.35">
      <c r="A263" s="17"/>
    </row>
    <row r="264" spans="1:1" x14ac:dyDescent="0.35">
      <c r="A264" s="18"/>
    </row>
    <row r="265" spans="1:1" x14ac:dyDescent="0.35">
      <c r="A265" s="19"/>
    </row>
    <row r="266" spans="1:1" x14ac:dyDescent="0.35">
      <c r="A266" s="20"/>
    </row>
    <row r="267" spans="1:1" x14ac:dyDescent="0.35">
      <c r="A267" s="21"/>
    </row>
    <row r="268" spans="1:1" x14ac:dyDescent="0.35">
      <c r="A268" s="13"/>
    </row>
    <row r="269" spans="1:1" x14ac:dyDescent="0.35">
      <c r="A269" s="15"/>
    </row>
    <row r="270" spans="1:1" x14ac:dyDescent="0.35">
      <c r="A270" s="16"/>
    </row>
    <row r="271" spans="1:1" x14ac:dyDescent="0.35">
      <c r="A271" s="17"/>
    </row>
    <row r="272" spans="1:1" x14ac:dyDescent="0.35">
      <c r="A272" s="18"/>
    </row>
    <row r="273" spans="1:1" x14ac:dyDescent="0.35">
      <c r="A273" s="19"/>
    </row>
    <row r="274" spans="1:1" x14ac:dyDescent="0.35">
      <c r="A274" s="20"/>
    </row>
    <row r="275" spans="1:1" x14ac:dyDescent="0.35">
      <c r="A275" s="21"/>
    </row>
    <row r="276" spans="1:1" x14ac:dyDescent="0.35">
      <c r="A276" s="13"/>
    </row>
    <row r="277" spans="1:1" x14ac:dyDescent="0.35">
      <c r="A277" s="15"/>
    </row>
    <row r="278" spans="1:1" x14ac:dyDescent="0.35">
      <c r="A278" s="16"/>
    </row>
    <row r="279" spans="1:1" x14ac:dyDescent="0.35">
      <c r="A279" s="17"/>
    </row>
    <row r="280" spans="1:1" x14ac:dyDescent="0.35">
      <c r="A280" s="18"/>
    </row>
    <row r="281" spans="1:1" x14ac:dyDescent="0.35">
      <c r="A281" s="19"/>
    </row>
    <row r="282" spans="1:1" x14ac:dyDescent="0.35">
      <c r="A282" s="20"/>
    </row>
    <row r="283" spans="1:1" x14ac:dyDescent="0.35">
      <c r="A283" s="21"/>
    </row>
    <row r="284" spans="1:1" x14ac:dyDescent="0.35">
      <c r="A284" s="13"/>
    </row>
    <row r="285" spans="1:1" x14ac:dyDescent="0.35">
      <c r="A285" s="15"/>
    </row>
    <row r="286" spans="1:1" x14ac:dyDescent="0.35">
      <c r="A286" s="16"/>
    </row>
    <row r="287" spans="1:1" x14ac:dyDescent="0.35">
      <c r="A287" s="17"/>
    </row>
    <row r="288" spans="1:1" x14ac:dyDescent="0.35">
      <c r="A288" s="18"/>
    </row>
    <row r="289" spans="1:1" x14ac:dyDescent="0.35">
      <c r="A289" s="19"/>
    </row>
    <row r="290" spans="1:1" x14ac:dyDescent="0.35">
      <c r="A290" s="20"/>
    </row>
    <row r="291" spans="1:1" x14ac:dyDescent="0.35">
      <c r="A291" s="21"/>
    </row>
    <row r="292" spans="1:1" x14ac:dyDescent="0.35">
      <c r="A292" s="13"/>
    </row>
    <row r="293" spans="1:1" x14ac:dyDescent="0.35">
      <c r="A293" s="15"/>
    </row>
    <row r="294" spans="1:1" x14ac:dyDescent="0.35">
      <c r="A294" s="16"/>
    </row>
    <row r="295" spans="1:1" x14ac:dyDescent="0.35">
      <c r="A295" s="17"/>
    </row>
    <row r="296" spans="1:1" x14ac:dyDescent="0.35">
      <c r="A296" s="18"/>
    </row>
    <row r="297" spans="1:1" x14ac:dyDescent="0.35">
      <c r="A297" s="19"/>
    </row>
    <row r="298" spans="1:1" x14ac:dyDescent="0.35">
      <c r="A298" s="20"/>
    </row>
    <row r="299" spans="1:1" x14ac:dyDescent="0.35">
      <c r="A299" s="21"/>
    </row>
    <row r="300" spans="1:1" x14ac:dyDescent="0.35">
      <c r="A300" s="13"/>
    </row>
    <row r="301" spans="1:1" x14ac:dyDescent="0.35">
      <c r="A301" s="15"/>
    </row>
    <row r="302" spans="1:1" x14ac:dyDescent="0.35">
      <c r="A302" s="16"/>
    </row>
    <row r="303" spans="1:1" x14ac:dyDescent="0.35">
      <c r="A303" s="17"/>
    </row>
    <row r="304" spans="1:1" x14ac:dyDescent="0.35">
      <c r="A304" s="18"/>
    </row>
    <row r="305" spans="1:1" x14ac:dyDescent="0.35">
      <c r="A305" s="19"/>
    </row>
    <row r="306" spans="1:1" x14ac:dyDescent="0.35">
      <c r="A306" s="20"/>
    </row>
    <row r="307" spans="1:1" x14ac:dyDescent="0.35">
      <c r="A307" s="21"/>
    </row>
    <row r="308" spans="1:1" x14ac:dyDescent="0.35">
      <c r="A308" s="16"/>
    </row>
    <row r="309" spans="1:1" x14ac:dyDescent="0.35">
      <c r="A309" s="17"/>
    </row>
    <row r="310" spans="1:1" x14ac:dyDescent="0.35">
      <c r="A310" s="18"/>
    </row>
    <row r="311" spans="1:1" x14ac:dyDescent="0.35">
      <c r="A311" s="19"/>
    </row>
    <row r="312" spans="1:1" x14ac:dyDescent="0.35">
      <c r="A312" s="20"/>
    </row>
    <row r="313" spans="1:1" x14ac:dyDescent="0.35">
      <c r="A313" s="21"/>
    </row>
    <row r="314" spans="1:1" x14ac:dyDescent="0.35">
      <c r="A314" s="13"/>
    </row>
    <row r="315" spans="1:1" x14ac:dyDescent="0.35">
      <c r="A315" s="15"/>
    </row>
    <row r="316" spans="1:1" x14ac:dyDescent="0.35">
      <c r="A316" s="16"/>
    </row>
    <row r="317" spans="1:1" x14ac:dyDescent="0.35">
      <c r="A317" s="17"/>
    </row>
    <row r="318" spans="1:1" x14ac:dyDescent="0.35">
      <c r="A318" s="18"/>
    </row>
    <row r="319" spans="1:1" x14ac:dyDescent="0.35">
      <c r="A319" s="19"/>
    </row>
    <row r="320" spans="1:1" x14ac:dyDescent="0.35">
      <c r="A320" s="20"/>
    </row>
    <row r="321" spans="1:1" x14ac:dyDescent="0.35">
      <c r="A321" s="21"/>
    </row>
    <row r="322" spans="1:1" x14ac:dyDescent="0.35">
      <c r="A322" s="15"/>
    </row>
    <row r="323" spans="1:1" x14ac:dyDescent="0.35">
      <c r="A323" s="16"/>
    </row>
    <row r="324" spans="1:1" x14ac:dyDescent="0.35">
      <c r="A324" s="17"/>
    </row>
    <row r="325" spans="1:1" x14ac:dyDescent="0.35">
      <c r="A325" s="18"/>
    </row>
    <row r="326" spans="1:1" x14ac:dyDescent="0.35">
      <c r="A326" s="19"/>
    </row>
    <row r="327" spans="1:1" x14ac:dyDescent="0.35">
      <c r="A327" s="20"/>
    </row>
    <row r="328" spans="1:1" x14ac:dyDescent="0.35">
      <c r="A328" s="21"/>
    </row>
    <row r="329" spans="1:1" x14ac:dyDescent="0.35">
      <c r="A329" s="13"/>
    </row>
    <row r="330" spans="1:1" x14ac:dyDescent="0.35">
      <c r="A330" s="15"/>
    </row>
    <row r="331" spans="1:1" x14ac:dyDescent="0.35">
      <c r="A331" s="16"/>
    </row>
    <row r="332" spans="1:1" x14ac:dyDescent="0.35">
      <c r="A332" s="17"/>
    </row>
    <row r="333" spans="1:1" x14ac:dyDescent="0.35">
      <c r="A333" s="18"/>
    </row>
    <row r="334" spans="1:1" x14ac:dyDescent="0.35">
      <c r="A334" s="19"/>
    </row>
    <row r="335" spans="1:1" x14ac:dyDescent="0.35">
      <c r="A335" s="20"/>
    </row>
    <row r="336" spans="1:1" x14ac:dyDescent="0.35">
      <c r="A336" s="21"/>
    </row>
    <row r="337" spans="1:1" x14ac:dyDescent="0.35">
      <c r="A337" s="15"/>
    </row>
    <row r="338" spans="1:1" x14ac:dyDescent="0.35">
      <c r="A338" s="16"/>
    </row>
    <row r="339" spans="1:1" x14ac:dyDescent="0.35">
      <c r="A339" s="17"/>
    </row>
    <row r="340" spans="1:1" x14ac:dyDescent="0.35">
      <c r="A340" s="18"/>
    </row>
    <row r="341" spans="1:1" x14ac:dyDescent="0.35">
      <c r="A341" s="19"/>
    </row>
    <row r="342" spans="1:1" x14ac:dyDescent="0.35">
      <c r="A342" s="20"/>
    </row>
    <row r="343" spans="1:1" x14ac:dyDescent="0.35">
      <c r="A343" s="21"/>
    </row>
    <row r="344" spans="1:1" x14ac:dyDescent="0.35">
      <c r="A344" s="12"/>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F75B5"/>
  </sheetPr>
  <dimension ref="A1:S501"/>
  <sheetViews>
    <sheetView zoomScaleNormal="100" workbookViewId="0">
      <pane ySplit="1" topLeftCell="A2" activePane="bottomLeft" state="frozen"/>
      <selection pane="bottomLeft" activeCell="E48" sqref="A2:M501"/>
    </sheetView>
  </sheetViews>
  <sheetFormatPr defaultColWidth="8.6328125" defaultRowHeight="15" customHeight="1" x14ac:dyDescent="0.35"/>
  <cols>
    <col min="1" max="1" width="14.7265625" customWidth="1"/>
    <col min="2" max="2" width="22" customWidth="1"/>
    <col min="3" max="3" width="18" customWidth="1"/>
    <col min="4" max="4" width="27" customWidth="1"/>
    <col min="5" max="6" width="14" customWidth="1"/>
    <col min="7" max="7" width="20.453125" customWidth="1"/>
    <col min="8" max="8" width="16.7265625" customWidth="1"/>
    <col min="9" max="9" width="21.08984375" customWidth="1"/>
    <col min="10" max="10" width="20.6328125" customWidth="1"/>
    <col min="11" max="11" width="16.81640625" customWidth="1"/>
    <col min="12" max="12" width="20" customWidth="1"/>
    <col min="13" max="13" width="14.453125" customWidth="1"/>
    <col min="14" max="15" width="14" customWidth="1"/>
  </cols>
  <sheetData>
    <row r="1" spans="1:15" ht="30" customHeight="1" x14ac:dyDescent="0.35">
      <c r="A1" s="1" t="s">
        <v>7</v>
      </c>
      <c r="B1" s="1" t="s">
        <v>8</v>
      </c>
      <c r="C1" s="1" t="s">
        <v>0</v>
      </c>
      <c r="D1" s="1" t="s">
        <v>9</v>
      </c>
      <c r="E1" s="1" t="s">
        <v>10</v>
      </c>
      <c r="F1" s="1" t="s">
        <v>11</v>
      </c>
      <c r="G1" s="1" t="s">
        <v>12</v>
      </c>
      <c r="H1" s="1" t="s">
        <v>13</v>
      </c>
      <c r="I1" s="1" t="s">
        <v>14</v>
      </c>
      <c r="J1" s="1" t="s">
        <v>15</v>
      </c>
      <c r="K1" s="1" t="s">
        <v>16</v>
      </c>
      <c r="L1" s="1" t="s">
        <v>17</v>
      </c>
      <c r="M1" s="1" t="s">
        <v>18</v>
      </c>
      <c r="N1" s="5"/>
      <c r="O1" s="5"/>
    </row>
    <row r="2" spans="1:15" ht="14.5" x14ac:dyDescent="0.35">
      <c r="A2" t="s">
        <v>19</v>
      </c>
      <c r="B2" t="s">
        <v>20</v>
      </c>
      <c r="C2" t="s">
        <v>21</v>
      </c>
      <c r="D2" t="s">
        <v>22</v>
      </c>
      <c r="E2" t="s">
        <v>23</v>
      </c>
      <c r="F2">
        <v>36</v>
      </c>
      <c r="G2">
        <v>3.44</v>
      </c>
      <c r="H2">
        <v>85</v>
      </c>
      <c r="I2">
        <v>66</v>
      </c>
      <c r="J2">
        <v>68</v>
      </c>
      <c r="K2">
        <v>46</v>
      </c>
      <c r="L2" t="s">
        <v>24</v>
      </c>
      <c r="M2">
        <v>2026</v>
      </c>
    </row>
    <row r="3" spans="1:15" ht="14.5" x14ac:dyDescent="0.35">
      <c r="A3" t="s">
        <v>25</v>
      </c>
      <c r="B3" t="s">
        <v>26</v>
      </c>
      <c r="C3" t="s">
        <v>27</v>
      </c>
      <c r="D3" t="s">
        <v>28</v>
      </c>
      <c r="E3" t="s">
        <v>23</v>
      </c>
      <c r="F3">
        <v>23</v>
      </c>
      <c r="G3">
        <v>4.8</v>
      </c>
      <c r="H3">
        <v>74</v>
      </c>
      <c r="I3">
        <v>78</v>
      </c>
      <c r="J3">
        <v>77</v>
      </c>
      <c r="K3">
        <v>30</v>
      </c>
      <c r="L3" t="s">
        <v>29</v>
      </c>
      <c r="M3">
        <v>2026</v>
      </c>
    </row>
    <row r="4" spans="1:15" ht="14.5" x14ac:dyDescent="0.35">
      <c r="A4" t="s">
        <v>30</v>
      </c>
      <c r="B4" t="s">
        <v>31</v>
      </c>
      <c r="C4" t="s">
        <v>27</v>
      </c>
      <c r="D4" t="s">
        <v>28</v>
      </c>
      <c r="E4" t="s">
        <v>32</v>
      </c>
      <c r="F4">
        <v>55</v>
      </c>
      <c r="G4">
        <v>2.97</v>
      </c>
      <c r="H4">
        <v>100</v>
      </c>
      <c r="I4">
        <v>91</v>
      </c>
      <c r="J4">
        <v>98</v>
      </c>
      <c r="K4">
        <v>32</v>
      </c>
      <c r="L4" t="s">
        <v>33</v>
      </c>
      <c r="M4">
        <v>2026</v>
      </c>
    </row>
    <row r="5" spans="1:15" ht="14.5" x14ac:dyDescent="0.35">
      <c r="A5" t="s">
        <v>34</v>
      </c>
      <c r="B5" t="s">
        <v>35</v>
      </c>
      <c r="C5" t="s">
        <v>36</v>
      </c>
      <c r="D5" t="s">
        <v>37</v>
      </c>
      <c r="E5" t="s">
        <v>32</v>
      </c>
      <c r="F5">
        <v>48</v>
      </c>
      <c r="G5">
        <v>2.34</v>
      </c>
      <c r="H5">
        <v>77</v>
      </c>
      <c r="I5">
        <v>67</v>
      </c>
      <c r="J5">
        <v>79</v>
      </c>
      <c r="K5">
        <v>12</v>
      </c>
      <c r="L5" t="s">
        <v>33</v>
      </c>
      <c r="M5">
        <v>2024</v>
      </c>
    </row>
    <row r="6" spans="1:15" ht="14.5" x14ac:dyDescent="0.35">
      <c r="A6" t="s">
        <v>38</v>
      </c>
      <c r="B6" t="s">
        <v>39</v>
      </c>
      <c r="C6" t="s">
        <v>40</v>
      </c>
      <c r="D6" t="s">
        <v>41</v>
      </c>
      <c r="E6" t="s">
        <v>32</v>
      </c>
      <c r="F6">
        <v>45</v>
      </c>
      <c r="G6">
        <v>3.81</v>
      </c>
      <c r="H6">
        <v>77</v>
      </c>
      <c r="I6">
        <v>64</v>
      </c>
      <c r="J6">
        <v>99</v>
      </c>
      <c r="K6">
        <v>11</v>
      </c>
      <c r="L6" t="s">
        <v>42</v>
      </c>
      <c r="M6">
        <v>2024</v>
      </c>
    </row>
    <row r="7" spans="1:15" ht="14.5" x14ac:dyDescent="0.35">
      <c r="A7" t="s">
        <v>43</v>
      </c>
      <c r="B7" t="s">
        <v>44</v>
      </c>
      <c r="C7" t="s">
        <v>45</v>
      </c>
      <c r="D7" t="s">
        <v>46</v>
      </c>
      <c r="E7" t="s">
        <v>32</v>
      </c>
      <c r="F7">
        <v>50</v>
      </c>
      <c r="G7">
        <v>4.67</v>
      </c>
      <c r="H7">
        <v>87</v>
      </c>
      <c r="I7">
        <v>85</v>
      </c>
      <c r="J7">
        <v>90</v>
      </c>
      <c r="K7">
        <v>11</v>
      </c>
      <c r="L7" t="s">
        <v>29</v>
      </c>
      <c r="M7">
        <v>2026</v>
      </c>
    </row>
    <row r="8" spans="1:15" ht="14.5" x14ac:dyDescent="0.35">
      <c r="A8" t="s">
        <v>47</v>
      </c>
      <c r="B8" t="s">
        <v>48</v>
      </c>
      <c r="C8" t="s">
        <v>21</v>
      </c>
      <c r="D8" t="s">
        <v>49</v>
      </c>
      <c r="E8" t="s">
        <v>23</v>
      </c>
      <c r="F8">
        <v>44</v>
      </c>
      <c r="G8">
        <v>4.51</v>
      </c>
      <c r="H8">
        <v>79</v>
      </c>
      <c r="I8">
        <v>91</v>
      </c>
      <c r="J8">
        <v>78</v>
      </c>
      <c r="K8">
        <v>15</v>
      </c>
      <c r="L8" t="s">
        <v>29</v>
      </c>
      <c r="M8">
        <v>2025</v>
      </c>
    </row>
    <row r="9" spans="1:15" ht="14.5" x14ac:dyDescent="0.35">
      <c r="A9" t="s">
        <v>50</v>
      </c>
      <c r="B9" t="s">
        <v>51</v>
      </c>
      <c r="C9" t="s">
        <v>52</v>
      </c>
      <c r="D9" t="s">
        <v>53</v>
      </c>
      <c r="E9" t="s">
        <v>32</v>
      </c>
      <c r="F9">
        <v>39</v>
      </c>
      <c r="G9">
        <v>3.98</v>
      </c>
      <c r="H9">
        <v>100</v>
      </c>
      <c r="I9">
        <v>78</v>
      </c>
      <c r="J9">
        <v>65</v>
      </c>
      <c r="K9">
        <v>11</v>
      </c>
      <c r="L9" t="s">
        <v>29</v>
      </c>
      <c r="M9">
        <v>2026</v>
      </c>
    </row>
    <row r="10" spans="1:15" ht="14.5" x14ac:dyDescent="0.35">
      <c r="A10" t="s">
        <v>54</v>
      </c>
      <c r="B10" t="s">
        <v>55</v>
      </c>
      <c r="C10" t="s">
        <v>56</v>
      </c>
      <c r="D10" t="s">
        <v>57</v>
      </c>
      <c r="E10" t="s">
        <v>23</v>
      </c>
      <c r="F10">
        <v>44</v>
      </c>
      <c r="G10">
        <v>4.74</v>
      </c>
      <c r="H10">
        <v>92</v>
      </c>
      <c r="I10">
        <v>79</v>
      </c>
      <c r="J10">
        <v>80</v>
      </c>
      <c r="K10">
        <v>15</v>
      </c>
      <c r="L10" t="s">
        <v>42</v>
      </c>
      <c r="M10">
        <v>2026</v>
      </c>
    </row>
    <row r="11" spans="1:15" ht="14.5" x14ac:dyDescent="0.35">
      <c r="A11" t="s">
        <v>58</v>
      </c>
      <c r="B11" t="s">
        <v>59</v>
      </c>
      <c r="C11" t="s">
        <v>36</v>
      </c>
      <c r="D11" t="s">
        <v>37</v>
      </c>
      <c r="E11" t="s">
        <v>32</v>
      </c>
      <c r="F11">
        <v>55</v>
      </c>
      <c r="G11">
        <v>2.39</v>
      </c>
      <c r="H11">
        <v>73</v>
      </c>
      <c r="I11">
        <v>81</v>
      </c>
      <c r="J11">
        <v>94</v>
      </c>
      <c r="K11">
        <v>14</v>
      </c>
      <c r="L11" t="s">
        <v>33</v>
      </c>
      <c r="M11">
        <v>2026</v>
      </c>
    </row>
    <row r="12" spans="1:15" ht="14.5" x14ac:dyDescent="0.35">
      <c r="A12" t="s">
        <v>60</v>
      </c>
      <c r="B12" t="s">
        <v>61</v>
      </c>
      <c r="C12" t="s">
        <v>36</v>
      </c>
      <c r="D12" t="s">
        <v>62</v>
      </c>
      <c r="E12" t="s">
        <v>32</v>
      </c>
      <c r="F12">
        <v>41</v>
      </c>
      <c r="G12">
        <v>3.53</v>
      </c>
      <c r="H12">
        <v>83</v>
      </c>
      <c r="I12">
        <v>61</v>
      </c>
      <c r="J12">
        <v>76</v>
      </c>
      <c r="K12">
        <v>21</v>
      </c>
      <c r="L12" t="s">
        <v>33</v>
      </c>
      <c r="M12">
        <v>2024</v>
      </c>
    </row>
    <row r="13" spans="1:15" ht="14.5" x14ac:dyDescent="0.35">
      <c r="A13" t="s">
        <v>63</v>
      </c>
      <c r="B13" t="s">
        <v>64</v>
      </c>
      <c r="C13" t="s">
        <v>40</v>
      </c>
      <c r="D13" t="s">
        <v>65</v>
      </c>
      <c r="E13" t="s">
        <v>23</v>
      </c>
      <c r="F13">
        <v>25</v>
      </c>
      <c r="G13">
        <v>4.0999999999999996</v>
      </c>
      <c r="H13">
        <v>62</v>
      </c>
      <c r="I13">
        <v>98</v>
      </c>
      <c r="J13">
        <v>87</v>
      </c>
      <c r="K13">
        <v>35</v>
      </c>
      <c r="L13" t="s">
        <v>66</v>
      </c>
      <c r="M13">
        <v>2024</v>
      </c>
    </row>
    <row r="14" spans="1:15" ht="14.5" x14ac:dyDescent="0.35">
      <c r="A14" t="s">
        <v>67</v>
      </c>
      <c r="B14" t="s">
        <v>68</v>
      </c>
      <c r="C14" t="s">
        <v>69</v>
      </c>
      <c r="D14" t="s">
        <v>70</v>
      </c>
      <c r="E14" t="s">
        <v>23</v>
      </c>
      <c r="F14">
        <v>50</v>
      </c>
      <c r="G14">
        <v>3.57</v>
      </c>
      <c r="H14">
        <v>77</v>
      </c>
      <c r="I14">
        <v>90</v>
      </c>
      <c r="J14">
        <v>72</v>
      </c>
      <c r="K14">
        <v>7</v>
      </c>
      <c r="L14" t="s">
        <v>33</v>
      </c>
      <c r="M14">
        <v>2026</v>
      </c>
    </row>
    <row r="15" spans="1:15" ht="14.5" x14ac:dyDescent="0.35">
      <c r="A15" t="s">
        <v>71</v>
      </c>
      <c r="B15" t="s">
        <v>72</v>
      </c>
      <c r="C15" t="s">
        <v>27</v>
      </c>
      <c r="D15" t="s">
        <v>73</v>
      </c>
      <c r="E15" t="s">
        <v>23</v>
      </c>
      <c r="F15">
        <v>58</v>
      </c>
      <c r="G15">
        <v>4.0999999999999996</v>
      </c>
      <c r="H15">
        <v>80</v>
      </c>
      <c r="I15">
        <v>74</v>
      </c>
      <c r="J15">
        <v>98</v>
      </c>
      <c r="K15">
        <v>37</v>
      </c>
      <c r="L15" t="s">
        <v>29</v>
      </c>
      <c r="M15">
        <v>2024</v>
      </c>
    </row>
    <row r="16" spans="1:15" ht="14.5" x14ac:dyDescent="0.35">
      <c r="A16" t="s">
        <v>74</v>
      </c>
      <c r="B16" t="s">
        <v>75</v>
      </c>
      <c r="C16" t="s">
        <v>27</v>
      </c>
      <c r="D16" t="s">
        <v>76</v>
      </c>
      <c r="E16" t="s">
        <v>32</v>
      </c>
      <c r="F16">
        <v>24</v>
      </c>
      <c r="G16">
        <v>4.37</v>
      </c>
      <c r="H16">
        <v>68</v>
      </c>
      <c r="I16">
        <v>79</v>
      </c>
      <c r="J16">
        <v>86</v>
      </c>
      <c r="K16">
        <v>33</v>
      </c>
      <c r="L16" t="s">
        <v>24</v>
      </c>
      <c r="M16">
        <v>2026</v>
      </c>
    </row>
    <row r="17" spans="1:13" ht="14.5" x14ac:dyDescent="0.35">
      <c r="A17" t="s">
        <v>77</v>
      </c>
      <c r="B17" t="s">
        <v>78</v>
      </c>
      <c r="C17" t="s">
        <v>56</v>
      </c>
      <c r="D17" t="s">
        <v>79</v>
      </c>
      <c r="E17" t="s">
        <v>23</v>
      </c>
      <c r="F17">
        <v>45</v>
      </c>
      <c r="G17">
        <v>3.18</v>
      </c>
      <c r="H17">
        <v>96</v>
      </c>
      <c r="I17">
        <v>76</v>
      </c>
      <c r="J17">
        <v>96</v>
      </c>
      <c r="K17">
        <v>21</v>
      </c>
      <c r="L17" t="s">
        <v>42</v>
      </c>
      <c r="M17">
        <v>2025</v>
      </c>
    </row>
    <row r="18" spans="1:13" ht="14.5" x14ac:dyDescent="0.35">
      <c r="A18" t="s">
        <v>80</v>
      </c>
      <c r="B18" t="s">
        <v>81</v>
      </c>
      <c r="C18" t="s">
        <v>27</v>
      </c>
      <c r="D18" t="s">
        <v>28</v>
      </c>
      <c r="E18" t="s">
        <v>32</v>
      </c>
      <c r="F18">
        <v>55</v>
      </c>
      <c r="G18">
        <v>2.2400000000000002</v>
      </c>
      <c r="H18">
        <v>84</v>
      </c>
      <c r="I18">
        <v>79</v>
      </c>
      <c r="J18">
        <v>86</v>
      </c>
      <c r="K18">
        <v>38</v>
      </c>
      <c r="L18" t="s">
        <v>66</v>
      </c>
      <c r="M18">
        <v>2025</v>
      </c>
    </row>
    <row r="19" spans="1:13" ht="14.5" x14ac:dyDescent="0.35">
      <c r="A19" t="s">
        <v>82</v>
      </c>
      <c r="B19" t="s">
        <v>83</v>
      </c>
      <c r="C19" t="s">
        <v>36</v>
      </c>
      <c r="D19" t="s">
        <v>84</v>
      </c>
      <c r="E19" t="s">
        <v>32</v>
      </c>
      <c r="F19">
        <v>50</v>
      </c>
      <c r="G19">
        <v>2.52</v>
      </c>
      <c r="H19">
        <v>95</v>
      </c>
      <c r="I19">
        <v>100</v>
      </c>
      <c r="J19">
        <v>66</v>
      </c>
      <c r="K19">
        <v>14</v>
      </c>
      <c r="L19" t="s">
        <v>24</v>
      </c>
      <c r="M19">
        <v>2024</v>
      </c>
    </row>
    <row r="20" spans="1:13" ht="14.5" x14ac:dyDescent="0.35">
      <c r="A20" t="s">
        <v>85</v>
      </c>
      <c r="B20" t="s">
        <v>86</v>
      </c>
      <c r="C20" t="s">
        <v>27</v>
      </c>
      <c r="D20" t="s">
        <v>87</v>
      </c>
      <c r="E20" t="s">
        <v>32</v>
      </c>
      <c r="F20">
        <v>40</v>
      </c>
      <c r="G20">
        <v>4.05</v>
      </c>
      <c r="H20">
        <v>71</v>
      </c>
      <c r="I20">
        <v>82</v>
      </c>
      <c r="J20">
        <v>96</v>
      </c>
      <c r="K20">
        <v>6</v>
      </c>
      <c r="L20" t="s">
        <v>29</v>
      </c>
      <c r="M20">
        <v>2026</v>
      </c>
    </row>
    <row r="21" spans="1:13" ht="14.5" x14ac:dyDescent="0.35">
      <c r="A21" t="s">
        <v>88</v>
      </c>
      <c r="B21" t="s">
        <v>89</v>
      </c>
      <c r="C21" t="s">
        <v>40</v>
      </c>
      <c r="D21" t="s">
        <v>90</v>
      </c>
      <c r="E21" t="s">
        <v>32</v>
      </c>
      <c r="F21">
        <v>41</v>
      </c>
      <c r="G21">
        <v>4.2699999999999996</v>
      </c>
      <c r="H21">
        <v>89</v>
      </c>
      <c r="I21">
        <v>83</v>
      </c>
      <c r="J21">
        <v>78</v>
      </c>
      <c r="K21">
        <v>52</v>
      </c>
      <c r="L21" t="s">
        <v>33</v>
      </c>
      <c r="M21">
        <v>2024</v>
      </c>
    </row>
    <row r="22" spans="1:13" ht="14.5" x14ac:dyDescent="0.35">
      <c r="A22" t="s">
        <v>91</v>
      </c>
      <c r="B22" t="s">
        <v>92</v>
      </c>
      <c r="C22" t="s">
        <v>36</v>
      </c>
      <c r="D22" t="s">
        <v>93</v>
      </c>
      <c r="E22" t="s">
        <v>32</v>
      </c>
      <c r="F22">
        <v>36</v>
      </c>
      <c r="G22">
        <v>4.78</v>
      </c>
      <c r="H22">
        <v>86</v>
      </c>
      <c r="I22">
        <v>100</v>
      </c>
      <c r="J22">
        <v>71</v>
      </c>
      <c r="K22">
        <v>22</v>
      </c>
      <c r="L22" t="s">
        <v>66</v>
      </c>
      <c r="M22">
        <v>2025</v>
      </c>
    </row>
    <row r="23" spans="1:13" ht="14.5" x14ac:dyDescent="0.35">
      <c r="A23" t="s">
        <v>94</v>
      </c>
      <c r="B23" t="s">
        <v>95</v>
      </c>
      <c r="C23" t="s">
        <v>21</v>
      </c>
      <c r="D23" t="s">
        <v>49</v>
      </c>
      <c r="E23" t="s">
        <v>32</v>
      </c>
      <c r="F23">
        <v>29</v>
      </c>
      <c r="G23">
        <v>4.96</v>
      </c>
      <c r="H23">
        <v>95</v>
      </c>
      <c r="I23">
        <v>71</v>
      </c>
      <c r="J23">
        <v>81</v>
      </c>
      <c r="K23">
        <v>48</v>
      </c>
      <c r="L23" t="s">
        <v>42</v>
      </c>
      <c r="M23">
        <v>2025</v>
      </c>
    </row>
    <row r="24" spans="1:13" ht="14.5" x14ac:dyDescent="0.35">
      <c r="A24" t="s">
        <v>96</v>
      </c>
      <c r="B24" t="s">
        <v>97</v>
      </c>
      <c r="C24" t="s">
        <v>27</v>
      </c>
      <c r="D24" t="s">
        <v>76</v>
      </c>
      <c r="E24" t="s">
        <v>32</v>
      </c>
      <c r="F24">
        <v>55</v>
      </c>
      <c r="G24">
        <v>3.29</v>
      </c>
      <c r="H24">
        <v>88</v>
      </c>
      <c r="I24">
        <v>77</v>
      </c>
      <c r="J24">
        <v>84</v>
      </c>
      <c r="K24">
        <v>17</v>
      </c>
      <c r="L24" t="s">
        <v>33</v>
      </c>
      <c r="M24">
        <v>2026</v>
      </c>
    </row>
    <row r="25" spans="1:13" ht="14.5" x14ac:dyDescent="0.35">
      <c r="A25" t="s">
        <v>98</v>
      </c>
      <c r="B25" t="s">
        <v>99</v>
      </c>
      <c r="C25" t="s">
        <v>40</v>
      </c>
      <c r="D25" t="s">
        <v>65</v>
      </c>
      <c r="E25" t="s">
        <v>23</v>
      </c>
      <c r="F25">
        <v>28</v>
      </c>
      <c r="G25">
        <v>3.66</v>
      </c>
      <c r="H25">
        <v>83</v>
      </c>
      <c r="I25">
        <v>99</v>
      </c>
      <c r="J25">
        <v>72</v>
      </c>
      <c r="K25">
        <v>32</v>
      </c>
      <c r="L25" t="s">
        <v>24</v>
      </c>
      <c r="M25">
        <v>2026</v>
      </c>
    </row>
    <row r="26" spans="1:13" ht="14.5" x14ac:dyDescent="0.35">
      <c r="A26" t="s">
        <v>100</v>
      </c>
      <c r="B26" t="s">
        <v>101</v>
      </c>
      <c r="C26" t="s">
        <v>52</v>
      </c>
      <c r="D26" t="s">
        <v>102</v>
      </c>
      <c r="E26" t="s">
        <v>32</v>
      </c>
      <c r="F26">
        <v>58</v>
      </c>
      <c r="G26">
        <v>4.91</v>
      </c>
      <c r="H26">
        <v>84</v>
      </c>
      <c r="I26">
        <v>78</v>
      </c>
      <c r="J26">
        <v>72</v>
      </c>
      <c r="K26">
        <v>5</v>
      </c>
      <c r="L26" t="s">
        <v>24</v>
      </c>
      <c r="M26">
        <v>2026</v>
      </c>
    </row>
    <row r="27" spans="1:13" ht="14.5" x14ac:dyDescent="0.35">
      <c r="A27" t="s">
        <v>103</v>
      </c>
      <c r="B27" t="s">
        <v>104</v>
      </c>
      <c r="C27" t="s">
        <v>69</v>
      </c>
      <c r="D27" t="s">
        <v>105</v>
      </c>
      <c r="E27" t="s">
        <v>32</v>
      </c>
      <c r="F27">
        <v>42</v>
      </c>
      <c r="G27">
        <v>2.61</v>
      </c>
      <c r="H27">
        <v>71</v>
      </c>
      <c r="I27">
        <v>93</v>
      </c>
      <c r="J27">
        <v>83</v>
      </c>
      <c r="K27">
        <v>44</v>
      </c>
      <c r="L27" t="s">
        <v>66</v>
      </c>
      <c r="M27">
        <v>2026</v>
      </c>
    </row>
    <row r="28" spans="1:13" ht="14.5" x14ac:dyDescent="0.35">
      <c r="A28" t="s">
        <v>106</v>
      </c>
      <c r="B28" t="s">
        <v>107</v>
      </c>
      <c r="C28" t="s">
        <v>108</v>
      </c>
      <c r="D28" t="s">
        <v>109</v>
      </c>
      <c r="E28" t="s">
        <v>32</v>
      </c>
      <c r="F28">
        <v>57</v>
      </c>
      <c r="G28">
        <v>2.66</v>
      </c>
      <c r="H28">
        <v>93</v>
      </c>
      <c r="I28">
        <v>78</v>
      </c>
      <c r="J28">
        <v>69</v>
      </c>
      <c r="K28">
        <v>56</v>
      </c>
      <c r="L28" t="s">
        <v>42</v>
      </c>
      <c r="M28">
        <v>2024</v>
      </c>
    </row>
    <row r="29" spans="1:13" ht="14.5" x14ac:dyDescent="0.35">
      <c r="A29" t="s">
        <v>110</v>
      </c>
      <c r="B29" t="s">
        <v>111</v>
      </c>
      <c r="C29" t="s">
        <v>56</v>
      </c>
      <c r="D29" t="s">
        <v>112</v>
      </c>
      <c r="E29" t="s">
        <v>32</v>
      </c>
      <c r="F29">
        <v>27</v>
      </c>
      <c r="G29">
        <v>3.47</v>
      </c>
      <c r="H29">
        <v>75</v>
      </c>
      <c r="I29">
        <v>78</v>
      </c>
      <c r="J29">
        <v>72</v>
      </c>
      <c r="K29">
        <v>8</v>
      </c>
      <c r="L29" t="s">
        <v>24</v>
      </c>
      <c r="M29">
        <v>2025</v>
      </c>
    </row>
    <row r="30" spans="1:13" ht="14.5" x14ac:dyDescent="0.35">
      <c r="A30" t="s">
        <v>113</v>
      </c>
      <c r="B30" t="s">
        <v>81</v>
      </c>
      <c r="C30" t="s">
        <v>108</v>
      </c>
      <c r="D30" t="s">
        <v>114</v>
      </c>
      <c r="E30" t="s">
        <v>32</v>
      </c>
      <c r="F30">
        <v>24</v>
      </c>
      <c r="G30">
        <v>2.21</v>
      </c>
      <c r="H30">
        <v>84</v>
      </c>
      <c r="I30">
        <v>60</v>
      </c>
      <c r="J30">
        <v>68</v>
      </c>
      <c r="K30">
        <v>21</v>
      </c>
      <c r="L30" t="s">
        <v>29</v>
      </c>
      <c r="M30">
        <v>2025</v>
      </c>
    </row>
    <row r="31" spans="1:13" ht="14.5" x14ac:dyDescent="0.35">
      <c r="A31" t="s">
        <v>115</v>
      </c>
      <c r="B31" t="s">
        <v>116</v>
      </c>
      <c r="C31" t="s">
        <v>69</v>
      </c>
      <c r="D31" t="s">
        <v>117</v>
      </c>
      <c r="E31" t="s">
        <v>32</v>
      </c>
      <c r="F31">
        <v>55</v>
      </c>
      <c r="G31">
        <v>4.66</v>
      </c>
      <c r="H31">
        <v>94</v>
      </c>
      <c r="I31">
        <v>95</v>
      </c>
      <c r="J31">
        <v>74</v>
      </c>
      <c r="K31">
        <v>10</v>
      </c>
      <c r="L31" t="s">
        <v>42</v>
      </c>
      <c r="M31">
        <v>2024</v>
      </c>
    </row>
    <row r="32" spans="1:13" ht="14.5" x14ac:dyDescent="0.35">
      <c r="A32" t="s">
        <v>118</v>
      </c>
      <c r="B32" t="s">
        <v>119</v>
      </c>
      <c r="C32" t="s">
        <v>36</v>
      </c>
      <c r="D32" t="s">
        <v>84</v>
      </c>
      <c r="E32" t="s">
        <v>32</v>
      </c>
      <c r="F32">
        <v>25</v>
      </c>
      <c r="G32">
        <v>4.99</v>
      </c>
      <c r="H32">
        <v>74</v>
      </c>
      <c r="I32">
        <v>87</v>
      </c>
      <c r="J32">
        <v>70</v>
      </c>
      <c r="K32">
        <v>23</v>
      </c>
      <c r="L32" t="s">
        <v>29</v>
      </c>
      <c r="M32">
        <v>2024</v>
      </c>
    </row>
    <row r="33" spans="1:13" ht="14.5" x14ac:dyDescent="0.35">
      <c r="A33" t="s">
        <v>120</v>
      </c>
      <c r="B33" t="s">
        <v>121</v>
      </c>
      <c r="C33" t="s">
        <v>27</v>
      </c>
      <c r="D33" t="s">
        <v>28</v>
      </c>
      <c r="E33" t="s">
        <v>32</v>
      </c>
      <c r="F33">
        <v>36</v>
      </c>
      <c r="G33">
        <v>3.52</v>
      </c>
      <c r="H33">
        <v>84</v>
      </c>
      <c r="I33">
        <v>75</v>
      </c>
      <c r="J33">
        <v>89</v>
      </c>
      <c r="K33">
        <v>32</v>
      </c>
      <c r="L33" t="s">
        <v>24</v>
      </c>
      <c r="M33">
        <v>2024</v>
      </c>
    </row>
    <row r="34" spans="1:13" ht="14.5" x14ac:dyDescent="0.35">
      <c r="A34" t="s">
        <v>122</v>
      </c>
      <c r="B34" t="s">
        <v>123</v>
      </c>
      <c r="C34" t="s">
        <v>69</v>
      </c>
      <c r="D34" t="s">
        <v>70</v>
      </c>
      <c r="E34" t="s">
        <v>32</v>
      </c>
      <c r="F34">
        <v>31</v>
      </c>
      <c r="G34">
        <v>4.7</v>
      </c>
      <c r="H34">
        <v>81</v>
      </c>
      <c r="I34">
        <v>98</v>
      </c>
      <c r="J34">
        <v>84</v>
      </c>
      <c r="K34">
        <v>16</v>
      </c>
      <c r="L34" t="s">
        <v>66</v>
      </c>
      <c r="M34">
        <v>2025</v>
      </c>
    </row>
    <row r="35" spans="1:13" ht="14.5" x14ac:dyDescent="0.35">
      <c r="A35" t="s">
        <v>124</v>
      </c>
      <c r="B35" t="s">
        <v>125</v>
      </c>
      <c r="C35" t="s">
        <v>108</v>
      </c>
      <c r="D35" t="s">
        <v>126</v>
      </c>
      <c r="E35" t="s">
        <v>23</v>
      </c>
      <c r="F35">
        <v>56</v>
      </c>
      <c r="G35">
        <v>4.0999999999999996</v>
      </c>
      <c r="H35">
        <v>82</v>
      </c>
      <c r="I35">
        <v>97</v>
      </c>
      <c r="J35">
        <v>73</v>
      </c>
      <c r="K35">
        <v>48</v>
      </c>
      <c r="L35" t="s">
        <v>29</v>
      </c>
      <c r="M35">
        <v>2025</v>
      </c>
    </row>
    <row r="36" spans="1:13" ht="14.5" x14ac:dyDescent="0.35">
      <c r="A36" t="s">
        <v>127</v>
      </c>
      <c r="B36" t="s">
        <v>128</v>
      </c>
      <c r="C36" t="s">
        <v>69</v>
      </c>
      <c r="D36" t="s">
        <v>105</v>
      </c>
      <c r="E36" t="s">
        <v>32</v>
      </c>
      <c r="F36">
        <v>41</v>
      </c>
      <c r="G36">
        <v>2.58</v>
      </c>
      <c r="H36">
        <v>97</v>
      </c>
      <c r="I36">
        <v>72</v>
      </c>
      <c r="J36">
        <v>84</v>
      </c>
      <c r="K36">
        <v>24</v>
      </c>
      <c r="L36" t="s">
        <v>33</v>
      </c>
      <c r="M36">
        <v>2025</v>
      </c>
    </row>
    <row r="37" spans="1:13" ht="14.5" x14ac:dyDescent="0.35">
      <c r="A37" t="s">
        <v>129</v>
      </c>
      <c r="B37" t="s">
        <v>130</v>
      </c>
      <c r="C37" t="s">
        <v>27</v>
      </c>
      <c r="D37" t="s">
        <v>87</v>
      </c>
      <c r="E37" t="s">
        <v>32</v>
      </c>
      <c r="F37">
        <v>53</v>
      </c>
      <c r="G37">
        <v>3.79</v>
      </c>
      <c r="H37">
        <v>91</v>
      </c>
      <c r="I37">
        <v>94</v>
      </c>
      <c r="J37">
        <v>76</v>
      </c>
      <c r="K37">
        <v>29</v>
      </c>
      <c r="L37" t="s">
        <v>24</v>
      </c>
      <c r="M37">
        <v>2024</v>
      </c>
    </row>
    <row r="38" spans="1:13" ht="14.5" x14ac:dyDescent="0.35">
      <c r="A38" t="s">
        <v>131</v>
      </c>
      <c r="B38" t="s">
        <v>132</v>
      </c>
      <c r="C38" t="s">
        <v>21</v>
      </c>
      <c r="D38" t="s">
        <v>133</v>
      </c>
      <c r="E38" t="s">
        <v>23</v>
      </c>
      <c r="F38">
        <v>28</v>
      </c>
      <c r="G38">
        <v>2.59</v>
      </c>
      <c r="H38">
        <v>90</v>
      </c>
      <c r="I38">
        <v>80</v>
      </c>
      <c r="J38">
        <v>97</v>
      </c>
      <c r="K38">
        <v>48</v>
      </c>
      <c r="L38" t="s">
        <v>42</v>
      </c>
      <c r="M38">
        <v>2025</v>
      </c>
    </row>
    <row r="39" spans="1:13" ht="14.5" x14ac:dyDescent="0.35">
      <c r="A39" t="s">
        <v>134</v>
      </c>
      <c r="B39" t="s">
        <v>135</v>
      </c>
      <c r="C39" t="s">
        <v>52</v>
      </c>
      <c r="D39" t="s">
        <v>102</v>
      </c>
      <c r="E39" t="s">
        <v>32</v>
      </c>
      <c r="F39">
        <v>47</v>
      </c>
      <c r="G39">
        <v>3.19</v>
      </c>
      <c r="H39">
        <v>91</v>
      </c>
      <c r="I39">
        <v>86</v>
      </c>
      <c r="J39">
        <v>91</v>
      </c>
      <c r="K39">
        <v>34</v>
      </c>
      <c r="L39" t="s">
        <v>33</v>
      </c>
      <c r="M39">
        <v>2026</v>
      </c>
    </row>
    <row r="40" spans="1:13" ht="14.5" x14ac:dyDescent="0.35">
      <c r="A40" t="s">
        <v>136</v>
      </c>
      <c r="B40" t="s">
        <v>137</v>
      </c>
      <c r="C40" t="s">
        <v>36</v>
      </c>
      <c r="D40" t="s">
        <v>93</v>
      </c>
      <c r="E40" t="s">
        <v>23</v>
      </c>
      <c r="F40">
        <v>36</v>
      </c>
      <c r="G40">
        <v>2.27</v>
      </c>
      <c r="H40">
        <v>88</v>
      </c>
      <c r="I40">
        <v>65</v>
      </c>
      <c r="J40">
        <v>73</v>
      </c>
      <c r="K40">
        <v>44</v>
      </c>
      <c r="L40" t="s">
        <v>42</v>
      </c>
      <c r="M40">
        <v>2024</v>
      </c>
    </row>
    <row r="41" spans="1:13" ht="14.5" x14ac:dyDescent="0.35">
      <c r="A41" t="s">
        <v>138</v>
      </c>
      <c r="B41" t="s">
        <v>139</v>
      </c>
      <c r="C41" t="s">
        <v>108</v>
      </c>
      <c r="D41" t="s">
        <v>126</v>
      </c>
      <c r="E41" t="s">
        <v>32</v>
      </c>
      <c r="F41">
        <v>21</v>
      </c>
      <c r="G41">
        <v>3.82</v>
      </c>
      <c r="H41">
        <v>85</v>
      </c>
      <c r="I41">
        <v>68</v>
      </c>
      <c r="J41">
        <v>99</v>
      </c>
      <c r="K41">
        <v>41</v>
      </c>
      <c r="L41" t="s">
        <v>42</v>
      </c>
      <c r="M41">
        <v>2024</v>
      </c>
    </row>
    <row r="42" spans="1:13" ht="14.5" x14ac:dyDescent="0.35">
      <c r="A42" t="s">
        <v>140</v>
      </c>
      <c r="B42" t="s">
        <v>141</v>
      </c>
      <c r="C42" t="s">
        <v>21</v>
      </c>
      <c r="D42" t="s">
        <v>49</v>
      </c>
      <c r="E42" t="s">
        <v>32</v>
      </c>
      <c r="F42">
        <v>53</v>
      </c>
      <c r="G42">
        <v>4.3099999999999996</v>
      </c>
      <c r="H42">
        <v>87</v>
      </c>
      <c r="I42">
        <v>68</v>
      </c>
      <c r="J42">
        <v>90</v>
      </c>
      <c r="K42">
        <v>47</v>
      </c>
      <c r="L42" t="s">
        <v>33</v>
      </c>
      <c r="M42">
        <v>2025</v>
      </c>
    </row>
    <row r="43" spans="1:13" ht="14.5" x14ac:dyDescent="0.35">
      <c r="A43" t="s">
        <v>142</v>
      </c>
      <c r="B43" t="s">
        <v>143</v>
      </c>
      <c r="C43" t="s">
        <v>21</v>
      </c>
      <c r="D43" t="s">
        <v>133</v>
      </c>
      <c r="E43" t="s">
        <v>23</v>
      </c>
      <c r="F43">
        <v>39</v>
      </c>
      <c r="G43">
        <v>4.46</v>
      </c>
      <c r="H43">
        <v>95</v>
      </c>
      <c r="I43">
        <v>89</v>
      </c>
      <c r="J43">
        <v>68</v>
      </c>
      <c r="K43">
        <v>10</v>
      </c>
      <c r="L43" t="s">
        <v>33</v>
      </c>
      <c r="M43">
        <v>2025</v>
      </c>
    </row>
    <row r="44" spans="1:13" ht="14.5" x14ac:dyDescent="0.35">
      <c r="A44" t="s">
        <v>144</v>
      </c>
      <c r="B44" t="s">
        <v>145</v>
      </c>
      <c r="C44" t="s">
        <v>36</v>
      </c>
      <c r="D44" t="s">
        <v>62</v>
      </c>
      <c r="E44" t="s">
        <v>32</v>
      </c>
      <c r="F44">
        <v>56</v>
      </c>
      <c r="G44">
        <v>4.5199999999999996</v>
      </c>
      <c r="H44">
        <v>68</v>
      </c>
      <c r="I44">
        <v>81</v>
      </c>
      <c r="J44">
        <v>71</v>
      </c>
      <c r="K44">
        <v>57</v>
      </c>
      <c r="L44" t="s">
        <v>42</v>
      </c>
      <c r="M44">
        <v>2026</v>
      </c>
    </row>
    <row r="45" spans="1:13" ht="14.5" x14ac:dyDescent="0.35">
      <c r="A45" t="s">
        <v>146</v>
      </c>
      <c r="B45" t="s">
        <v>147</v>
      </c>
      <c r="C45" t="s">
        <v>36</v>
      </c>
      <c r="D45" t="s">
        <v>37</v>
      </c>
      <c r="E45" t="s">
        <v>32</v>
      </c>
      <c r="F45">
        <v>56</v>
      </c>
      <c r="G45">
        <v>3.55</v>
      </c>
      <c r="H45">
        <v>83</v>
      </c>
      <c r="I45">
        <v>63</v>
      </c>
      <c r="J45">
        <v>72</v>
      </c>
      <c r="K45">
        <v>52</v>
      </c>
      <c r="L45" t="s">
        <v>66</v>
      </c>
      <c r="M45">
        <v>2026</v>
      </c>
    </row>
    <row r="46" spans="1:13" ht="14.5" x14ac:dyDescent="0.35">
      <c r="A46" t="s">
        <v>148</v>
      </c>
      <c r="B46" t="s">
        <v>149</v>
      </c>
      <c r="C46" t="s">
        <v>69</v>
      </c>
      <c r="D46" t="s">
        <v>150</v>
      </c>
      <c r="E46" t="s">
        <v>32</v>
      </c>
      <c r="F46">
        <v>37</v>
      </c>
      <c r="G46">
        <v>3.63</v>
      </c>
      <c r="H46">
        <v>65</v>
      </c>
      <c r="I46">
        <v>73</v>
      </c>
      <c r="J46">
        <v>98</v>
      </c>
      <c r="K46">
        <v>14</v>
      </c>
      <c r="L46" t="s">
        <v>66</v>
      </c>
      <c r="M46">
        <v>2026</v>
      </c>
    </row>
    <row r="47" spans="1:13" ht="14.5" x14ac:dyDescent="0.35">
      <c r="A47" t="s">
        <v>151</v>
      </c>
      <c r="B47" t="s">
        <v>152</v>
      </c>
      <c r="C47" t="s">
        <v>21</v>
      </c>
      <c r="D47" t="s">
        <v>153</v>
      </c>
      <c r="E47" t="s">
        <v>23</v>
      </c>
      <c r="F47">
        <v>23</v>
      </c>
      <c r="G47">
        <v>4.91</v>
      </c>
      <c r="H47">
        <v>70</v>
      </c>
      <c r="I47">
        <v>74</v>
      </c>
      <c r="J47">
        <v>74</v>
      </c>
      <c r="K47">
        <v>24</v>
      </c>
      <c r="L47" t="s">
        <v>42</v>
      </c>
      <c r="M47">
        <v>2026</v>
      </c>
    </row>
    <row r="48" spans="1:13" ht="14.5" x14ac:dyDescent="0.35">
      <c r="A48" t="s">
        <v>154</v>
      </c>
      <c r="B48" t="s">
        <v>155</v>
      </c>
      <c r="C48" t="s">
        <v>36</v>
      </c>
      <c r="D48" t="s">
        <v>93</v>
      </c>
      <c r="E48" t="s">
        <v>23</v>
      </c>
      <c r="F48">
        <v>56</v>
      </c>
      <c r="G48">
        <v>4.97</v>
      </c>
      <c r="H48">
        <v>62</v>
      </c>
      <c r="I48">
        <v>91</v>
      </c>
      <c r="J48">
        <v>77</v>
      </c>
      <c r="K48">
        <v>12</v>
      </c>
      <c r="L48" t="s">
        <v>33</v>
      </c>
      <c r="M48">
        <v>2024</v>
      </c>
    </row>
    <row r="49" spans="1:13" ht="14.5" x14ac:dyDescent="0.35">
      <c r="A49" t="s">
        <v>156</v>
      </c>
      <c r="B49" t="s">
        <v>157</v>
      </c>
      <c r="C49" t="s">
        <v>21</v>
      </c>
      <c r="D49" t="s">
        <v>133</v>
      </c>
      <c r="E49" t="s">
        <v>32</v>
      </c>
      <c r="F49">
        <v>44</v>
      </c>
      <c r="G49">
        <v>2.63</v>
      </c>
      <c r="H49">
        <v>69</v>
      </c>
      <c r="I49">
        <v>93</v>
      </c>
      <c r="J49">
        <v>71</v>
      </c>
      <c r="K49">
        <v>20</v>
      </c>
      <c r="L49" t="s">
        <v>29</v>
      </c>
      <c r="M49">
        <v>2024</v>
      </c>
    </row>
    <row r="50" spans="1:13" ht="14.5" x14ac:dyDescent="0.35">
      <c r="A50" t="s">
        <v>158</v>
      </c>
      <c r="B50" t="s">
        <v>26</v>
      </c>
      <c r="C50" t="s">
        <v>159</v>
      </c>
      <c r="D50" t="s">
        <v>160</v>
      </c>
      <c r="E50" t="s">
        <v>23</v>
      </c>
      <c r="F50">
        <v>44</v>
      </c>
      <c r="G50">
        <v>3.53</v>
      </c>
      <c r="H50">
        <v>94</v>
      </c>
      <c r="I50">
        <v>88</v>
      </c>
      <c r="J50">
        <v>90</v>
      </c>
      <c r="K50">
        <v>8</v>
      </c>
      <c r="L50" t="s">
        <v>33</v>
      </c>
      <c r="M50">
        <v>2025</v>
      </c>
    </row>
    <row r="51" spans="1:13" ht="14.5" x14ac:dyDescent="0.35">
      <c r="A51" t="s">
        <v>161</v>
      </c>
      <c r="B51" t="s">
        <v>162</v>
      </c>
      <c r="C51" t="s">
        <v>21</v>
      </c>
      <c r="D51" t="s">
        <v>163</v>
      </c>
      <c r="E51" t="s">
        <v>23</v>
      </c>
      <c r="F51">
        <v>30</v>
      </c>
      <c r="G51">
        <v>3.33</v>
      </c>
      <c r="H51">
        <v>73</v>
      </c>
      <c r="I51">
        <v>75</v>
      </c>
      <c r="J51">
        <v>99</v>
      </c>
      <c r="K51">
        <v>21</v>
      </c>
      <c r="L51" t="s">
        <v>66</v>
      </c>
      <c r="M51">
        <v>2026</v>
      </c>
    </row>
    <row r="52" spans="1:13" ht="14.5" x14ac:dyDescent="0.35">
      <c r="A52" t="s">
        <v>164</v>
      </c>
      <c r="B52" t="s">
        <v>165</v>
      </c>
      <c r="C52" t="s">
        <v>56</v>
      </c>
      <c r="D52" t="s">
        <v>79</v>
      </c>
      <c r="E52" t="s">
        <v>32</v>
      </c>
      <c r="F52">
        <v>42</v>
      </c>
      <c r="G52">
        <v>3.43</v>
      </c>
      <c r="H52">
        <v>69</v>
      </c>
      <c r="I52">
        <v>87</v>
      </c>
      <c r="J52">
        <v>74</v>
      </c>
      <c r="K52">
        <v>45</v>
      </c>
      <c r="L52" t="s">
        <v>33</v>
      </c>
      <c r="M52">
        <v>2024</v>
      </c>
    </row>
    <row r="53" spans="1:13" ht="14.5" x14ac:dyDescent="0.35">
      <c r="A53" t="s">
        <v>166</v>
      </c>
      <c r="B53" t="s">
        <v>167</v>
      </c>
      <c r="C53" t="s">
        <v>36</v>
      </c>
      <c r="D53" t="s">
        <v>93</v>
      </c>
      <c r="E53" t="s">
        <v>32</v>
      </c>
      <c r="F53">
        <v>45</v>
      </c>
      <c r="G53">
        <v>2.6</v>
      </c>
      <c r="H53">
        <v>77</v>
      </c>
      <c r="I53">
        <v>70</v>
      </c>
      <c r="J53">
        <v>97</v>
      </c>
      <c r="K53">
        <v>52</v>
      </c>
      <c r="L53" t="s">
        <v>66</v>
      </c>
      <c r="M53">
        <v>2024</v>
      </c>
    </row>
    <row r="54" spans="1:13" ht="14.5" x14ac:dyDescent="0.35">
      <c r="A54" t="s">
        <v>168</v>
      </c>
      <c r="B54" t="s">
        <v>169</v>
      </c>
      <c r="C54" t="s">
        <v>108</v>
      </c>
      <c r="D54" t="s">
        <v>126</v>
      </c>
      <c r="E54" t="s">
        <v>23</v>
      </c>
      <c r="F54">
        <v>35</v>
      </c>
      <c r="G54">
        <v>3.53</v>
      </c>
      <c r="H54">
        <v>80</v>
      </c>
      <c r="I54">
        <v>78</v>
      </c>
      <c r="J54">
        <v>71</v>
      </c>
      <c r="K54">
        <v>42</v>
      </c>
      <c r="L54" t="s">
        <v>24</v>
      </c>
      <c r="M54">
        <v>2025</v>
      </c>
    </row>
    <row r="55" spans="1:13" ht="14.5" x14ac:dyDescent="0.35">
      <c r="A55" t="s">
        <v>170</v>
      </c>
      <c r="B55" t="s">
        <v>171</v>
      </c>
      <c r="C55" t="s">
        <v>56</v>
      </c>
      <c r="D55" t="s">
        <v>57</v>
      </c>
      <c r="E55" t="s">
        <v>23</v>
      </c>
      <c r="F55">
        <v>25</v>
      </c>
      <c r="G55">
        <v>4.07</v>
      </c>
      <c r="H55">
        <v>87</v>
      </c>
      <c r="I55">
        <v>84</v>
      </c>
      <c r="J55">
        <v>71</v>
      </c>
      <c r="K55">
        <v>34</v>
      </c>
      <c r="L55" t="s">
        <v>24</v>
      </c>
      <c r="M55">
        <v>2025</v>
      </c>
    </row>
    <row r="56" spans="1:13" ht="14.5" x14ac:dyDescent="0.35">
      <c r="A56" t="s">
        <v>172</v>
      </c>
      <c r="B56" t="s">
        <v>173</v>
      </c>
      <c r="C56" t="s">
        <v>56</v>
      </c>
      <c r="D56" t="s">
        <v>57</v>
      </c>
      <c r="E56" t="s">
        <v>32</v>
      </c>
      <c r="F56">
        <v>28</v>
      </c>
      <c r="G56">
        <v>2.61</v>
      </c>
      <c r="H56">
        <v>80</v>
      </c>
      <c r="I56">
        <v>89</v>
      </c>
      <c r="J56">
        <v>72</v>
      </c>
      <c r="K56">
        <v>41</v>
      </c>
      <c r="L56" t="s">
        <v>24</v>
      </c>
      <c r="M56">
        <v>2024</v>
      </c>
    </row>
    <row r="57" spans="1:13" ht="14.5" x14ac:dyDescent="0.35">
      <c r="A57" t="s">
        <v>174</v>
      </c>
      <c r="B57" t="s">
        <v>175</v>
      </c>
      <c r="C57" t="s">
        <v>52</v>
      </c>
      <c r="D57" t="s">
        <v>176</v>
      </c>
      <c r="E57" t="s">
        <v>23</v>
      </c>
      <c r="F57">
        <v>43</v>
      </c>
      <c r="G57">
        <v>3.83</v>
      </c>
      <c r="H57">
        <v>64</v>
      </c>
      <c r="I57">
        <v>99</v>
      </c>
      <c r="J57">
        <v>93</v>
      </c>
      <c r="K57">
        <v>7</v>
      </c>
      <c r="L57" t="s">
        <v>42</v>
      </c>
      <c r="M57">
        <v>2024</v>
      </c>
    </row>
    <row r="58" spans="1:13" ht="14.5" x14ac:dyDescent="0.35">
      <c r="A58" t="s">
        <v>177</v>
      </c>
      <c r="B58" t="s">
        <v>178</v>
      </c>
      <c r="C58" t="s">
        <v>21</v>
      </c>
      <c r="D58" t="s">
        <v>153</v>
      </c>
      <c r="E58" t="s">
        <v>32</v>
      </c>
      <c r="F58">
        <v>37</v>
      </c>
      <c r="G58">
        <v>3.51</v>
      </c>
      <c r="H58">
        <v>91</v>
      </c>
      <c r="I58">
        <v>77</v>
      </c>
      <c r="J58">
        <v>65</v>
      </c>
      <c r="K58">
        <v>15</v>
      </c>
      <c r="L58" t="s">
        <v>42</v>
      </c>
      <c r="M58">
        <v>2026</v>
      </c>
    </row>
    <row r="59" spans="1:13" ht="14.5" x14ac:dyDescent="0.35">
      <c r="A59" t="s">
        <v>179</v>
      </c>
      <c r="B59" t="s">
        <v>180</v>
      </c>
      <c r="C59" t="s">
        <v>27</v>
      </c>
      <c r="D59" t="s">
        <v>87</v>
      </c>
      <c r="E59" t="s">
        <v>23</v>
      </c>
      <c r="F59">
        <v>48</v>
      </c>
      <c r="G59">
        <v>4.5999999999999996</v>
      </c>
      <c r="H59">
        <v>94</v>
      </c>
      <c r="I59">
        <v>73</v>
      </c>
      <c r="J59">
        <v>87</v>
      </c>
      <c r="K59">
        <v>50</v>
      </c>
      <c r="L59" t="s">
        <v>66</v>
      </c>
      <c r="M59">
        <v>2025</v>
      </c>
    </row>
    <row r="60" spans="1:13" ht="14.5" x14ac:dyDescent="0.35">
      <c r="A60" t="s">
        <v>181</v>
      </c>
      <c r="B60" t="s">
        <v>182</v>
      </c>
      <c r="C60" t="s">
        <v>45</v>
      </c>
      <c r="D60" t="s">
        <v>46</v>
      </c>
      <c r="E60" t="s">
        <v>32</v>
      </c>
      <c r="F60">
        <v>40</v>
      </c>
      <c r="G60">
        <v>3.64</v>
      </c>
      <c r="H60">
        <v>73</v>
      </c>
      <c r="I60">
        <v>69</v>
      </c>
      <c r="J60">
        <v>87</v>
      </c>
      <c r="K60">
        <v>46</v>
      </c>
      <c r="L60" t="s">
        <v>66</v>
      </c>
      <c r="M60">
        <v>2025</v>
      </c>
    </row>
    <row r="61" spans="1:13" ht="14.5" x14ac:dyDescent="0.35">
      <c r="A61" t="s">
        <v>183</v>
      </c>
      <c r="B61" t="s">
        <v>184</v>
      </c>
      <c r="C61" t="s">
        <v>40</v>
      </c>
      <c r="D61" t="s">
        <v>65</v>
      </c>
      <c r="E61" t="s">
        <v>23</v>
      </c>
      <c r="F61">
        <v>56</v>
      </c>
      <c r="G61">
        <v>3.49</v>
      </c>
      <c r="H61">
        <v>70</v>
      </c>
      <c r="I61">
        <v>77</v>
      </c>
      <c r="J61">
        <v>84</v>
      </c>
      <c r="K61">
        <v>30</v>
      </c>
      <c r="L61" t="s">
        <v>33</v>
      </c>
      <c r="M61">
        <v>2026</v>
      </c>
    </row>
    <row r="62" spans="1:13" ht="14.5" x14ac:dyDescent="0.35">
      <c r="A62" t="s">
        <v>185</v>
      </c>
      <c r="B62" t="s">
        <v>186</v>
      </c>
      <c r="C62" t="s">
        <v>159</v>
      </c>
      <c r="D62" t="s">
        <v>187</v>
      </c>
      <c r="E62" t="s">
        <v>23</v>
      </c>
      <c r="F62">
        <v>46</v>
      </c>
      <c r="G62">
        <v>3.55</v>
      </c>
      <c r="H62">
        <v>92</v>
      </c>
      <c r="I62">
        <v>98</v>
      </c>
      <c r="J62">
        <v>76</v>
      </c>
      <c r="K62">
        <v>41</v>
      </c>
      <c r="L62" t="s">
        <v>66</v>
      </c>
      <c r="M62">
        <v>2026</v>
      </c>
    </row>
    <row r="63" spans="1:13" ht="14.5" x14ac:dyDescent="0.35">
      <c r="A63" t="s">
        <v>188</v>
      </c>
      <c r="B63" t="s">
        <v>169</v>
      </c>
      <c r="C63" t="s">
        <v>69</v>
      </c>
      <c r="D63" t="s">
        <v>70</v>
      </c>
      <c r="E63" t="s">
        <v>23</v>
      </c>
      <c r="F63">
        <v>50</v>
      </c>
      <c r="G63">
        <v>3.67</v>
      </c>
      <c r="H63">
        <v>70</v>
      </c>
      <c r="I63">
        <v>80</v>
      </c>
      <c r="J63">
        <v>87</v>
      </c>
      <c r="K63">
        <v>42</v>
      </c>
      <c r="L63" t="s">
        <v>66</v>
      </c>
      <c r="M63">
        <v>2025</v>
      </c>
    </row>
    <row r="64" spans="1:13" ht="14.5" x14ac:dyDescent="0.35">
      <c r="A64" t="s">
        <v>189</v>
      </c>
      <c r="B64" t="s">
        <v>190</v>
      </c>
      <c r="C64" t="s">
        <v>27</v>
      </c>
      <c r="D64" t="s">
        <v>76</v>
      </c>
      <c r="E64" t="s">
        <v>32</v>
      </c>
      <c r="F64">
        <v>26</v>
      </c>
      <c r="G64">
        <v>2.39</v>
      </c>
      <c r="H64">
        <v>63</v>
      </c>
      <c r="I64">
        <v>70</v>
      </c>
      <c r="J64">
        <v>79</v>
      </c>
      <c r="K64">
        <v>11</v>
      </c>
      <c r="L64" t="s">
        <v>33</v>
      </c>
      <c r="M64">
        <v>2025</v>
      </c>
    </row>
    <row r="65" spans="1:13" ht="14.5" x14ac:dyDescent="0.35">
      <c r="A65" t="s">
        <v>191</v>
      </c>
      <c r="B65" t="s">
        <v>192</v>
      </c>
      <c r="C65" t="s">
        <v>40</v>
      </c>
      <c r="D65" t="s">
        <v>41</v>
      </c>
      <c r="E65" t="s">
        <v>32</v>
      </c>
      <c r="F65">
        <v>40</v>
      </c>
      <c r="G65">
        <v>4.82</v>
      </c>
      <c r="H65">
        <v>92</v>
      </c>
      <c r="I65">
        <v>80</v>
      </c>
      <c r="J65">
        <v>79</v>
      </c>
      <c r="K65">
        <v>54</v>
      </c>
      <c r="L65" t="s">
        <v>29</v>
      </c>
      <c r="M65">
        <v>2024</v>
      </c>
    </row>
    <row r="66" spans="1:13" ht="14.5" x14ac:dyDescent="0.35">
      <c r="A66" t="s">
        <v>193</v>
      </c>
      <c r="B66" t="s">
        <v>194</v>
      </c>
      <c r="C66" t="s">
        <v>52</v>
      </c>
      <c r="D66" t="s">
        <v>195</v>
      </c>
      <c r="E66" t="s">
        <v>23</v>
      </c>
      <c r="F66">
        <v>25</v>
      </c>
      <c r="G66">
        <v>4.72</v>
      </c>
      <c r="H66">
        <v>73</v>
      </c>
      <c r="I66">
        <v>84</v>
      </c>
      <c r="J66">
        <v>91</v>
      </c>
      <c r="K66">
        <v>9</v>
      </c>
      <c r="L66" t="s">
        <v>33</v>
      </c>
      <c r="M66">
        <v>2026</v>
      </c>
    </row>
    <row r="67" spans="1:13" ht="14.5" x14ac:dyDescent="0.35">
      <c r="A67" t="s">
        <v>196</v>
      </c>
      <c r="B67" t="s">
        <v>197</v>
      </c>
      <c r="C67" t="s">
        <v>69</v>
      </c>
      <c r="D67" t="s">
        <v>70</v>
      </c>
      <c r="E67" t="s">
        <v>23</v>
      </c>
      <c r="F67">
        <v>46</v>
      </c>
      <c r="G67">
        <v>2.9</v>
      </c>
      <c r="H67">
        <v>64</v>
      </c>
      <c r="I67">
        <v>64</v>
      </c>
      <c r="J67">
        <v>93</v>
      </c>
      <c r="K67">
        <v>53</v>
      </c>
      <c r="L67" t="s">
        <v>42</v>
      </c>
      <c r="M67">
        <v>2026</v>
      </c>
    </row>
    <row r="68" spans="1:13" ht="14.5" x14ac:dyDescent="0.35">
      <c r="A68" t="s">
        <v>198</v>
      </c>
      <c r="B68" t="s">
        <v>199</v>
      </c>
      <c r="C68" t="s">
        <v>21</v>
      </c>
      <c r="D68" t="s">
        <v>153</v>
      </c>
      <c r="E68" t="s">
        <v>32</v>
      </c>
      <c r="F68">
        <v>32</v>
      </c>
      <c r="G68">
        <v>3.97</v>
      </c>
      <c r="H68">
        <v>63</v>
      </c>
      <c r="I68">
        <v>71</v>
      </c>
      <c r="J68">
        <v>85</v>
      </c>
      <c r="K68">
        <v>11</v>
      </c>
      <c r="L68" t="s">
        <v>24</v>
      </c>
      <c r="M68">
        <v>2025</v>
      </c>
    </row>
    <row r="69" spans="1:13" ht="14.5" x14ac:dyDescent="0.35">
      <c r="A69" t="s">
        <v>200</v>
      </c>
      <c r="B69" t="s">
        <v>201</v>
      </c>
      <c r="C69" t="s">
        <v>69</v>
      </c>
      <c r="D69" t="s">
        <v>105</v>
      </c>
      <c r="E69" t="s">
        <v>23</v>
      </c>
      <c r="F69">
        <v>29</v>
      </c>
      <c r="G69">
        <v>2.57</v>
      </c>
      <c r="H69">
        <v>98</v>
      </c>
      <c r="I69">
        <v>95</v>
      </c>
      <c r="J69">
        <v>77</v>
      </c>
      <c r="K69">
        <v>17</v>
      </c>
      <c r="L69" t="s">
        <v>42</v>
      </c>
      <c r="M69">
        <v>2025</v>
      </c>
    </row>
    <row r="70" spans="1:13" ht="14.5" x14ac:dyDescent="0.35">
      <c r="A70" t="s">
        <v>202</v>
      </c>
      <c r="B70" t="s">
        <v>203</v>
      </c>
      <c r="C70" t="s">
        <v>45</v>
      </c>
      <c r="D70" t="s">
        <v>46</v>
      </c>
      <c r="E70" t="s">
        <v>23</v>
      </c>
      <c r="F70">
        <v>53</v>
      </c>
      <c r="G70">
        <v>3.43</v>
      </c>
      <c r="H70">
        <v>80</v>
      </c>
      <c r="I70">
        <v>74</v>
      </c>
      <c r="J70">
        <v>77</v>
      </c>
      <c r="K70">
        <v>52</v>
      </c>
      <c r="L70" t="s">
        <v>29</v>
      </c>
      <c r="M70">
        <v>2025</v>
      </c>
    </row>
    <row r="71" spans="1:13" ht="14.5" x14ac:dyDescent="0.35">
      <c r="A71" t="s">
        <v>204</v>
      </c>
      <c r="B71" t="s">
        <v>205</v>
      </c>
      <c r="C71" t="s">
        <v>108</v>
      </c>
      <c r="D71" t="s">
        <v>206</v>
      </c>
      <c r="E71" t="s">
        <v>23</v>
      </c>
      <c r="F71">
        <v>36</v>
      </c>
      <c r="G71">
        <v>4.4800000000000004</v>
      </c>
      <c r="H71">
        <v>74</v>
      </c>
      <c r="I71">
        <v>65</v>
      </c>
      <c r="J71">
        <v>66</v>
      </c>
      <c r="K71">
        <v>45</v>
      </c>
      <c r="L71" t="s">
        <v>33</v>
      </c>
      <c r="M71">
        <v>2024</v>
      </c>
    </row>
    <row r="72" spans="1:13" ht="14.5" x14ac:dyDescent="0.35">
      <c r="A72" t="s">
        <v>207</v>
      </c>
      <c r="B72" t="s">
        <v>208</v>
      </c>
      <c r="C72" t="s">
        <v>36</v>
      </c>
      <c r="D72" t="s">
        <v>84</v>
      </c>
      <c r="E72" t="s">
        <v>32</v>
      </c>
      <c r="F72">
        <v>39</v>
      </c>
      <c r="G72">
        <v>2.29</v>
      </c>
      <c r="H72">
        <v>70</v>
      </c>
      <c r="I72">
        <v>60</v>
      </c>
      <c r="J72">
        <v>88</v>
      </c>
      <c r="K72">
        <v>54</v>
      </c>
      <c r="L72" t="s">
        <v>24</v>
      </c>
      <c r="M72">
        <v>2026</v>
      </c>
    </row>
    <row r="73" spans="1:13" ht="14.5" x14ac:dyDescent="0.35">
      <c r="A73" t="s">
        <v>209</v>
      </c>
      <c r="B73" t="s">
        <v>210</v>
      </c>
      <c r="C73" t="s">
        <v>27</v>
      </c>
      <c r="D73" t="s">
        <v>28</v>
      </c>
      <c r="E73" t="s">
        <v>32</v>
      </c>
      <c r="F73">
        <v>30</v>
      </c>
      <c r="G73">
        <v>3.73</v>
      </c>
      <c r="H73">
        <v>66</v>
      </c>
      <c r="I73">
        <v>81</v>
      </c>
      <c r="J73">
        <v>76</v>
      </c>
      <c r="K73">
        <v>48</v>
      </c>
      <c r="L73" t="s">
        <v>66</v>
      </c>
      <c r="M73">
        <v>2025</v>
      </c>
    </row>
    <row r="74" spans="1:13" ht="14.5" x14ac:dyDescent="0.35">
      <c r="A74" t="s">
        <v>211</v>
      </c>
      <c r="B74" t="s">
        <v>212</v>
      </c>
      <c r="C74" t="s">
        <v>69</v>
      </c>
      <c r="D74" t="s">
        <v>105</v>
      </c>
      <c r="E74" t="s">
        <v>23</v>
      </c>
      <c r="F74">
        <v>47</v>
      </c>
      <c r="G74">
        <v>2.73</v>
      </c>
      <c r="H74">
        <v>75</v>
      </c>
      <c r="I74">
        <v>96</v>
      </c>
      <c r="J74">
        <v>95</v>
      </c>
      <c r="K74">
        <v>37</v>
      </c>
      <c r="L74" t="s">
        <v>42</v>
      </c>
      <c r="M74">
        <v>2025</v>
      </c>
    </row>
    <row r="75" spans="1:13" ht="14.5" x14ac:dyDescent="0.35">
      <c r="A75" t="s">
        <v>213</v>
      </c>
      <c r="B75" t="s">
        <v>214</v>
      </c>
      <c r="C75" t="s">
        <v>52</v>
      </c>
      <c r="D75" t="s">
        <v>195</v>
      </c>
      <c r="E75" t="s">
        <v>23</v>
      </c>
      <c r="F75">
        <v>45</v>
      </c>
      <c r="G75">
        <v>3.93</v>
      </c>
      <c r="H75">
        <v>97</v>
      </c>
      <c r="I75">
        <v>68</v>
      </c>
      <c r="J75">
        <v>69</v>
      </c>
      <c r="K75">
        <v>33</v>
      </c>
      <c r="L75" t="s">
        <v>24</v>
      </c>
      <c r="M75">
        <v>2026</v>
      </c>
    </row>
    <row r="76" spans="1:13" ht="14.5" x14ac:dyDescent="0.35">
      <c r="A76" t="s">
        <v>215</v>
      </c>
      <c r="B76" t="s">
        <v>216</v>
      </c>
      <c r="C76" t="s">
        <v>56</v>
      </c>
      <c r="D76" t="s">
        <v>217</v>
      </c>
      <c r="E76" t="s">
        <v>32</v>
      </c>
      <c r="F76">
        <v>43</v>
      </c>
      <c r="G76">
        <v>3.25</v>
      </c>
      <c r="H76">
        <v>66</v>
      </c>
      <c r="I76">
        <v>96</v>
      </c>
      <c r="J76">
        <v>70</v>
      </c>
      <c r="K76">
        <v>13</v>
      </c>
      <c r="L76" t="s">
        <v>66</v>
      </c>
      <c r="M76">
        <v>2025</v>
      </c>
    </row>
    <row r="77" spans="1:13" ht="14.5" x14ac:dyDescent="0.35">
      <c r="A77" t="s">
        <v>218</v>
      </c>
      <c r="B77" t="s">
        <v>219</v>
      </c>
      <c r="C77" t="s">
        <v>27</v>
      </c>
      <c r="D77" t="s">
        <v>87</v>
      </c>
      <c r="E77" t="s">
        <v>23</v>
      </c>
      <c r="F77">
        <v>35</v>
      </c>
      <c r="G77">
        <v>2.48</v>
      </c>
      <c r="H77">
        <v>93</v>
      </c>
      <c r="I77">
        <v>74</v>
      </c>
      <c r="J77">
        <v>68</v>
      </c>
      <c r="K77">
        <v>43</v>
      </c>
      <c r="L77" t="s">
        <v>66</v>
      </c>
      <c r="M77">
        <v>2025</v>
      </c>
    </row>
    <row r="78" spans="1:13" ht="14.5" x14ac:dyDescent="0.35">
      <c r="A78" t="s">
        <v>220</v>
      </c>
      <c r="B78" t="s">
        <v>221</v>
      </c>
      <c r="C78" t="s">
        <v>56</v>
      </c>
      <c r="D78" t="s">
        <v>57</v>
      </c>
      <c r="E78" t="s">
        <v>23</v>
      </c>
      <c r="F78">
        <v>31</v>
      </c>
      <c r="G78">
        <v>2.2599999999999998</v>
      </c>
      <c r="H78">
        <v>80</v>
      </c>
      <c r="I78">
        <v>76</v>
      </c>
      <c r="J78">
        <v>89</v>
      </c>
      <c r="K78">
        <v>50</v>
      </c>
      <c r="L78" t="s">
        <v>42</v>
      </c>
      <c r="M78">
        <v>2024</v>
      </c>
    </row>
    <row r="79" spans="1:13" ht="14.5" x14ac:dyDescent="0.35">
      <c r="A79" t="s">
        <v>222</v>
      </c>
      <c r="B79" t="s">
        <v>223</v>
      </c>
      <c r="C79" t="s">
        <v>52</v>
      </c>
      <c r="D79" t="s">
        <v>224</v>
      </c>
      <c r="E79" t="s">
        <v>32</v>
      </c>
      <c r="F79">
        <v>26</v>
      </c>
      <c r="G79">
        <v>4.6399999999999997</v>
      </c>
      <c r="H79">
        <v>72</v>
      </c>
      <c r="I79">
        <v>78</v>
      </c>
      <c r="J79">
        <v>69</v>
      </c>
      <c r="K79">
        <v>39</v>
      </c>
      <c r="L79" t="s">
        <v>66</v>
      </c>
      <c r="M79">
        <v>2024</v>
      </c>
    </row>
    <row r="80" spans="1:13" ht="14.5" x14ac:dyDescent="0.35">
      <c r="A80" t="s">
        <v>225</v>
      </c>
      <c r="B80" t="s">
        <v>226</v>
      </c>
      <c r="C80" t="s">
        <v>159</v>
      </c>
      <c r="D80" t="s">
        <v>160</v>
      </c>
      <c r="E80" t="s">
        <v>23</v>
      </c>
      <c r="F80">
        <v>45</v>
      </c>
      <c r="G80">
        <v>4.59</v>
      </c>
      <c r="H80">
        <v>94</v>
      </c>
      <c r="I80">
        <v>79</v>
      </c>
      <c r="J80">
        <v>90</v>
      </c>
      <c r="K80">
        <v>44</v>
      </c>
      <c r="L80" t="s">
        <v>33</v>
      </c>
      <c r="M80">
        <v>2026</v>
      </c>
    </row>
    <row r="81" spans="1:13" ht="14.5" x14ac:dyDescent="0.35">
      <c r="A81" t="s">
        <v>227</v>
      </c>
      <c r="B81" t="s">
        <v>219</v>
      </c>
      <c r="C81" t="s">
        <v>40</v>
      </c>
      <c r="D81" t="s">
        <v>65</v>
      </c>
      <c r="E81" t="s">
        <v>23</v>
      </c>
      <c r="F81">
        <v>47</v>
      </c>
      <c r="G81">
        <v>4.1500000000000004</v>
      </c>
      <c r="H81">
        <v>69</v>
      </c>
      <c r="I81">
        <v>97</v>
      </c>
      <c r="J81">
        <v>95</v>
      </c>
      <c r="K81">
        <v>21</v>
      </c>
      <c r="L81" t="s">
        <v>33</v>
      </c>
      <c r="M81">
        <v>2024</v>
      </c>
    </row>
    <row r="82" spans="1:13" ht="14.5" x14ac:dyDescent="0.35">
      <c r="A82" t="s">
        <v>228</v>
      </c>
      <c r="B82" t="s">
        <v>229</v>
      </c>
      <c r="C82" t="s">
        <v>27</v>
      </c>
      <c r="D82" t="s">
        <v>28</v>
      </c>
      <c r="E82" t="s">
        <v>23</v>
      </c>
      <c r="F82">
        <v>35</v>
      </c>
      <c r="G82">
        <v>3.15</v>
      </c>
      <c r="H82">
        <v>78</v>
      </c>
      <c r="I82">
        <v>72</v>
      </c>
      <c r="J82">
        <v>86</v>
      </c>
      <c r="K82">
        <v>53</v>
      </c>
      <c r="L82" t="s">
        <v>33</v>
      </c>
      <c r="M82">
        <v>2024</v>
      </c>
    </row>
    <row r="83" spans="1:13" ht="14.5" x14ac:dyDescent="0.35">
      <c r="A83" t="s">
        <v>230</v>
      </c>
      <c r="B83" t="s">
        <v>231</v>
      </c>
      <c r="C83" t="s">
        <v>69</v>
      </c>
      <c r="D83" t="s">
        <v>117</v>
      </c>
      <c r="E83" t="s">
        <v>32</v>
      </c>
      <c r="F83">
        <v>30</v>
      </c>
      <c r="G83">
        <v>2.77</v>
      </c>
      <c r="H83">
        <v>83</v>
      </c>
      <c r="I83">
        <v>63</v>
      </c>
      <c r="J83">
        <v>80</v>
      </c>
      <c r="K83">
        <v>36</v>
      </c>
      <c r="L83" t="s">
        <v>33</v>
      </c>
      <c r="M83">
        <v>2026</v>
      </c>
    </row>
    <row r="84" spans="1:13" ht="14.5" x14ac:dyDescent="0.35">
      <c r="A84" t="s">
        <v>232</v>
      </c>
      <c r="B84" t="s">
        <v>233</v>
      </c>
      <c r="C84" t="s">
        <v>45</v>
      </c>
      <c r="D84" t="s">
        <v>234</v>
      </c>
      <c r="E84" t="s">
        <v>23</v>
      </c>
      <c r="F84">
        <v>37</v>
      </c>
      <c r="G84">
        <v>4.7300000000000004</v>
      </c>
      <c r="H84">
        <v>64</v>
      </c>
      <c r="I84">
        <v>82</v>
      </c>
      <c r="J84">
        <v>69</v>
      </c>
      <c r="K84">
        <v>31</v>
      </c>
      <c r="L84" t="s">
        <v>66</v>
      </c>
      <c r="M84">
        <v>2026</v>
      </c>
    </row>
    <row r="85" spans="1:13" ht="14.5" x14ac:dyDescent="0.35">
      <c r="A85" t="s">
        <v>235</v>
      </c>
      <c r="B85" t="s">
        <v>236</v>
      </c>
      <c r="C85" t="s">
        <v>21</v>
      </c>
      <c r="D85" t="s">
        <v>133</v>
      </c>
      <c r="E85" t="s">
        <v>23</v>
      </c>
      <c r="F85">
        <v>27</v>
      </c>
      <c r="G85">
        <v>3.91</v>
      </c>
      <c r="H85">
        <v>67</v>
      </c>
      <c r="I85">
        <v>95</v>
      </c>
      <c r="J85">
        <v>95</v>
      </c>
      <c r="K85">
        <v>13</v>
      </c>
      <c r="L85" t="s">
        <v>42</v>
      </c>
      <c r="M85">
        <v>2026</v>
      </c>
    </row>
    <row r="86" spans="1:13" ht="14.5" x14ac:dyDescent="0.35">
      <c r="A86" t="s">
        <v>237</v>
      </c>
      <c r="B86" t="s">
        <v>238</v>
      </c>
      <c r="C86" t="s">
        <v>45</v>
      </c>
      <c r="D86" t="s">
        <v>239</v>
      </c>
      <c r="E86" t="s">
        <v>23</v>
      </c>
      <c r="F86">
        <v>33</v>
      </c>
      <c r="G86">
        <v>2.3199999999999998</v>
      </c>
      <c r="H86">
        <v>64</v>
      </c>
      <c r="I86">
        <v>91</v>
      </c>
      <c r="J86">
        <v>97</v>
      </c>
      <c r="K86">
        <v>19</v>
      </c>
      <c r="L86" t="s">
        <v>42</v>
      </c>
      <c r="M86">
        <v>2025</v>
      </c>
    </row>
    <row r="87" spans="1:13" ht="14.5" x14ac:dyDescent="0.35">
      <c r="A87" t="s">
        <v>240</v>
      </c>
      <c r="B87" t="s">
        <v>241</v>
      </c>
      <c r="C87" t="s">
        <v>21</v>
      </c>
      <c r="D87" t="s">
        <v>163</v>
      </c>
      <c r="E87" t="s">
        <v>32</v>
      </c>
      <c r="F87">
        <v>57</v>
      </c>
      <c r="G87">
        <v>3.54</v>
      </c>
      <c r="H87">
        <v>76</v>
      </c>
      <c r="I87">
        <v>61</v>
      </c>
      <c r="J87">
        <v>68</v>
      </c>
      <c r="K87">
        <v>6</v>
      </c>
      <c r="L87" t="s">
        <v>29</v>
      </c>
      <c r="M87">
        <v>2026</v>
      </c>
    </row>
    <row r="88" spans="1:13" ht="14.5" x14ac:dyDescent="0.35">
      <c r="A88" t="s">
        <v>242</v>
      </c>
      <c r="B88" t="s">
        <v>243</v>
      </c>
      <c r="C88" t="s">
        <v>40</v>
      </c>
      <c r="D88" t="s">
        <v>41</v>
      </c>
      <c r="E88" t="s">
        <v>23</v>
      </c>
      <c r="F88">
        <v>21</v>
      </c>
      <c r="G88">
        <v>3.9</v>
      </c>
      <c r="H88">
        <v>86</v>
      </c>
      <c r="I88">
        <v>61</v>
      </c>
      <c r="J88">
        <v>100</v>
      </c>
      <c r="K88">
        <v>35</v>
      </c>
      <c r="L88" t="s">
        <v>33</v>
      </c>
      <c r="M88">
        <v>2025</v>
      </c>
    </row>
    <row r="89" spans="1:13" ht="14.5" x14ac:dyDescent="0.35">
      <c r="A89" t="s">
        <v>244</v>
      </c>
      <c r="B89" t="s">
        <v>78</v>
      </c>
      <c r="C89" t="s">
        <v>40</v>
      </c>
      <c r="D89" t="s">
        <v>65</v>
      </c>
      <c r="E89" t="s">
        <v>32</v>
      </c>
      <c r="F89">
        <v>48</v>
      </c>
      <c r="G89">
        <v>4.34</v>
      </c>
      <c r="H89">
        <v>70</v>
      </c>
      <c r="I89">
        <v>87</v>
      </c>
      <c r="J89">
        <v>92</v>
      </c>
      <c r="K89">
        <v>40</v>
      </c>
      <c r="L89" t="s">
        <v>29</v>
      </c>
      <c r="M89">
        <v>2024</v>
      </c>
    </row>
    <row r="90" spans="1:13" ht="14.5" x14ac:dyDescent="0.35">
      <c r="A90" t="s">
        <v>245</v>
      </c>
      <c r="B90" t="s">
        <v>246</v>
      </c>
      <c r="C90" t="s">
        <v>45</v>
      </c>
      <c r="D90" t="s">
        <v>239</v>
      </c>
      <c r="E90" t="s">
        <v>23</v>
      </c>
      <c r="F90">
        <v>48</v>
      </c>
      <c r="G90">
        <v>3.43</v>
      </c>
      <c r="H90">
        <v>85</v>
      </c>
      <c r="I90">
        <v>82</v>
      </c>
      <c r="J90">
        <v>77</v>
      </c>
      <c r="K90">
        <v>26</v>
      </c>
      <c r="L90" t="s">
        <v>24</v>
      </c>
      <c r="M90">
        <v>2024</v>
      </c>
    </row>
    <row r="91" spans="1:13" ht="14.5" x14ac:dyDescent="0.35">
      <c r="A91" t="s">
        <v>247</v>
      </c>
      <c r="B91" t="s">
        <v>248</v>
      </c>
      <c r="C91" t="s">
        <v>21</v>
      </c>
      <c r="D91" t="s">
        <v>163</v>
      </c>
      <c r="E91" t="s">
        <v>23</v>
      </c>
      <c r="F91">
        <v>36</v>
      </c>
      <c r="G91">
        <v>2.87</v>
      </c>
      <c r="H91">
        <v>67</v>
      </c>
      <c r="I91">
        <v>97</v>
      </c>
      <c r="J91">
        <v>65</v>
      </c>
      <c r="K91">
        <v>19</v>
      </c>
      <c r="L91" t="s">
        <v>24</v>
      </c>
      <c r="M91">
        <v>2026</v>
      </c>
    </row>
    <row r="92" spans="1:13" ht="14.5" x14ac:dyDescent="0.35">
      <c r="A92" t="s">
        <v>249</v>
      </c>
      <c r="B92" t="s">
        <v>250</v>
      </c>
      <c r="C92" t="s">
        <v>40</v>
      </c>
      <c r="D92" t="s">
        <v>41</v>
      </c>
      <c r="E92" t="s">
        <v>23</v>
      </c>
      <c r="F92">
        <v>41</v>
      </c>
      <c r="G92">
        <v>4.3099999999999996</v>
      </c>
      <c r="H92">
        <v>96</v>
      </c>
      <c r="I92">
        <v>96</v>
      </c>
      <c r="J92">
        <v>67</v>
      </c>
      <c r="K92">
        <v>56</v>
      </c>
      <c r="L92" t="s">
        <v>33</v>
      </c>
      <c r="M92">
        <v>2026</v>
      </c>
    </row>
    <row r="93" spans="1:13" ht="14.5" x14ac:dyDescent="0.35">
      <c r="A93" t="s">
        <v>251</v>
      </c>
      <c r="B93" t="s">
        <v>252</v>
      </c>
      <c r="C93" t="s">
        <v>36</v>
      </c>
      <c r="D93" t="s">
        <v>253</v>
      </c>
      <c r="E93" t="s">
        <v>23</v>
      </c>
      <c r="F93">
        <v>38</v>
      </c>
      <c r="G93">
        <v>2.9</v>
      </c>
      <c r="H93">
        <v>65</v>
      </c>
      <c r="I93">
        <v>64</v>
      </c>
      <c r="J93">
        <v>68</v>
      </c>
      <c r="K93">
        <v>13</v>
      </c>
      <c r="L93" t="s">
        <v>24</v>
      </c>
      <c r="M93">
        <v>2024</v>
      </c>
    </row>
    <row r="94" spans="1:13" ht="14.5" x14ac:dyDescent="0.35">
      <c r="A94" t="s">
        <v>254</v>
      </c>
      <c r="B94" t="s">
        <v>255</v>
      </c>
      <c r="C94" t="s">
        <v>21</v>
      </c>
      <c r="D94" t="s">
        <v>133</v>
      </c>
      <c r="E94" t="s">
        <v>23</v>
      </c>
      <c r="F94">
        <v>52</v>
      </c>
      <c r="G94">
        <v>2.99</v>
      </c>
      <c r="H94">
        <v>82</v>
      </c>
      <c r="I94">
        <v>82</v>
      </c>
      <c r="J94">
        <v>80</v>
      </c>
      <c r="K94">
        <v>23</v>
      </c>
      <c r="L94" t="s">
        <v>29</v>
      </c>
      <c r="M94">
        <v>2026</v>
      </c>
    </row>
    <row r="95" spans="1:13" ht="14.5" x14ac:dyDescent="0.35">
      <c r="A95" t="s">
        <v>256</v>
      </c>
      <c r="B95" t="s">
        <v>257</v>
      </c>
      <c r="C95" t="s">
        <v>108</v>
      </c>
      <c r="D95" t="s">
        <v>206</v>
      </c>
      <c r="E95" t="s">
        <v>32</v>
      </c>
      <c r="F95">
        <v>26</v>
      </c>
      <c r="G95">
        <v>3.31</v>
      </c>
      <c r="H95">
        <v>69</v>
      </c>
      <c r="I95">
        <v>64</v>
      </c>
      <c r="J95">
        <v>69</v>
      </c>
      <c r="K95">
        <v>21</v>
      </c>
      <c r="L95" t="s">
        <v>66</v>
      </c>
      <c r="M95">
        <v>2024</v>
      </c>
    </row>
    <row r="96" spans="1:13" ht="14.5" x14ac:dyDescent="0.35">
      <c r="A96" t="s">
        <v>258</v>
      </c>
      <c r="B96" t="s">
        <v>259</v>
      </c>
      <c r="C96" t="s">
        <v>36</v>
      </c>
      <c r="D96" t="s">
        <v>62</v>
      </c>
      <c r="E96" t="s">
        <v>23</v>
      </c>
      <c r="F96">
        <v>51</v>
      </c>
      <c r="G96">
        <v>3.59</v>
      </c>
      <c r="H96">
        <v>84</v>
      </c>
      <c r="I96">
        <v>74</v>
      </c>
      <c r="J96">
        <v>93</v>
      </c>
      <c r="K96">
        <v>50</v>
      </c>
      <c r="L96" t="s">
        <v>42</v>
      </c>
      <c r="M96">
        <v>2025</v>
      </c>
    </row>
    <row r="97" spans="1:13" ht="14.5" x14ac:dyDescent="0.35">
      <c r="A97" t="s">
        <v>260</v>
      </c>
      <c r="B97" t="s">
        <v>261</v>
      </c>
      <c r="C97" t="s">
        <v>27</v>
      </c>
      <c r="D97" t="s">
        <v>73</v>
      </c>
      <c r="E97" t="s">
        <v>23</v>
      </c>
      <c r="F97">
        <v>50</v>
      </c>
      <c r="G97">
        <v>4.38</v>
      </c>
      <c r="H97">
        <v>80</v>
      </c>
      <c r="I97">
        <v>75</v>
      </c>
      <c r="J97">
        <v>98</v>
      </c>
      <c r="K97">
        <v>22</v>
      </c>
      <c r="L97" t="s">
        <v>42</v>
      </c>
      <c r="M97">
        <v>2026</v>
      </c>
    </row>
    <row r="98" spans="1:13" ht="14.5" x14ac:dyDescent="0.35">
      <c r="A98" t="s">
        <v>262</v>
      </c>
      <c r="B98" t="s">
        <v>263</v>
      </c>
      <c r="C98" t="s">
        <v>21</v>
      </c>
      <c r="D98" t="s">
        <v>133</v>
      </c>
      <c r="E98" t="s">
        <v>23</v>
      </c>
      <c r="F98">
        <v>28</v>
      </c>
      <c r="G98">
        <v>3.72</v>
      </c>
      <c r="H98">
        <v>68</v>
      </c>
      <c r="I98">
        <v>63</v>
      </c>
      <c r="J98">
        <v>87</v>
      </c>
      <c r="K98">
        <v>31</v>
      </c>
      <c r="L98" t="s">
        <v>66</v>
      </c>
      <c r="M98">
        <v>2025</v>
      </c>
    </row>
    <row r="99" spans="1:13" ht="14.5" x14ac:dyDescent="0.35">
      <c r="A99" t="s">
        <v>264</v>
      </c>
      <c r="B99" t="s">
        <v>265</v>
      </c>
      <c r="C99" t="s">
        <v>69</v>
      </c>
      <c r="D99" t="s">
        <v>70</v>
      </c>
      <c r="E99" t="s">
        <v>23</v>
      </c>
      <c r="F99">
        <v>58</v>
      </c>
      <c r="G99">
        <v>2.98</v>
      </c>
      <c r="H99">
        <v>75</v>
      </c>
      <c r="I99">
        <v>68</v>
      </c>
      <c r="J99">
        <v>98</v>
      </c>
      <c r="K99">
        <v>19</v>
      </c>
      <c r="L99" t="s">
        <v>42</v>
      </c>
      <c r="M99">
        <v>2026</v>
      </c>
    </row>
    <row r="100" spans="1:13" ht="14.5" x14ac:dyDescent="0.35">
      <c r="A100" t="s">
        <v>266</v>
      </c>
      <c r="B100" t="s">
        <v>267</v>
      </c>
      <c r="C100" t="s">
        <v>69</v>
      </c>
      <c r="D100" t="s">
        <v>150</v>
      </c>
      <c r="E100" t="s">
        <v>32</v>
      </c>
      <c r="F100">
        <v>44</v>
      </c>
      <c r="G100">
        <v>3.75</v>
      </c>
      <c r="H100">
        <v>69</v>
      </c>
      <c r="I100">
        <v>83</v>
      </c>
      <c r="J100">
        <v>74</v>
      </c>
      <c r="K100">
        <v>7</v>
      </c>
      <c r="L100" t="s">
        <v>29</v>
      </c>
      <c r="M100">
        <v>2026</v>
      </c>
    </row>
    <row r="101" spans="1:13" ht="14.5" x14ac:dyDescent="0.35">
      <c r="A101" t="s">
        <v>268</v>
      </c>
      <c r="B101" t="s">
        <v>210</v>
      </c>
      <c r="C101" t="s">
        <v>159</v>
      </c>
      <c r="D101" t="s">
        <v>269</v>
      </c>
      <c r="E101" t="s">
        <v>32</v>
      </c>
      <c r="F101">
        <v>24</v>
      </c>
      <c r="G101">
        <v>3.43</v>
      </c>
      <c r="H101">
        <v>91</v>
      </c>
      <c r="I101">
        <v>67</v>
      </c>
      <c r="J101">
        <v>66</v>
      </c>
      <c r="K101">
        <v>36</v>
      </c>
      <c r="L101" t="s">
        <v>33</v>
      </c>
      <c r="M101">
        <v>2025</v>
      </c>
    </row>
    <row r="102" spans="1:13" ht="14.5" x14ac:dyDescent="0.35">
      <c r="A102" t="s">
        <v>270</v>
      </c>
      <c r="B102" t="s">
        <v>271</v>
      </c>
      <c r="C102" t="s">
        <v>108</v>
      </c>
      <c r="D102" t="s">
        <v>114</v>
      </c>
      <c r="E102" t="s">
        <v>32</v>
      </c>
      <c r="F102">
        <v>57</v>
      </c>
      <c r="G102">
        <v>2.98</v>
      </c>
      <c r="H102">
        <v>86</v>
      </c>
      <c r="I102">
        <v>79</v>
      </c>
      <c r="J102">
        <v>70</v>
      </c>
      <c r="K102">
        <v>8</v>
      </c>
      <c r="L102" t="s">
        <v>42</v>
      </c>
      <c r="M102">
        <v>2026</v>
      </c>
    </row>
    <row r="103" spans="1:13" ht="14.5" x14ac:dyDescent="0.35">
      <c r="A103" t="s">
        <v>272</v>
      </c>
      <c r="B103" t="s">
        <v>273</v>
      </c>
      <c r="C103" t="s">
        <v>40</v>
      </c>
      <c r="D103" t="s">
        <v>90</v>
      </c>
      <c r="E103" t="s">
        <v>32</v>
      </c>
      <c r="F103">
        <v>37</v>
      </c>
      <c r="G103">
        <v>3.28</v>
      </c>
      <c r="H103">
        <v>63</v>
      </c>
      <c r="I103">
        <v>84</v>
      </c>
      <c r="J103">
        <v>89</v>
      </c>
      <c r="K103">
        <v>33</v>
      </c>
      <c r="L103" t="s">
        <v>33</v>
      </c>
      <c r="M103">
        <v>2024</v>
      </c>
    </row>
    <row r="104" spans="1:13" ht="14.5" x14ac:dyDescent="0.35">
      <c r="A104" t="s">
        <v>274</v>
      </c>
      <c r="B104" t="s">
        <v>275</v>
      </c>
      <c r="C104" t="s">
        <v>56</v>
      </c>
      <c r="D104" t="s">
        <v>217</v>
      </c>
      <c r="E104" t="s">
        <v>32</v>
      </c>
      <c r="F104">
        <v>57</v>
      </c>
      <c r="G104">
        <v>2.78</v>
      </c>
      <c r="H104">
        <v>73</v>
      </c>
      <c r="I104">
        <v>87</v>
      </c>
      <c r="J104">
        <v>99</v>
      </c>
      <c r="K104">
        <v>8</v>
      </c>
      <c r="L104" t="s">
        <v>42</v>
      </c>
      <c r="M104">
        <v>2024</v>
      </c>
    </row>
    <row r="105" spans="1:13" ht="14.5" x14ac:dyDescent="0.35">
      <c r="A105" t="s">
        <v>276</v>
      </c>
      <c r="B105" t="s">
        <v>233</v>
      </c>
      <c r="C105" t="s">
        <v>36</v>
      </c>
      <c r="D105" t="s">
        <v>37</v>
      </c>
      <c r="E105" t="s">
        <v>32</v>
      </c>
      <c r="F105">
        <v>28</v>
      </c>
      <c r="G105">
        <v>3.72</v>
      </c>
      <c r="H105">
        <v>84</v>
      </c>
      <c r="I105">
        <v>61</v>
      </c>
      <c r="J105">
        <v>86</v>
      </c>
      <c r="K105">
        <v>58</v>
      </c>
      <c r="L105" t="s">
        <v>42</v>
      </c>
      <c r="M105">
        <v>2026</v>
      </c>
    </row>
    <row r="106" spans="1:13" ht="14.5" x14ac:dyDescent="0.35">
      <c r="A106" t="s">
        <v>277</v>
      </c>
      <c r="B106" t="s">
        <v>278</v>
      </c>
      <c r="C106" t="s">
        <v>45</v>
      </c>
      <c r="D106" t="s">
        <v>234</v>
      </c>
      <c r="E106" t="s">
        <v>23</v>
      </c>
      <c r="F106">
        <v>49</v>
      </c>
      <c r="G106">
        <v>2.81</v>
      </c>
      <c r="H106">
        <v>63</v>
      </c>
      <c r="I106">
        <v>81</v>
      </c>
      <c r="J106">
        <v>92</v>
      </c>
      <c r="K106">
        <v>60</v>
      </c>
      <c r="L106" t="s">
        <v>24</v>
      </c>
      <c r="M106">
        <v>2026</v>
      </c>
    </row>
    <row r="107" spans="1:13" ht="14.5" x14ac:dyDescent="0.35">
      <c r="A107" t="s">
        <v>279</v>
      </c>
      <c r="B107" t="s">
        <v>280</v>
      </c>
      <c r="C107" t="s">
        <v>56</v>
      </c>
      <c r="D107" t="s">
        <v>57</v>
      </c>
      <c r="E107" t="s">
        <v>32</v>
      </c>
      <c r="F107">
        <v>27</v>
      </c>
      <c r="G107">
        <v>4.8</v>
      </c>
      <c r="H107">
        <v>65</v>
      </c>
      <c r="I107">
        <v>66</v>
      </c>
      <c r="J107">
        <v>100</v>
      </c>
      <c r="K107">
        <v>29</v>
      </c>
      <c r="L107" t="s">
        <v>42</v>
      </c>
      <c r="M107">
        <v>2026</v>
      </c>
    </row>
    <row r="108" spans="1:13" ht="14.5" x14ac:dyDescent="0.35">
      <c r="A108" t="s">
        <v>281</v>
      </c>
      <c r="B108" t="s">
        <v>282</v>
      </c>
      <c r="C108" t="s">
        <v>21</v>
      </c>
      <c r="D108" t="s">
        <v>133</v>
      </c>
      <c r="E108" t="s">
        <v>32</v>
      </c>
      <c r="F108">
        <v>32</v>
      </c>
      <c r="G108">
        <v>3.5</v>
      </c>
      <c r="H108">
        <v>98</v>
      </c>
      <c r="I108">
        <v>96</v>
      </c>
      <c r="J108">
        <v>98</v>
      </c>
      <c r="K108">
        <v>21</v>
      </c>
      <c r="L108" t="s">
        <v>29</v>
      </c>
      <c r="M108">
        <v>2025</v>
      </c>
    </row>
    <row r="109" spans="1:13" ht="14.5" x14ac:dyDescent="0.35">
      <c r="A109" t="s">
        <v>283</v>
      </c>
      <c r="B109" t="s">
        <v>186</v>
      </c>
      <c r="C109" t="s">
        <v>56</v>
      </c>
      <c r="D109" t="s">
        <v>217</v>
      </c>
      <c r="E109" t="s">
        <v>23</v>
      </c>
      <c r="F109">
        <v>39</v>
      </c>
      <c r="G109">
        <v>3.51</v>
      </c>
      <c r="H109">
        <v>77</v>
      </c>
      <c r="I109">
        <v>68</v>
      </c>
      <c r="J109">
        <v>65</v>
      </c>
      <c r="K109">
        <v>22</v>
      </c>
      <c r="L109" t="s">
        <v>42</v>
      </c>
      <c r="M109">
        <v>2024</v>
      </c>
    </row>
    <row r="110" spans="1:13" ht="14.5" x14ac:dyDescent="0.35">
      <c r="A110" t="s">
        <v>284</v>
      </c>
      <c r="B110" t="s">
        <v>285</v>
      </c>
      <c r="C110" t="s">
        <v>108</v>
      </c>
      <c r="D110" t="s">
        <v>114</v>
      </c>
      <c r="E110" t="s">
        <v>32</v>
      </c>
      <c r="F110">
        <v>37</v>
      </c>
      <c r="G110">
        <v>5</v>
      </c>
      <c r="H110">
        <v>96</v>
      </c>
      <c r="I110">
        <v>78</v>
      </c>
      <c r="J110">
        <v>86</v>
      </c>
      <c r="K110">
        <v>41</v>
      </c>
      <c r="L110" t="s">
        <v>24</v>
      </c>
      <c r="M110">
        <v>2024</v>
      </c>
    </row>
    <row r="111" spans="1:13" ht="14.5" x14ac:dyDescent="0.35">
      <c r="A111" t="s">
        <v>286</v>
      </c>
      <c r="B111" t="s">
        <v>101</v>
      </c>
      <c r="C111" t="s">
        <v>56</v>
      </c>
      <c r="D111" t="s">
        <v>79</v>
      </c>
      <c r="E111" t="s">
        <v>32</v>
      </c>
      <c r="F111">
        <v>30</v>
      </c>
      <c r="G111">
        <v>3.92</v>
      </c>
      <c r="H111">
        <v>85</v>
      </c>
      <c r="I111">
        <v>77</v>
      </c>
      <c r="J111">
        <v>81</v>
      </c>
      <c r="K111">
        <v>55</v>
      </c>
      <c r="L111" t="s">
        <v>66</v>
      </c>
      <c r="M111">
        <v>2024</v>
      </c>
    </row>
    <row r="112" spans="1:13" ht="14.5" x14ac:dyDescent="0.35">
      <c r="A112" t="s">
        <v>287</v>
      </c>
      <c r="B112" t="s">
        <v>288</v>
      </c>
      <c r="C112" t="s">
        <v>159</v>
      </c>
      <c r="D112" t="s">
        <v>269</v>
      </c>
      <c r="E112" t="s">
        <v>23</v>
      </c>
      <c r="F112">
        <v>49</v>
      </c>
      <c r="G112">
        <v>2.5499999999999998</v>
      </c>
      <c r="H112">
        <v>98</v>
      </c>
      <c r="I112">
        <v>80</v>
      </c>
      <c r="J112">
        <v>81</v>
      </c>
      <c r="K112">
        <v>59</v>
      </c>
      <c r="L112" t="s">
        <v>29</v>
      </c>
      <c r="M112">
        <v>2025</v>
      </c>
    </row>
    <row r="113" spans="1:13" ht="14.5" x14ac:dyDescent="0.35">
      <c r="A113" t="s">
        <v>289</v>
      </c>
      <c r="B113" t="s">
        <v>290</v>
      </c>
      <c r="C113" t="s">
        <v>56</v>
      </c>
      <c r="D113" t="s">
        <v>57</v>
      </c>
      <c r="E113" t="s">
        <v>23</v>
      </c>
      <c r="F113">
        <v>49</v>
      </c>
      <c r="G113">
        <v>3.5</v>
      </c>
      <c r="H113">
        <v>90</v>
      </c>
      <c r="I113">
        <v>60</v>
      </c>
      <c r="J113">
        <v>94</v>
      </c>
      <c r="K113">
        <v>7</v>
      </c>
      <c r="L113" t="s">
        <v>42</v>
      </c>
      <c r="M113">
        <v>2025</v>
      </c>
    </row>
    <row r="114" spans="1:13" ht="14.5" x14ac:dyDescent="0.35">
      <c r="A114" t="s">
        <v>291</v>
      </c>
      <c r="B114" t="s">
        <v>292</v>
      </c>
      <c r="C114" t="s">
        <v>40</v>
      </c>
      <c r="D114" t="s">
        <v>293</v>
      </c>
      <c r="E114" t="s">
        <v>32</v>
      </c>
      <c r="F114">
        <v>26</v>
      </c>
      <c r="G114">
        <v>3.99</v>
      </c>
      <c r="H114">
        <v>97</v>
      </c>
      <c r="I114">
        <v>73</v>
      </c>
      <c r="J114">
        <v>91</v>
      </c>
      <c r="K114">
        <v>8</v>
      </c>
      <c r="L114" t="s">
        <v>66</v>
      </c>
      <c r="M114">
        <v>2024</v>
      </c>
    </row>
    <row r="115" spans="1:13" ht="14.5" x14ac:dyDescent="0.35">
      <c r="A115" t="s">
        <v>294</v>
      </c>
      <c r="B115" t="s">
        <v>295</v>
      </c>
      <c r="C115" t="s">
        <v>45</v>
      </c>
      <c r="D115" t="s">
        <v>296</v>
      </c>
      <c r="E115" t="s">
        <v>23</v>
      </c>
      <c r="F115">
        <v>57</v>
      </c>
      <c r="G115">
        <v>2.97</v>
      </c>
      <c r="H115">
        <v>97</v>
      </c>
      <c r="I115">
        <v>80</v>
      </c>
      <c r="J115">
        <v>69</v>
      </c>
      <c r="K115">
        <v>33</v>
      </c>
      <c r="L115" t="s">
        <v>29</v>
      </c>
      <c r="M115">
        <v>2025</v>
      </c>
    </row>
    <row r="116" spans="1:13" ht="14.5" x14ac:dyDescent="0.35">
      <c r="A116" t="s">
        <v>297</v>
      </c>
      <c r="B116" t="s">
        <v>298</v>
      </c>
      <c r="C116" t="s">
        <v>108</v>
      </c>
      <c r="D116" t="s">
        <v>126</v>
      </c>
      <c r="E116" t="s">
        <v>32</v>
      </c>
      <c r="F116">
        <v>58</v>
      </c>
      <c r="G116">
        <v>4.34</v>
      </c>
      <c r="H116">
        <v>79</v>
      </c>
      <c r="I116">
        <v>76</v>
      </c>
      <c r="J116">
        <v>96</v>
      </c>
      <c r="K116">
        <v>13</v>
      </c>
      <c r="L116" t="s">
        <v>29</v>
      </c>
      <c r="M116">
        <v>2026</v>
      </c>
    </row>
    <row r="117" spans="1:13" ht="14.5" x14ac:dyDescent="0.35">
      <c r="A117" t="s">
        <v>299</v>
      </c>
      <c r="B117" t="s">
        <v>300</v>
      </c>
      <c r="C117" t="s">
        <v>21</v>
      </c>
      <c r="D117" t="s">
        <v>153</v>
      </c>
      <c r="E117" t="s">
        <v>23</v>
      </c>
      <c r="F117">
        <v>47</v>
      </c>
      <c r="G117">
        <v>2.69</v>
      </c>
      <c r="H117">
        <v>65</v>
      </c>
      <c r="I117">
        <v>74</v>
      </c>
      <c r="J117">
        <v>72</v>
      </c>
      <c r="K117">
        <v>46</v>
      </c>
      <c r="L117" t="s">
        <v>33</v>
      </c>
      <c r="M117">
        <v>2024</v>
      </c>
    </row>
    <row r="118" spans="1:13" ht="14.5" x14ac:dyDescent="0.35">
      <c r="A118" t="s">
        <v>301</v>
      </c>
      <c r="B118" t="s">
        <v>302</v>
      </c>
      <c r="C118" t="s">
        <v>159</v>
      </c>
      <c r="D118" t="s">
        <v>269</v>
      </c>
      <c r="E118" t="s">
        <v>23</v>
      </c>
      <c r="F118">
        <v>52</v>
      </c>
      <c r="G118">
        <v>4.12</v>
      </c>
      <c r="H118">
        <v>90</v>
      </c>
      <c r="I118">
        <v>97</v>
      </c>
      <c r="J118">
        <v>85</v>
      </c>
      <c r="K118">
        <v>7</v>
      </c>
      <c r="L118" t="s">
        <v>66</v>
      </c>
      <c r="M118">
        <v>2026</v>
      </c>
    </row>
    <row r="119" spans="1:13" ht="14.5" x14ac:dyDescent="0.35">
      <c r="A119" t="s">
        <v>303</v>
      </c>
      <c r="B119" t="s">
        <v>304</v>
      </c>
      <c r="C119" t="s">
        <v>52</v>
      </c>
      <c r="D119" t="s">
        <v>224</v>
      </c>
      <c r="E119" t="s">
        <v>32</v>
      </c>
      <c r="F119">
        <v>41</v>
      </c>
      <c r="G119">
        <v>2.84</v>
      </c>
      <c r="H119">
        <v>78</v>
      </c>
      <c r="I119">
        <v>76</v>
      </c>
      <c r="J119">
        <v>66</v>
      </c>
      <c r="K119">
        <v>48</v>
      </c>
      <c r="L119" t="s">
        <v>42</v>
      </c>
      <c r="M119">
        <v>2026</v>
      </c>
    </row>
    <row r="120" spans="1:13" ht="14.5" x14ac:dyDescent="0.35">
      <c r="A120" t="s">
        <v>305</v>
      </c>
      <c r="B120" t="s">
        <v>306</v>
      </c>
      <c r="C120" t="s">
        <v>27</v>
      </c>
      <c r="D120" t="s">
        <v>28</v>
      </c>
      <c r="E120" t="s">
        <v>23</v>
      </c>
      <c r="F120">
        <v>47</v>
      </c>
      <c r="G120">
        <v>4.21</v>
      </c>
      <c r="H120">
        <v>100</v>
      </c>
      <c r="I120">
        <v>75</v>
      </c>
      <c r="J120">
        <v>87</v>
      </c>
      <c r="K120">
        <v>11</v>
      </c>
      <c r="L120" t="s">
        <v>33</v>
      </c>
      <c r="M120">
        <v>2026</v>
      </c>
    </row>
    <row r="121" spans="1:13" ht="14.5" x14ac:dyDescent="0.35">
      <c r="A121" t="s">
        <v>307</v>
      </c>
      <c r="B121" t="s">
        <v>308</v>
      </c>
      <c r="C121" t="s">
        <v>45</v>
      </c>
      <c r="D121" t="s">
        <v>239</v>
      </c>
      <c r="E121" t="s">
        <v>23</v>
      </c>
      <c r="F121">
        <v>24</v>
      </c>
      <c r="G121">
        <v>3.44</v>
      </c>
      <c r="H121">
        <v>94</v>
      </c>
      <c r="I121">
        <v>64</v>
      </c>
      <c r="J121">
        <v>80</v>
      </c>
      <c r="K121">
        <v>18</v>
      </c>
      <c r="L121" t="s">
        <v>42</v>
      </c>
      <c r="M121">
        <v>2026</v>
      </c>
    </row>
    <row r="122" spans="1:13" ht="14.5" x14ac:dyDescent="0.35">
      <c r="A122" t="s">
        <v>309</v>
      </c>
      <c r="B122" t="s">
        <v>310</v>
      </c>
      <c r="C122" t="s">
        <v>36</v>
      </c>
      <c r="D122" t="s">
        <v>84</v>
      </c>
      <c r="E122" t="s">
        <v>23</v>
      </c>
      <c r="F122">
        <v>28</v>
      </c>
      <c r="G122">
        <v>3.24</v>
      </c>
      <c r="H122">
        <v>88</v>
      </c>
      <c r="I122">
        <v>64</v>
      </c>
      <c r="J122">
        <v>92</v>
      </c>
      <c r="K122">
        <v>23</v>
      </c>
      <c r="L122" t="s">
        <v>29</v>
      </c>
      <c r="M122">
        <v>2024</v>
      </c>
    </row>
    <row r="123" spans="1:13" ht="14.5" x14ac:dyDescent="0.35">
      <c r="A123" t="s">
        <v>311</v>
      </c>
      <c r="B123" t="s">
        <v>312</v>
      </c>
      <c r="C123" t="s">
        <v>159</v>
      </c>
      <c r="D123" t="s">
        <v>269</v>
      </c>
      <c r="E123" t="s">
        <v>32</v>
      </c>
      <c r="F123">
        <v>56</v>
      </c>
      <c r="G123">
        <v>3.11</v>
      </c>
      <c r="H123">
        <v>85</v>
      </c>
      <c r="I123">
        <v>81</v>
      </c>
      <c r="J123">
        <v>91</v>
      </c>
      <c r="K123">
        <v>46</v>
      </c>
      <c r="L123" t="s">
        <v>42</v>
      </c>
      <c r="M123">
        <v>2025</v>
      </c>
    </row>
    <row r="124" spans="1:13" ht="14.5" x14ac:dyDescent="0.35">
      <c r="A124" t="s">
        <v>313</v>
      </c>
      <c r="B124" t="s">
        <v>314</v>
      </c>
      <c r="C124" t="s">
        <v>108</v>
      </c>
      <c r="D124" t="s">
        <v>114</v>
      </c>
      <c r="E124" t="s">
        <v>32</v>
      </c>
      <c r="F124">
        <v>52</v>
      </c>
      <c r="G124">
        <v>4.84</v>
      </c>
      <c r="H124">
        <v>80</v>
      </c>
      <c r="I124">
        <v>99</v>
      </c>
      <c r="J124">
        <v>66</v>
      </c>
      <c r="K124">
        <v>15</v>
      </c>
      <c r="L124" t="s">
        <v>42</v>
      </c>
      <c r="M124">
        <v>2024</v>
      </c>
    </row>
    <row r="125" spans="1:13" ht="14.5" x14ac:dyDescent="0.35">
      <c r="A125" t="s">
        <v>315</v>
      </c>
      <c r="B125" t="s">
        <v>316</v>
      </c>
      <c r="C125" t="s">
        <v>56</v>
      </c>
      <c r="D125" t="s">
        <v>217</v>
      </c>
      <c r="E125" t="s">
        <v>23</v>
      </c>
      <c r="F125">
        <v>36</v>
      </c>
      <c r="G125">
        <v>3.01</v>
      </c>
      <c r="H125">
        <v>71</v>
      </c>
      <c r="I125">
        <v>97</v>
      </c>
      <c r="J125">
        <v>66</v>
      </c>
      <c r="K125">
        <v>11</v>
      </c>
      <c r="L125" t="s">
        <v>66</v>
      </c>
      <c r="M125">
        <v>2024</v>
      </c>
    </row>
    <row r="126" spans="1:13" ht="14.5" x14ac:dyDescent="0.35">
      <c r="A126" t="s">
        <v>317</v>
      </c>
      <c r="B126" t="s">
        <v>318</v>
      </c>
      <c r="C126" t="s">
        <v>69</v>
      </c>
      <c r="D126" t="s">
        <v>319</v>
      </c>
      <c r="E126" t="s">
        <v>32</v>
      </c>
      <c r="F126">
        <v>25</v>
      </c>
      <c r="G126">
        <v>4.46</v>
      </c>
      <c r="H126">
        <v>94</v>
      </c>
      <c r="I126">
        <v>92</v>
      </c>
      <c r="J126">
        <v>87</v>
      </c>
      <c r="K126">
        <v>18</v>
      </c>
      <c r="L126" t="s">
        <v>24</v>
      </c>
      <c r="M126">
        <v>2026</v>
      </c>
    </row>
    <row r="127" spans="1:13" ht="14.5" x14ac:dyDescent="0.35">
      <c r="A127" t="s">
        <v>320</v>
      </c>
      <c r="B127" t="s">
        <v>321</v>
      </c>
      <c r="C127" t="s">
        <v>36</v>
      </c>
      <c r="D127" t="s">
        <v>37</v>
      </c>
      <c r="E127" t="s">
        <v>23</v>
      </c>
      <c r="F127">
        <v>40</v>
      </c>
      <c r="G127">
        <v>2.29</v>
      </c>
      <c r="H127">
        <v>71</v>
      </c>
      <c r="I127">
        <v>84</v>
      </c>
      <c r="J127">
        <v>70</v>
      </c>
      <c r="K127">
        <v>9</v>
      </c>
      <c r="L127" t="s">
        <v>29</v>
      </c>
      <c r="M127">
        <v>2026</v>
      </c>
    </row>
    <row r="128" spans="1:13" ht="14.5" x14ac:dyDescent="0.35">
      <c r="A128" t="s">
        <v>322</v>
      </c>
      <c r="B128" t="s">
        <v>323</v>
      </c>
      <c r="C128" t="s">
        <v>159</v>
      </c>
      <c r="D128" t="s">
        <v>324</v>
      </c>
      <c r="E128" t="s">
        <v>23</v>
      </c>
      <c r="F128">
        <v>43</v>
      </c>
      <c r="G128">
        <v>3.61</v>
      </c>
      <c r="H128">
        <v>98</v>
      </c>
      <c r="I128">
        <v>100</v>
      </c>
      <c r="J128">
        <v>100</v>
      </c>
      <c r="K128">
        <v>51</v>
      </c>
      <c r="L128" t="s">
        <v>24</v>
      </c>
      <c r="M128">
        <v>2026</v>
      </c>
    </row>
    <row r="129" spans="1:13" ht="14.5" x14ac:dyDescent="0.35">
      <c r="A129" t="s">
        <v>325</v>
      </c>
      <c r="B129" t="s">
        <v>257</v>
      </c>
      <c r="C129" t="s">
        <v>56</v>
      </c>
      <c r="D129" t="s">
        <v>217</v>
      </c>
      <c r="E129" t="s">
        <v>23</v>
      </c>
      <c r="F129">
        <v>33</v>
      </c>
      <c r="G129">
        <v>4.25</v>
      </c>
      <c r="H129">
        <v>95</v>
      </c>
      <c r="I129">
        <v>63</v>
      </c>
      <c r="J129">
        <v>95</v>
      </c>
      <c r="K129">
        <v>47</v>
      </c>
      <c r="L129" t="s">
        <v>66</v>
      </c>
      <c r="M129">
        <v>2026</v>
      </c>
    </row>
    <row r="130" spans="1:13" ht="14.5" x14ac:dyDescent="0.35">
      <c r="A130" t="s">
        <v>326</v>
      </c>
      <c r="B130" t="s">
        <v>327</v>
      </c>
      <c r="C130" t="s">
        <v>56</v>
      </c>
      <c r="D130" t="s">
        <v>79</v>
      </c>
      <c r="E130" t="s">
        <v>23</v>
      </c>
      <c r="F130">
        <v>51</v>
      </c>
      <c r="G130">
        <v>3.43</v>
      </c>
      <c r="H130">
        <v>79</v>
      </c>
      <c r="I130">
        <v>72</v>
      </c>
      <c r="J130">
        <v>83</v>
      </c>
      <c r="K130">
        <v>20</v>
      </c>
      <c r="L130" t="s">
        <v>42</v>
      </c>
      <c r="M130">
        <v>2024</v>
      </c>
    </row>
    <row r="131" spans="1:13" ht="14.5" x14ac:dyDescent="0.35">
      <c r="A131" t="s">
        <v>328</v>
      </c>
      <c r="B131" t="s">
        <v>51</v>
      </c>
      <c r="C131" t="s">
        <v>108</v>
      </c>
      <c r="D131" t="s">
        <v>114</v>
      </c>
      <c r="E131" t="s">
        <v>32</v>
      </c>
      <c r="F131">
        <v>53</v>
      </c>
      <c r="G131">
        <v>4.4400000000000004</v>
      </c>
      <c r="H131">
        <v>85</v>
      </c>
      <c r="I131">
        <v>74</v>
      </c>
      <c r="J131">
        <v>94</v>
      </c>
      <c r="K131">
        <v>25</v>
      </c>
      <c r="L131" t="s">
        <v>33</v>
      </c>
      <c r="M131">
        <v>2026</v>
      </c>
    </row>
    <row r="132" spans="1:13" ht="14.5" x14ac:dyDescent="0.35">
      <c r="A132" t="s">
        <v>329</v>
      </c>
      <c r="B132" t="s">
        <v>330</v>
      </c>
      <c r="C132" t="s">
        <v>108</v>
      </c>
      <c r="D132" t="s">
        <v>114</v>
      </c>
      <c r="E132" t="s">
        <v>23</v>
      </c>
      <c r="F132">
        <v>21</v>
      </c>
      <c r="G132">
        <v>2.87</v>
      </c>
      <c r="H132">
        <v>88</v>
      </c>
      <c r="I132">
        <v>83</v>
      </c>
      <c r="J132">
        <v>70</v>
      </c>
      <c r="K132">
        <v>27</v>
      </c>
      <c r="L132" t="s">
        <v>66</v>
      </c>
      <c r="M132">
        <v>2026</v>
      </c>
    </row>
    <row r="133" spans="1:13" ht="14.5" x14ac:dyDescent="0.35">
      <c r="A133" t="s">
        <v>331</v>
      </c>
      <c r="B133" t="s">
        <v>332</v>
      </c>
      <c r="C133" t="s">
        <v>21</v>
      </c>
      <c r="D133" t="s">
        <v>153</v>
      </c>
      <c r="E133" t="s">
        <v>23</v>
      </c>
      <c r="F133">
        <v>42</v>
      </c>
      <c r="G133">
        <v>2.41</v>
      </c>
      <c r="H133">
        <v>85</v>
      </c>
      <c r="I133">
        <v>90</v>
      </c>
      <c r="J133">
        <v>79</v>
      </c>
      <c r="K133">
        <v>33</v>
      </c>
      <c r="L133" t="s">
        <v>24</v>
      </c>
      <c r="M133">
        <v>2024</v>
      </c>
    </row>
    <row r="134" spans="1:13" ht="14.5" x14ac:dyDescent="0.35">
      <c r="A134" t="s">
        <v>333</v>
      </c>
      <c r="B134" t="s">
        <v>334</v>
      </c>
      <c r="C134" t="s">
        <v>40</v>
      </c>
      <c r="D134" t="s">
        <v>65</v>
      </c>
      <c r="E134" t="s">
        <v>23</v>
      </c>
      <c r="F134">
        <v>52</v>
      </c>
      <c r="G134">
        <v>3.79</v>
      </c>
      <c r="H134">
        <v>70</v>
      </c>
      <c r="I134">
        <v>94</v>
      </c>
      <c r="J134">
        <v>80</v>
      </c>
      <c r="K134">
        <v>54</v>
      </c>
      <c r="L134" t="s">
        <v>24</v>
      </c>
      <c r="M134">
        <v>2026</v>
      </c>
    </row>
    <row r="135" spans="1:13" ht="14.5" x14ac:dyDescent="0.35">
      <c r="A135" t="s">
        <v>335</v>
      </c>
      <c r="B135" t="s">
        <v>336</v>
      </c>
      <c r="C135" t="s">
        <v>69</v>
      </c>
      <c r="D135" t="s">
        <v>150</v>
      </c>
      <c r="E135" t="s">
        <v>32</v>
      </c>
      <c r="F135">
        <v>26</v>
      </c>
      <c r="G135">
        <v>3.84</v>
      </c>
      <c r="H135">
        <v>70</v>
      </c>
      <c r="I135">
        <v>98</v>
      </c>
      <c r="J135">
        <v>81</v>
      </c>
      <c r="K135">
        <v>55</v>
      </c>
      <c r="L135" t="s">
        <v>42</v>
      </c>
      <c r="M135">
        <v>2025</v>
      </c>
    </row>
    <row r="136" spans="1:13" ht="14.5" x14ac:dyDescent="0.35">
      <c r="A136" t="s">
        <v>337</v>
      </c>
      <c r="B136" t="s">
        <v>338</v>
      </c>
      <c r="C136" t="s">
        <v>108</v>
      </c>
      <c r="D136" t="s">
        <v>109</v>
      </c>
      <c r="E136" t="s">
        <v>23</v>
      </c>
      <c r="F136">
        <v>22</v>
      </c>
      <c r="G136">
        <v>3.08</v>
      </c>
      <c r="H136">
        <v>67</v>
      </c>
      <c r="I136">
        <v>86</v>
      </c>
      <c r="J136">
        <v>91</v>
      </c>
      <c r="K136">
        <v>37</v>
      </c>
      <c r="L136" t="s">
        <v>29</v>
      </c>
      <c r="M136">
        <v>2026</v>
      </c>
    </row>
    <row r="137" spans="1:13" ht="14.5" x14ac:dyDescent="0.35">
      <c r="A137" t="s">
        <v>339</v>
      </c>
      <c r="B137" t="s">
        <v>340</v>
      </c>
      <c r="C137" t="s">
        <v>36</v>
      </c>
      <c r="D137" t="s">
        <v>253</v>
      </c>
      <c r="E137" t="s">
        <v>23</v>
      </c>
      <c r="F137">
        <v>48</v>
      </c>
      <c r="G137">
        <v>3.58</v>
      </c>
      <c r="H137">
        <v>74</v>
      </c>
      <c r="I137">
        <v>71</v>
      </c>
      <c r="J137">
        <v>94</v>
      </c>
      <c r="K137">
        <v>5</v>
      </c>
      <c r="L137" t="s">
        <v>29</v>
      </c>
      <c r="M137">
        <v>2024</v>
      </c>
    </row>
    <row r="138" spans="1:13" ht="14.5" x14ac:dyDescent="0.35">
      <c r="A138" t="s">
        <v>341</v>
      </c>
      <c r="B138" t="s">
        <v>342</v>
      </c>
      <c r="C138" t="s">
        <v>45</v>
      </c>
      <c r="D138" t="s">
        <v>234</v>
      </c>
      <c r="E138" t="s">
        <v>32</v>
      </c>
      <c r="F138">
        <v>32</v>
      </c>
      <c r="G138">
        <v>3.37</v>
      </c>
      <c r="H138">
        <v>97</v>
      </c>
      <c r="I138">
        <v>90</v>
      </c>
      <c r="J138">
        <v>71</v>
      </c>
      <c r="K138">
        <v>13</v>
      </c>
      <c r="L138" t="s">
        <v>33</v>
      </c>
      <c r="M138">
        <v>2025</v>
      </c>
    </row>
    <row r="139" spans="1:13" ht="14.5" x14ac:dyDescent="0.35">
      <c r="A139" t="s">
        <v>343</v>
      </c>
      <c r="B139" t="s">
        <v>344</v>
      </c>
      <c r="C139" t="s">
        <v>45</v>
      </c>
      <c r="D139" t="s">
        <v>234</v>
      </c>
      <c r="E139" t="s">
        <v>23</v>
      </c>
      <c r="F139">
        <v>58</v>
      </c>
      <c r="G139">
        <v>2.27</v>
      </c>
      <c r="H139">
        <v>72</v>
      </c>
      <c r="I139">
        <v>64</v>
      </c>
      <c r="J139">
        <v>73</v>
      </c>
      <c r="K139">
        <v>37</v>
      </c>
      <c r="L139" t="s">
        <v>66</v>
      </c>
      <c r="M139">
        <v>2025</v>
      </c>
    </row>
    <row r="140" spans="1:13" ht="14.5" x14ac:dyDescent="0.35">
      <c r="A140" t="s">
        <v>345</v>
      </c>
      <c r="B140" t="s">
        <v>346</v>
      </c>
      <c r="C140" t="s">
        <v>108</v>
      </c>
      <c r="D140" t="s">
        <v>126</v>
      </c>
      <c r="E140" t="s">
        <v>32</v>
      </c>
      <c r="F140">
        <v>50</v>
      </c>
      <c r="G140">
        <v>4.7300000000000004</v>
      </c>
      <c r="H140">
        <v>84</v>
      </c>
      <c r="I140">
        <v>68</v>
      </c>
      <c r="J140">
        <v>90</v>
      </c>
      <c r="K140">
        <v>49</v>
      </c>
      <c r="L140" t="s">
        <v>66</v>
      </c>
      <c r="M140">
        <v>2024</v>
      </c>
    </row>
    <row r="141" spans="1:13" ht="14.5" x14ac:dyDescent="0.35">
      <c r="A141" t="s">
        <v>347</v>
      </c>
      <c r="B141" t="s">
        <v>348</v>
      </c>
      <c r="C141" t="s">
        <v>21</v>
      </c>
      <c r="D141" t="s">
        <v>153</v>
      </c>
      <c r="E141" t="s">
        <v>23</v>
      </c>
      <c r="F141">
        <v>58</v>
      </c>
      <c r="G141">
        <v>4.1900000000000004</v>
      </c>
      <c r="H141">
        <v>69</v>
      </c>
      <c r="I141">
        <v>81</v>
      </c>
      <c r="J141">
        <v>86</v>
      </c>
      <c r="K141">
        <v>42</v>
      </c>
      <c r="L141" t="s">
        <v>66</v>
      </c>
      <c r="M141">
        <v>2026</v>
      </c>
    </row>
    <row r="142" spans="1:13" ht="14.5" x14ac:dyDescent="0.35">
      <c r="A142" t="s">
        <v>349</v>
      </c>
      <c r="B142" t="s">
        <v>350</v>
      </c>
      <c r="C142" t="s">
        <v>108</v>
      </c>
      <c r="D142" t="s">
        <v>126</v>
      </c>
      <c r="E142" t="s">
        <v>32</v>
      </c>
      <c r="F142">
        <v>45</v>
      </c>
      <c r="G142">
        <v>2.5</v>
      </c>
      <c r="H142">
        <v>64</v>
      </c>
      <c r="I142">
        <v>64</v>
      </c>
      <c r="J142">
        <v>87</v>
      </c>
      <c r="K142">
        <v>33</v>
      </c>
      <c r="L142" t="s">
        <v>24</v>
      </c>
      <c r="M142">
        <v>2026</v>
      </c>
    </row>
    <row r="143" spans="1:13" ht="14.5" x14ac:dyDescent="0.35">
      <c r="A143" t="s">
        <v>351</v>
      </c>
      <c r="B143" t="s">
        <v>123</v>
      </c>
      <c r="C143" t="s">
        <v>45</v>
      </c>
      <c r="D143" t="s">
        <v>46</v>
      </c>
      <c r="E143" t="s">
        <v>23</v>
      </c>
      <c r="F143">
        <v>39</v>
      </c>
      <c r="G143">
        <v>3.46</v>
      </c>
      <c r="H143">
        <v>89</v>
      </c>
      <c r="I143">
        <v>78</v>
      </c>
      <c r="J143">
        <v>95</v>
      </c>
      <c r="K143">
        <v>49</v>
      </c>
      <c r="L143" t="s">
        <v>29</v>
      </c>
      <c r="M143">
        <v>2026</v>
      </c>
    </row>
    <row r="144" spans="1:13" ht="14.5" x14ac:dyDescent="0.35">
      <c r="A144" t="s">
        <v>352</v>
      </c>
      <c r="B144" t="s">
        <v>353</v>
      </c>
      <c r="C144" t="s">
        <v>52</v>
      </c>
      <c r="D144" t="s">
        <v>102</v>
      </c>
      <c r="E144" t="s">
        <v>32</v>
      </c>
      <c r="F144">
        <v>52</v>
      </c>
      <c r="G144">
        <v>2.71</v>
      </c>
      <c r="H144">
        <v>99</v>
      </c>
      <c r="I144">
        <v>92</v>
      </c>
      <c r="J144">
        <v>70</v>
      </c>
      <c r="K144">
        <v>14</v>
      </c>
      <c r="L144" t="s">
        <v>33</v>
      </c>
      <c r="M144">
        <v>2026</v>
      </c>
    </row>
    <row r="145" spans="1:13" ht="14.5" x14ac:dyDescent="0.35">
      <c r="A145" t="s">
        <v>354</v>
      </c>
      <c r="B145" t="s">
        <v>355</v>
      </c>
      <c r="C145" t="s">
        <v>69</v>
      </c>
      <c r="D145" t="s">
        <v>117</v>
      </c>
      <c r="E145" t="s">
        <v>23</v>
      </c>
      <c r="F145">
        <v>29</v>
      </c>
      <c r="G145">
        <v>3.86</v>
      </c>
      <c r="H145">
        <v>91</v>
      </c>
      <c r="I145">
        <v>84</v>
      </c>
      <c r="J145">
        <v>85</v>
      </c>
      <c r="K145">
        <v>33</v>
      </c>
      <c r="L145" t="s">
        <v>29</v>
      </c>
      <c r="M145">
        <v>2026</v>
      </c>
    </row>
    <row r="146" spans="1:13" ht="14.5" x14ac:dyDescent="0.35">
      <c r="A146" t="s">
        <v>356</v>
      </c>
      <c r="B146" t="s">
        <v>357</v>
      </c>
      <c r="C146" t="s">
        <v>36</v>
      </c>
      <c r="D146" t="s">
        <v>84</v>
      </c>
      <c r="E146" t="s">
        <v>32</v>
      </c>
      <c r="F146">
        <v>58</v>
      </c>
      <c r="G146">
        <v>4.22</v>
      </c>
      <c r="H146">
        <v>79</v>
      </c>
      <c r="I146">
        <v>66</v>
      </c>
      <c r="J146">
        <v>79</v>
      </c>
      <c r="K146">
        <v>24</v>
      </c>
      <c r="L146" t="s">
        <v>24</v>
      </c>
      <c r="M146">
        <v>2025</v>
      </c>
    </row>
    <row r="147" spans="1:13" ht="14.5" x14ac:dyDescent="0.35">
      <c r="A147" t="s">
        <v>358</v>
      </c>
      <c r="B147" t="s">
        <v>359</v>
      </c>
      <c r="C147" t="s">
        <v>36</v>
      </c>
      <c r="D147" t="s">
        <v>253</v>
      </c>
      <c r="E147" t="s">
        <v>23</v>
      </c>
      <c r="F147">
        <v>32</v>
      </c>
      <c r="G147">
        <v>2.34</v>
      </c>
      <c r="H147">
        <v>95</v>
      </c>
      <c r="I147">
        <v>93</v>
      </c>
      <c r="J147">
        <v>97</v>
      </c>
      <c r="K147">
        <v>59</v>
      </c>
      <c r="L147" t="s">
        <v>24</v>
      </c>
      <c r="M147">
        <v>2025</v>
      </c>
    </row>
    <row r="148" spans="1:13" ht="14.5" x14ac:dyDescent="0.35">
      <c r="A148" t="s">
        <v>360</v>
      </c>
      <c r="B148" t="s">
        <v>361</v>
      </c>
      <c r="C148" t="s">
        <v>40</v>
      </c>
      <c r="D148" t="s">
        <v>293</v>
      </c>
      <c r="E148" t="s">
        <v>32</v>
      </c>
      <c r="F148">
        <v>37</v>
      </c>
      <c r="G148">
        <v>3.1</v>
      </c>
      <c r="H148">
        <v>82</v>
      </c>
      <c r="I148">
        <v>71</v>
      </c>
      <c r="J148">
        <v>74</v>
      </c>
      <c r="K148">
        <v>7</v>
      </c>
      <c r="L148" t="s">
        <v>29</v>
      </c>
      <c r="M148">
        <v>2025</v>
      </c>
    </row>
    <row r="149" spans="1:13" ht="14.5" x14ac:dyDescent="0.35">
      <c r="A149" t="s">
        <v>362</v>
      </c>
      <c r="B149" t="s">
        <v>363</v>
      </c>
      <c r="C149" t="s">
        <v>21</v>
      </c>
      <c r="D149" t="s">
        <v>153</v>
      </c>
      <c r="E149" t="s">
        <v>32</v>
      </c>
      <c r="F149">
        <v>30</v>
      </c>
      <c r="G149">
        <v>3.65</v>
      </c>
      <c r="H149">
        <v>98</v>
      </c>
      <c r="I149">
        <v>99</v>
      </c>
      <c r="J149">
        <v>85</v>
      </c>
      <c r="K149">
        <v>11</v>
      </c>
      <c r="L149" t="s">
        <v>42</v>
      </c>
      <c r="M149">
        <v>2025</v>
      </c>
    </row>
    <row r="150" spans="1:13" ht="14.5" x14ac:dyDescent="0.35">
      <c r="A150" t="s">
        <v>364</v>
      </c>
      <c r="B150" t="s">
        <v>365</v>
      </c>
      <c r="C150" t="s">
        <v>27</v>
      </c>
      <c r="D150" t="s">
        <v>73</v>
      </c>
      <c r="E150" t="s">
        <v>32</v>
      </c>
      <c r="F150">
        <v>46</v>
      </c>
      <c r="G150">
        <v>2.66</v>
      </c>
      <c r="H150">
        <v>80</v>
      </c>
      <c r="I150">
        <v>77</v>
      </c>
      <c r="J150">
        <v>96</v>
      </c>
      <c r="K150">
        <v>33</v>
      </c>
      <c r="L150" t="s">
        <v>29</v>
      </c>
      <c r="M150">
        <v>2024</v>
      </c>
    </row>
    <row r="151" spans="1:13" ht="14.5" x14ac:dyDescent="0.35">
      <c r="A151" t="s">
        <v>366</v>
      </c>
      <c r="B151" t="s">
        <v>367</v>
      </c>
      <c r="C151" t="s">
        <v>108</v>
      </c>
      <c r="D151" t="s">
        <v>126</v>
      </c>
      <c r="E151" t="s">
        <v>23</v>
      </c>
      <c r="F151">
        <v>58</v>
      </c>
      <c r="G151">
        <v>3.01</v>
      </c>
      <c r="H151">
        <v>78</v>
      </c>
      <c r="I151">
        <v>98</v>
      </c>
      <c r="J151">
        <v>71</v>
      </c>
      <c r="K151">
        <v>19</v>
      </c>
      <c r="L151" t="s">
        <v>42</v>
      </c>
      <c r="M151">
        <v>2024</v>
      </c>
    </row>
    <row r="152" spans="1:13" ht="14.5" x14ac:dyDescent="0.35">
      <c r="A152" t="s">
        <v>368</v>
      </c>
      <c r="B152" t="s">
        <v>369</v>
      </c>
      <c r="C152" t="s">
        <v>69</v>
      </c>
      <c r="D152" t="s">
        <v>70</v>
      </c>
      <c r="E152" t="s">
        <v>32</v>
      </c>
      <c r="F152">
        <v>56</v>
      </c>
      <c r="G152">
        <v>2.4700000000000002</v>
      </c>
      <c r="H152">
        <v>97</v>
      </c>
      <c r="I152">
        <v>92</v>
      </c>
      <c r="J152">
        <v>75</v>
      </c>
      <c r="K152">
        <v>6</v>
      </c>
      <c r="L152" t="s">
        <v>66</v>
      </c>
      <c r="M152">
        <v>2024</v>
      </c>
    </row>
    <row r="153" spans="1:13" ht="14.5" x14ac:dyDescent="0.35">
      <c r="A153" t="s">
        <v>370</v>
      </c>
      <c r="B153" t="s">
        <v>371</v>
      </c>
      <c r="C153" t="s">
        <v>108</v>
      </c>
      <c r="D153" t="s">
        <v>126</v>
      </c>
      <c r="E153" t="s">
        <v>23</v>
      </c>
      <c r="F153">
        <v>28</v>
      </c>
      <c r="G153">
        <v>4.8899999999999997</v>
      </c>
      <c r="H153">
        <v>96</v>
      </c>
      <c r="I153">
        <v>94</v>
      </c>
      <c r="J153">
        <v>77</v>
      </c>
      <c r="K153">
        <v>5</v>
      </c>
      <c r="L153" t="s">
        <v>24</v>
      </c>
      <c r="M153">
        <v>2024</v>
      </c>
    </row>
    <row r="154" spans="1:13" ht="14.5" x14ac:dyDescent="0.35">
      <c r="A154" t="s">
        <v>372</v>
      </c>
      <c r="B154" t="s">
        <v>373</v>
      </c>
      <c r="C154" t="s">
        <v>108</v>
      </c>
      <c r="D154" t="s">
        <v>114</v>
      </c>
      <c r="E154" t="s">
        <v>32</v>
      </c>
      <c r="F154">
        <v>36</v>
      </c>
      <c r="G154">
        <v>3.23</v>
      </c>
      <c r="H154">
        <v>80</v>
      </c>
      <c r="I154">
        <v>96</v>
      </c>
      <c r="J154">
        <v>92</v>
      </c>
      <c r="K154">
        <v>51</v>
      </c>
      <c r="L154" t="s">
        <v>24</v>
      </c>
      <c r="M154">
        <v>2026</v>
      </c>
    </row>
    <row r="155" spans="1:13" ht="14.5" x14ac:dyDescent="0.35">
      <c r="A155" t="s">
        <v>374</v>
      </c>
      <c r="B155" t="s">
        <v>375</v>
      </c>
      <c r="C155" t="s">
        <v>40</v>
      </c>
      <c r="D155" t="s">
        <v>65</v>
      </c>
      <c r="E155" t="s">
        <v>32</v>
      </c>
      <c r="F155">
        <v>47</v>
      </c>
      <c r="G155">
        <v>2.5499999999999998</v>
      </c>
      <c r="H155">
        <v>91</v>
      </c>
      <c r="I155">
        <v>78</v>
      </c>
      <c r="J155">
        <v>72</v>
      </c>
      <c r="K155">
        <v>50</v>
      </c>
      <c r="L155" t="s">
        <v>33</v>
      </c>
      <c r="M155">
        <v>2025</v>
      </c>
    </row>
    <row r="156" spans="1:13" ht="14.5" x14ac:dyDescent="0.35">
      <c r="A156" t="s">
        <v>376</v>
      </c>
      <c r="B156" t="s">
        <v>377</v>
      </c>
      <c r="C156" t="s">
        <v>36</v>
      </c>
      <c r="D156" t="s">
        <v>37</v>
      </c>
      <c r="E156" t="s">
        <v>23</v>
      </c>
      <c r="F156">
        <v>34</v>
      </c>
      <c r="G156">
        <v>4.6900000000000004</v>
      </c>
      <c r="H156">
        <v>93</v>
      </c>
      <c r="I156">
        <v>76</v>
      </c>
      <c r="J156">
        <v>70</v>
      </c>
      <c r="K156">
        <v>60</v>
      </c>
      <c r="L156" t="s">
        <v>29</v>
      </c>
      <c r="M156">
        <v>2025</v>
      </c>
    </row>
    <row r="157" spans="1:13" ht="14.5" x14ac:dyDescent="0.35">
      <c r="A157" t="s">
        <v>378</v>
      </c>
      <c r="B157" t="s">
        <v>379</v>
      </c>
      <c r="C157" t="s">
        <v>21</v>
      </c>
      <c r="D157" t="s">
        <v>163</v>
      </c>
      <c r="E157" t="s">
        <v>23</v>
      </c>
      <c r="F157">
        <v>24</v>
      </c>
      <c r="G157">
        <v>4.25</v>
      </c>
      <c r="H157">
        <v>69</v>
      </c>
      <c r="I157">
        <v>82</v>
      </c>
      <c r="J157">
        <v>70</v>
      </c>
      <c r="K157">
        <v>52</v>
      </c>
      <c r="L157" t="s">
        <v>29</v>
      </c>
      <c r="M157">
        <v>2026</v>
      </c>
    </row>
    <row r="158" spans="1:13" ht="14.5" x14ac:dyDescent="0.35">
      <c r="A158" t="s">
        <v>380</v>
      </c>
      <c r="B158" t="s">
        <v>72</v>
      </c>
      <c r="C158" t="s">
        <v>108</v>
      </c>
      <c r="D158" t="s">
        <v>114</v>
      </c>
      <c r="E158" t="s">
        <v>32</v>
      </c>
      <c r="F158">
        <v>22</v>
      </c>
      <c r="G158">
        <v>2.41</v>
      </c>
      <c r="H158">
        <v>72</v>
      </c>
      <c r="I158">
        <v>92</v>
      </c>
      <c r="J158">
        <v>86</v>
      </c>
      <c r="K158">
        <v>22</v>
      </c>
      <c r="L158" t="s">
        <v>24</v>
      </c>
      <c r="M158">
        <v>2026</v>
      </c>
    </row>
    <row r="159" spans="1:13" ht="14.5" x14ac:dyDescent="0.35">
      <c r="A159" t="s">
        <v>381</v>
      </c>
      <c r="B159" t="s">
        <v>26</v>
      </c>
      <c r="C159" t="s">
        <v>45</v>
      </c>
      <c r="D159" t="s">
        <v>234</v>
      </c>
      <c r="E159" t="s">
        <v>32</v>
      </c>
      <c r="F159">
        <v>56</v>
      </c>
      <c r="G159">
        <v>4.26</v>
      </c>
      <c r="H159">
        <v>66</v>
      </c>
      <c r="I159">
        <v>80</v>
      </c>
      <c r="J159">
        <v>67</v>
      </c>
      <c r="K159">
        <v>32</v>
      </c>
      <c r="L159" t="s">
        <v>33</v>
      </c>
      <c r="M159">
        <v>2026</v>
      </c>
    </row>
    <row r="160" spans="1:13" ht="14.5" x14ac:dyDescent="0.35">
      <c r="A160" t="s">
        <v>382</v>
      </c>
      <c r="B160" t="s">
        <v>383</v>
      </c>
      <c r="C160" t="s">
        <v>40</v>
      </c>
      <c r="D160" t="s">
        <v>90</v>
      </c>
      <c r="E160" t="s">
        <v>32</v>
      </c>
      <c r="F160">
        <v>38</v>
      </c>
      <c r="G160">
        <v>4.42</v>
      </c>
      <c r="H160">
        <v>82</v>
      </c>
      <c r="I160">
        <v>72</v>
      </c>
      <c r="J160">
        <v>100</v>
      </c>
      <c r="K160">
        <v>47</v>
      </c>
      <c r="L160" t="s">
        <v>33</v>
      </c>
      <c r="M160">
        <v>2026</v>
      </c>
    </row>
    <row r="161" spans="1:13" ht="14.5" x14ac:dyDescent="0.35">
      <c r="A161" t="s">
        <v>384</v>
      </c>
      <c r="B161" t="s">
        <v>385</v>
      </c>
      <c r="C161" t="s">
        <v>159</v>
      </c>
      <c r="D161" t="s">
        <v>160</v>
      </c>
      <c r="E161" t="s">
        <v>32</v>
      </c>
      <c r="F161">
        <v>29</v>
      </c>
      <c r="G161">
        <v>3.96</v>
      </c>
      <c r="H161">
        <v>77</v>
      </c>
      <c r="I161">
        <v>68</v>
      </c>
      <c r="J161">
        <v>89</v>
      </c>
      <c r="K161">
        <v>60</v>
      </c>
      <c r="L161" t="s">
        <v>29</v>
      </c>
      <c r="M161">
        <v>2026</v>
      </c>
    </row>
    <row r="162" spans="1:13" ht="14.5" x14ac:dyDescent="0.35">
      <c r="A162" t="s">
        <v>386</v>
      </c>
      <c r="B162" t="s">
        <v>157</v>
      </c>
      <c r="C162" t="s">
        <v>45</v>
      </c>
      <c r="D162" t="s">
        <v>46</v>
      </c>
      <c r="E162" t="s">
        <v>32</v>
      </c>
      <c r="F162">
        <v>32</v>
      </c>
      <c r="G162">
        <v>2.75</v>
      </c>
      <c r="H162">
        <v>92</v>
      </c>
      <c r="I162">
        <v>69</v>
      </c>
      <c r="J162">
        <v>96</v>
      </c>
      <c r="K162">
        <v>57</v>
      </c>
      <c r="L162" t="s">
        <v>29</v>
      </c>
      <c r="M162">
        <v>2026</v>
      </c>
    </row>
    <row r="163" spans="1:13" ht="14.5" x14ac:dyDescent="0.35">
      <c r="A163" t="s">
        <v>387</v>
      </c>
      <c r="B163" t="s">
        <v>388</v>
      </c>
      <c r="C163" t="s">
        <v>27</v>
      </c>
      <c r="D163" t="s">
        <v>28</v>
      </c>
      <c r="E163" t="s">
        <v>32</v>
      </c>
      <c r="F163">
        <v>51</v>
      </c>
      <c r="G163">
        <v>3.59</v>
      </c>
      <c r="H163">
        <v>70</v>
      </c>
      <c r="I163">
        <v>72</v>
      </c>
      <c r="J163">
        <v>70</v>
      </c>
      <c r="K163">
        <v>38</v>
      </c>
      <c r="L163" t="s">
        <v>29</v>
      </c>
      <c r="M163">
        <v>2024</v>
      </c>
    </row>
    <row r="164" spans="1:13" ht="14.5" x14ac:dyDescent="0.35">
      <c r="A164" t="s">
        <v>389</v>
      </c>
      <c r="B164" t="s">
        <v>390</v>
      </c>
      <c r="C164" t="s">
        <v>21</v>
      </c>
      <c r="D164" t="s">
        <v>153</v>
      </c>
      <c r="E164" t="s">
        <v>32</v>
      </c>
      <c r="F164">
        <v>23</v>
      </c>
      <c r="G164">
        <v>3.42</v>
      </c>
      <c r="H164">
        <v>93</v>
      </c>
      <c r="I164">
        <v>95</v>
      </c>
      <c r="J164">
        <v>78</v>
      </c>
      <c r="K164">
        <v>50</v>
      </c>
      <c r="L164" t="s">
        <v>29</v>
      </c>
      <c r="M164">
        <v>2024</v>
      </c>
    </row>
    <row r="165" spans="1:13" ht="14.5" x14ac:dyDescent="0.35">
      <c r="A165" t="s">
        <v>391</v>
      </c>
      <c r="B165" t="s">
        <v>392</v>
      </c>
      <c r="C165" t="s">
        <v>52</v>
      </c>
      <c r="D165" t="s">
        <v>224</v>
      </c>
      <c r="E165" t="s">
        <v>23</v>
      </c>
      <c r="F165">
        <v>48</v>
      </c>
      <c r="G165">
        <v>3.37</v>
      </c>
      <c r="H165">
        <v>78</v>
      </c>
      <c r="I165">
        <v>99</v>
      </c>
      <c r="J165">
        <v>89</v>
      </c>
      <c r="K165">
        <v>45</v>
      </c>
      <c r="L165" t="s">
        <v>66</v>
      </c>
      <c r="M165">
        <v>2024</v>
      </c>
    </row>
    <row r="166" spans="1:13" ht="14.5" x14ac:dyDescent="0.35">
      <c r="A166" t="s">
        <v>393</v>
      </c>
      <c r="B166" t="s">
        <v>394</v>
      </c>
      <c r="C166" t="s">
        <v>21</v>
      </c>
      <c r="D166" t="s">
        <v>22</v>
      </c>
      <c r="E166" t="s">
        <v>23</v>
      </c>
      <c r="F166">
        <v>30</v>
      </c>
      <c r="G166">
        <v>3.99</v>
      </c>
      <c r="H166">
        <v>92</v>
      </c>
      <c r="I166">
        <v>93</v>
      </c>
      <c r="J166">
        <v>76</v>
      </c>
      <c r="K166">
        <v>24</v>
      </c>
      <c r="L166" t="s">
        <v>29</v>
      </c>
      <c r="M166">
        <v>2025</v>
      </c>
    </row>
    <row r="167" spans="1:13" ht="14.5" x14ac:dyDescent="0.35">
      <c r="A167" t="s">
        <v>395</v>
      </c>
      <c r="B167" t="s">
        <v>396</v>
      </c>
      <c r="C167" t="s">
        <v>45</v>
      </c>
      <c r="D167" t="s">
        <v>46</v>
      </c>
      <c r="E167" t="s">
        <v>23</v>
      </c>
      <c r="F167">
        <v>54</v>
      </c>
      <c r="G167">
        <v>4.07</v>
      </c>
      <c r="H167">
        <v>93</v>
      </c>
      <c r="I167">
        <v>100</v>
      </c>
      <c r="J167">
        <v>90</v>
      </c>
      <c r="K167">
        <v>43</v>
      </c>
      <c r="L167" t="s">
        <v>42</v>
      </c>
      <c r="M167">
        <v>2026</v>
      </c>
    </row>
    <row r="168" spans="1:13" ht="14.5" x14ac:dyDescent="0.35">
      <c r="A168" t="s">
        <v>397</v>
      </c>
      <c r="B168" t="s">
        <v>398</v>
      </c>
      <c r="C168" t="s">
        <v>56</v>
      </c>
      <c r="D168" t="s">
        <v>79</v>
      </c>
      <c r="E168" t="s">
        <v>32</v>
      </c>
      <c r="F168">
        <v>56</v>
      </c>
      <c r="G168">
        <v>3.55</v>
      </c>
      <c r="H168">
        <v>68</v>
      </c>
      <c r="I168">
        <v>74</v>
      </c>
      <c r="J168">
        <v>72</v>
      </c>
      <c r="K168">
        <v>53</v>
      </c>
      <c r="L168" t="s">
        <v>42</v>
      </c>
      <c r="M168">
        <v>2025</v>
      </c>
    </row>
    <row r="169" spans="1:13" ht="14.5" x14ac:dyDescent="0.35">
      <c r="A169" t="s">
        <v>399</v>
      </c>
      <c r="B169" t="s">
        <v>400</v>
      </c>
      <c r="C169" t="s">
        <v>56</v>
      </c>
      <c r="D169" t="s">
        <v>57</v>
      </c>
      <c r="E169" t="s">
        <v>23</v>
      </c>
      <c r="F169">
        <v>46</v>
      </c>
      <c r="G169">
        <v>4.91</v>
      </c>
      <c r="H169">
        <v>82</v>
      </c>
      <c r="I169">
        <v>75</v>
      </c>
      <c r="J169">
        <v>92</v>
      </c>
      <c r="K169">
        <v>12</v>
      </c>
      <c r="L169" t="s">
        <v>29</v>
      </c>
      <c r="M169">
        <v>2025</v>
      </c>
    </row>
    <row r="170" spans="1:13" ht="14.5" x14ac:dyDescent="0.35">
      <c r="A170" t="s">
        <v>401</v>
      </c>
      <c r="B170" t="s">
        <v>402</v>
      </c>
      <c r="C170" t="s">
        <v>56</v>
      </c>
      <c r="D170" t="s">
        <v>57</v>
      </c>
      <c r="E170" t="s">
        <v>23</v>
      </c>
      <c r="F170">
        <v>44</v>
      </c>
      <c r="G170">
        <v>4.88</v>
      </c>
      <c r="H170">
        <v>69</v>
      </c>
      <c r="I170">
        <v>82</v>
      </c>
      <c r="J170">
        <v>90</v>
      </c>
      <c r="K170">
        <v>50</v>
      </c>
      <c r="L170" t="s">
        <v>29</v>
      </c>
      <c r="M170">
        <v>2025</v>
      </c>
    </row>
    <row r="171" spans="1:13" ht="14.5" x14ac:dyDescent="0.35">
      <c r="A171" t="s">
        <v>403</v>
      </c>
      <c r="B171" t="s">
        <v>404</v>
      </c>
      <c r="C171" t="s">
        <v>21</v>
      </c>
      <c r="D171" t="s">
        <v>22</v>
      </c>
      <c r="E171" t="s">
        <v>32</v>
      </c>
      <c r="F171">
        <v>26</v>
      </c>
      <c r="G171">
        <v>4.55</v>
      </c>
      <c r="H171">
        <v>93</v>
      </c>
      <c r="I171">
        <v>98</v>
      </c>
      <c r="J171">
        <v>91</v>
      </c>
      <c r="K171">
        <v>48</v>
      </c>
      <c r="L171" t="s">
        <v>29</v>
      </c>
      <c r="M171">
        <v>2024</v>
      </c>
    </row>
    <row r="172" spans="1:13" ht="14.5" x14ac:dyDescent="0.35">
      <c r="A172" t="s">
        <v>405</v>
      </c>
      <c r="B172" t="s">
        <v>81</v>
      </c>
      <c r="C172" t="s">
        <v>159</v>
      </c>
      <c r="D172" t="s">
        <v>187</v>
      </c>
      <c r="E172" t="s">
        <v>32</v>
      </c>
      <c r="F172">
        <v>58</v>
      </c>
      <c r="G172">
        <v>3.01</v>
      </c>
      <c r="H172">
        <v>94</v>
      </c>
      <c r="I172">
        <v>73</v>
      </c>
      <c r="J172">
        <v>91</v>
      </c>
      <c r="K172">
        <v>8</v>
      </c>
      <c r="L172" t="s">
        <v>66</v>
      </c>
      <c r="M172">
        <v>2025</v>
      </c>
    </row>
    <row r="173" spans="1:13" ht="14.5" x14ac:dyDescent="0.35">
      <c r="A173" t="s">
        <v>406</v>
      </c>
      <c r="B173" t="s">
        <v>407</v>
      </c>
      <c r="C173" t="s">
        <v>56</v>
      </c>
      <c r="D173" t="s">
        <v>57</v>
      </c>
      <c r="E173" t="s">
        <v>23</v>
      </c>
      <c r="F173">
        <v>24</v>
      </c>
      <c r="G173">
        <v>2.93</v>
      </c>
      <c r="H173">
        <v>82</v>
      </c>
      <c r="I173">
        <v>86</v>
      </c>
      <c r="J173">
        <v>90</v>
      </c>
      <c r="K173">
        <v>56</v>
      </c>
      <c r="L173" t="s">
        <v>24</v>
      </c>
      <c r="M173">
        <v>2025</v>
      </c>
    </row>
    <row r="174" spans="1:13" ht="14.5" x14ac:dyDescent="0.35">
      <c r="A174" t="s">
        <v>408</v>
      </c>
      <c r="B174" t="s">
        <v>51</v>
      </c>
      <c r="C174" t="s">
        <v>21</v>
      </c>
      <c r="D174" t="s">
        <v>49</v>
      </c>
      <c r="E174" t="s">
        <v>32</v>
      </c>
      <c r="F174">
        <v>30</v>
      </c>
      <c r="G174">
        <v>3.32</v>
      </c>
      <c r="H174">
        <v>65</v>
      </c>
      <c r="I174">
        <v>77</v>
      </c>
      <c r="J174">
        <v>96</v>
      </c>
      <c r="K174">
        <v>51</v>
      </c>
      <c r="L174" t="s">
        <v>29</v>
      </c>
      <c r="M174">
        <v>2025</v>
      </c>
    </row>
    <row r="175" spans="1:13" ht="14.5" x14ac:dyDescent="0.35">
      <c r="A175" t="s">
        <v>409</v>
      </c>
      <c r="B175" t="s">
        <v>410</v>
      </c>
      <c r="C175" t="s">
        <v>40</v>
      </c>
      <c r="D175" t="s">
        <v>293</v>
      </c>
      <c r="E175" t="s">
        <v>32</v>
      </c>
      <c r="F175">
        <v>38</v>
      </c>
      <c r="G175">
        <v>3.98</v>
      </c>
      <c r="H175">
        <v>64</v>
      </c>
      <c r="I175">
        <v>79</v>
      </c>
      <c r="J175">
        <v>93</v>
      </c>
      <c r="K175">
        <v>31</v>
      </c>
      <c r="L175" t="s">
        <v>29</v>
      </c>
      <c r="M175">
        <v>2026</v>
      </c>
    </row>
    <row r="176" spans="1:13" ht="14.5" x14ac:dyDescent="0.35">
      <c r="A176" t="s">
        <v>411</v>
      </c>
      <c r="B176" t="s">
        <v>288</v>
      </c>
      <c r="C176" t="s">
        <v>27</v>
      </c>
      <c r="D176" t="s">
        <v>28</v>
      </c>
      <c r="E176" t="s">
        <v>23</v>
      </c>
      <c r="F176">
        <v>22</v>
      </c>
      <c r="G176">
        <v>4.6500000000000004</v>
      </c>
      <c r="H176">
        <v>96</v>
      </c>
      <c r="I176">
        <v>73</v>
      </c>
      <c r="J176">
        <v>72</v>
      </c>
      <c r="K176">
        <v>44</v>
      </c>
      <c r="L176" t="s">
        <v>66</v>
      </c>
      <c r="M176">
        <v>2025</v>
      </c>
    </row>
    <row r="177" spans="1:13" ht="14.5" x14ac:dyDescent="0.35">
      <c r="A177" t="s">
        <v>412</v>
      </c>
      <c r="B177" t="s">
        <v>413</v>
      </c>
      <c r="C177" t="s">
        <v>40</v>
      </c>
      <c r="D177" t="s">
        <v>293</v>
      </c>
      <c r="E177" t="s">
        <v>32</v>
      </c>
      <c r="F177">
        <v>32</v>
      </c>
      <c r="G177">
        <v>2.56</v>
      </c>
      <c r="H177">
        <v>96</v>
      </c>
      <c r="I177">
        <v>61</v>
      </c>
      <c r="J177">
        <v>66</v>
      </c>
      <c r="K177">
        <v>56</v>
      </c>
      <c r="L177" t="s">
        <v>24</v>
      </c>
      <c r="M177">
        <v>2024</v>
      </c>
    </row>
    <row r="178" spans="1:13" ht="14.5" x14ac:dyDescent="0.35">
      <c r="A178" t="s">
        <v>414</v>
      </c>
      <c r="B178" t="s">
        <v>415</v>
      </c>
      <c r="C178" t="s">
        <v>21</v>
      </c>
      <c r="D178" t="s">
        <v>133</v>
      </c>
      <c r="E178" t="s">
        <v>32</v>
      </c>
      <c r="F178">
        <v>26</v>
      </c>
      <c r="G178">
        <v>4.3899999999999997</v>
      </c>
      <c r="H178">
        <v>83</v>
      </c>
      <c r="I178">
        <v>82</v>
      </c>
      <c r="J178">
        <v>100</v>
      </c>
      <c r="K178">
        <v>9</v>
      </c>
      <c r="L178" t="s">
        <v>33</v>
      </c>
      <c r="M178">
        <v>2026</v>
      </c>
    </row>
    <row r="179" spans="1:13" ht="14.5" x14ac:dyDescent="0.35">
      <c r="A179" t="s">
        <v>416</v>
      </c>
      <c r="B179" t="s">
        <v>417</v>
      </c>
      <c r="C179" t="s">
        <v>108</v>
      </c>
      <c r="D179" t="s">
        <v>126</v>
      </c>
      <c r="E179" t="s">
        <v>32</v>
      </c>
      <c r="F179">
        <v>44</v>
      </c>
      <c r="G179">
        <v>2.79</v>
      </c>
      <c r="H179">
        <v>96</v>
      </c>
      <c r="I179">
        <v>72</v>
      </c>
      <c r="J179">
        <v>75</v>
      </c>
      <c r="K179">
        <v>58</v>
      </c>
      <c r="L179" t="s">
        <v>66</v>
      </c>
      <c r="M179">
        <v>2025</v>
      </c>
    </row>
    <row r="180" spans="1:13" ht="14.5" x14ac:dyDescent="0.35">
      <c r="A180" t="s">
        <v>418</v>
      </c>
      <c r="B180" t="s">
        <v>419</v>
      </c>
      <c r="C180" t="s">
        <v>45</v>
      </c>
      <c r="D180" t="s">
        <v>296</v>
      </c>
      <c r="E180" t="s">
        <v>32</v>
      </c>
      <c r="F180">
        <v>30</v>
      </c>
      <c r="G180">
        <v>4.6100000000000003</v>
      </c>
      <c r="H180">
        <v>76</v>
      </c>
      <c r="I180">
        <v>78</v>
      </c>
      <c r="J180">
        <v>75</v>
      </c>
      <c r="K180">
        <v>28</v>
      </c>
      <c r="L180" t="s">
        <v>42</v>
      </c>
      <c r="M180">
        <v>2025</v>
      </c>
    </row>
    <row r="181" spans="1:13" ht="14.5" x14ac:dyDescent="0.35">
      <c r="A181" t="s">
        <v>420</v>
      </c>
      <c r="B181" t="s">
        <v>348</v>
      </c>
      <c r="C181" t="s">
        <v>36</v>
      </c>
      <c r="D181" t="s">
        <v>84</v>
      </c>
      <c r="E181" t="s">
        <v>23</v>
      </c>
      <c r="F181">
        <v>52</v>
      </c>
      <c r="G181">
        <v>2.8</v>
      </c>
      <c r="H181">
        <v>77</v>
      </c>
      <c r="I181">
        <v>60</v>
      </c>
      <c r="J181">
        <v>67</v>
      </c>
      <c r="K181">
        <v>59</v>
      </c>
      <c r="L181" t="s">
        <v>33</v>
      </c>
      <c r="M181">
        <v>2026</v>
      </c>
    </row>
    <row r="182" spans="1:13" ht="14.5" x14ac:dyDescent="0.35">
      <c r="A182" t="s">
        <v>421</v>
      </c>
      <c r="B182" t="s">
        <v>422</v>
      </c>
      <c r="C182" t="s">
        <v>69</v>
      </c>
      <c r="D182" t="s">
        <v>319</v>
      </c>
      <c r="E182" t="s">
        <v>32</v>
      </c>
      <c r="F182">
        <v>43</v>
      </c>
      <c r="G182">
        <v>2.4900000000000002</v>
      </c>
      <c r="H182">
        <v>87</v>
      </c>
      <c r="I182">
        <v>91</v>
      </c>
      <c r="J182">
        <v>67</v>
      </c>
      <c r="K182">
        <v>15</v>
      </c>
      <c r="L182" t="s">
        <v>42</v>
      </c>
      <c r="M182">
        <v>2025</v>
      </c>
    </row>
    <row r="183" spans="1:13" ht="14.5" x14ac:dyDescent="0.35">
      <c r="A183" t="s">
        <v>423</v>
      </c>
      <c r="B183" t="s">
        <v>229</v>
      </c>
      <c r="C183" t="s">
        <v>108</v>
      </c>
      <c r="D183" t="s">
        <v>126</v>
      </c>
      <c r="E183" t="s">
        <v>32</v>
      </c>
      <c r="F183">
        <v>35</v>
      </c>
      <c r="G183">
        <v>2.27</v>
      </c>
      <c r="H183">
        <v>77</v>
      </c>
      <c r="I183">
        <v>62</v>
      </c>
      <c r="J183">
        <v>82</v>
      </c>
      <c r="K183">
        <v>52</v>
      </c>
      <c r="L183" t="s">
        <v>33</v>
      </c>
      <c r="M183">
        <v>2025</v>
      </c>
    </row>
    <row r="184" spans="1:13" ht="14.5" x14ac:dyDescent="0.35">
      <c r="A184" t="s">
        <v>424</v>
      </c>
      <c r="B184" t="s">
        <v>81</v>
      </c>
      <c r="C184" t="s">
        <v>69</v>
      </c>
      <c r="D184" t="s">
        <v>150</v>
      </c>
      <c r="E184" t="s">
        <v>32</v>
      </c>
      <c r="F184">
        <v>29</v>
      </c>
      <c r="G184">
        <v>4.03</v>
      </c>
      <c r="H184">
        <v>70</v>
      </c>
      <c r="I184">
        <v>77</v>
      </c>
      <c r="J184">
        <v>70</v>
      </c>
      <c r="K184">
        <v>9</v>
      </c>
      <c r="L184" t="s">
        <v>33</v>
      </c>
      <c r="M184">
        <v>2026</v>
      </c>
    </row>
    <row r="185" spans="1:13" ht="14.5" x14ac:dyDescent="0.35">
      <c r="A185" t="s">
        <v>425</v>
      </c>
      <c r="B185" t="s">
        <v>426</v>
      </c>
      <c r="C185" t="s">
        <v>52</v>
      </c>
      <c r="D185" t="s">
        <v>224</v>
      </c>
      <c r="E185" t="s">
        <v>23</v>
      </c>
      <c r="F185">
        <v>32</v>
      </c>
      <c r="G185">
        <v>4.22</v>
      </c>
      <c r="H185">
        <v>88</v>
      </c>
      <c r="I185">
        <v>61</v>
      </c>
      <c r="J185">
        <v>65</v>
      </c>
      <c r="K185">
        <v>52</v>
      </c>
      <c r="L185" t="s">
        <v>66</v>
      </c>
      <c r="M185">
        <v>2026</v>
      </c>
    </row>
    <row r="186" spans="1:13" ht="14.5" x14ac:dyDescent="0.35">
      <c r="A186" t="s">
        <v>427</v>
      </c>
      <c r="B186" t="s">
        <v>428</v>
      </c>
      <c r="C186" t="s">
        <v>27</v>
      </c>
      <c r="D186" t="s">
        <v>73</v>
      </c>
      <c r="E186" t="s">
        <v>32</v>
      </c>
      <c r="F186">
        <v>46</v>
      </c>
      <c r="G186">
        <v>4.7699999999999996</v>
      </c>
      <c r="H186">
        <v>68</v>
      </c>
      <c r="I186">
        <v>97</v>
      </c>
      <c r="J186">
        <v>90</v>
      </c>
      <c r="K186">
        <v>17</v>
      </c>
      <c r="L186" t="s">
        <v>66</v>
      </c>
      <c r="M186">
        <v>2025</v>
      </c>
    </row>
    <row r="187" spans="1:13" ht="14.5" x14ac:dyDescent="0.35">
      <c r="A187" t="s">
        <v>429</v>
      </c>
      <c r="B187" t="s">
        <v>430</v>
      </c>
      <c r="C187" t="s">
        <v>21</v>
      </c>
      <c r="D187" t="s">
        <v>163</v>
      </c>
      <c r="E187" t="s">
        <v>23</v>
      </c>
      <c r="F187">
        <v>57</v>
      </c>
      <c r="G187">
        <v>4.4000000000000004</v>
      </c>
      <c r="H187">
        <v>89</v>
      </c>
      <c r="I187">
        <v>92</v>
      </c>
      <c r="J187">
        <v>66</v>
      </c>
      <c r="K187">
        <v>24</v>
      </c>
      <c r="L187" t="s">
        <v>42</v>
      </c>
      <c r="M187">
        <v>2025</v>
      </c>
    </row>
    <row r="188" spans="1:13" ht="14.5" x14ac:dyDescent="0.35">
      <c r="A188" t="s">
        <v>431</v>
      </c>
      <c r="B188" t="s">
        <v>432</v>
      </c>
      <c r="C188" t="s">
        <v>36</v>
      </c>
      <c r="D188" t="s">
        <v>37</v>
      </c>
      <c r="E188" t="s">
        <v>23</v>
      </c>
      <c r="F188">
        <v>22</v>
      </c>
      <c r="G188">
        <v>2.77</v>
      </c>
      <c r="H188">
        <v>78</v>
      </c>
      <c r="I188">
        <v>96</v>
      </c>
      <c r="J188">
        <v>95</v>
      </c>
      <c r="K188">
        <v>29</v>
      </c>
      <c r="L188" t="s">
        <v>42</v>
      </c>
      <c r="M188">
        <v>2025</v>
      </c>
    </row>
    <row r="189" spans="1:13" ht="14.5" x14ac:dyDescent="0.35">
      <c r="A189" t="s">
        <v>433</v>
      </c>
      <c r="B189" t="s">
        <v>434</v>
      </c>
      <c r="C189" t="s">
        <v>108</v>
      </c>
      <c r="D189" t="s">
        <v>126</v>
      </c>
      <c r="E189" t="s">
        <v>32</v>
      </c>
      <c r="F189">
        <v>48</v>
      </c>
      <c r="G189">
        <v>2.46</v>
      </c>
      <c r="H189">
        <v>88</v>
      </c>
      <c r="I189">
        <v>95</v>
      </c>
      <c r="J189">
        <v>82</v>
      </c>
      <c r="K189">
        <v>35</v>
      </c>
      <c r="L189" t="s">
        <v>42</v>
      </c>
      <c r="M189">
        <v>2026</v>
      </c>
    </row>
    <row r="190" spans="1:13" ht="14.5" x14ac:dyDescent="0.35">
      <c r="A190" t="s">
        <v>435</v>
      </c>
      <c r="B190" t="s">
        <v>436</v>
      </c>
      <c r="C190" t="s">
        <v>56</v>
      </c>
      <c r="D190" t="s">
        <v>79</v>
      </c>
      <c r="E190" t="s">
        <v>23</v>
      </c>
      <c r="F190">
        <v>40</v>
      </c>
      <c r="G190">
        <v>3.69</v>
      </c>
      <c r="H190">
        <v>77</v>
      </c>
      <c r="I190">
        <v>84</v>
      </c>
      <c r="J190">
        <v>66</v>
      </c>
      <c r="K190">
        <v>36</v>
      </c>
      <c r="L190" t="s">
        <v>24</v>
      </c>
      <c r="M190">
        <v>2025</v>
      </c>
    </row>
    <row r="191" spans="1:13" ht="14.5" x14ac:dyDescent="0.35">
      <c r="A191" t="s">
        <v>437</v>
      </c>
      <c r="B191" t="s">
        <v>438</v>
      </c>
      <c r="C191" t="s">
        <v>21</v>
      </c>
      <c r="D191" t="s">
        <v>49</v>
      </c>
      <c r="E191" t="s">
        <v>32</v>
      </c>
      <c r="F191">
        <v>54</v>
      </c>
      <c r="G191">
        <v>4.34</v>
      </c>
      <c r="H191">
        <v>68</v>
      </c>
      <c r="I191">
        <v>88</v>
      </c>
      <c r="J191">
        <v>79</v>
      </c>
      <c r="K191">
        <v>41</v>
      </c>
      <c r="L191" t="s">
        <v>33</v>
      </c>
      <c r="M191">
        <v>2025</v>
      </c>
    </row>
    <row r="192" spans="1:13" ht="14.5" x14ac:dyDescent="0.35">
      <c r="A192" t="s">
        <v>439</v>
      </c>
      <c r="B192" t="s">
        <v>440</v>
      </c>
      <c r="C192" t="s">
        <v>40</v>
      </c>
      <c r="D192" t="s">
        <v>90</v>
      </c>
      <c r="E192" t="s">
        <v>32</v>
      </c>
      <c r="F192">
        <v>27</v>
      </c>
      <c r="G192">
        <v>4.3600000000000003</v>
      </c>
      <c r="H192">
        <v>90</v>
      </c>
      <c r="I192">
        <v>83</v>
      </c>
      <c r="J192">
        <v>95</v>
      </c>
      <c r="K192">
        <v>41</v>
      </c>
      <c r="L192" t="s">
        <v>33</v>
      </c>
      <c r="M192">
        <v>2026</v>
      </c>
    </row>
    <row r="193" spans="1:13" ht="14.5" x14ac:dyDescent="0.35">
      <c r="A193" t="s">
        <v>441</v>
      </c>
      <c r="B193" t="s">
        <v>442</v>
      </c>
      <c r="C193" t="s">
        <v>45</v>
      </c>
      <c r="D193" t="s">
        <v>234</v>
      </c>
      <c r="E193" t="s">
        <v>32</v>
      </c>
      <c r="F193">
        <v>32</v>
      </c>
      <c r="G193">
        <v>3.07</v>
      </c>
      <c r="H193">
        <v>71</v>
      </c>
      <c r="I193">
        <v>100</v>
      </c>
      <c r="J193">
        <v>70</v>
      </c>
      <c r="K193">
        <v>11</v>
      </c>
      <c r="L193" t="s">
        <v>66</v>
      </c>
      <c r="M193">
        <v>2024</v>
      </c>
    </row>
    <row r="194" spans="1:13" ht="14.5" x14ac:dyDescent="0.35">
      <c r="A194" t="s">
        <v>443</v>
      </c>
      <c r="B194" t="s">
        <v>92</v>
      </c>
      <c r="C194" t="s">
        <v>45</v>
      </c>
      <c r="D194" t="s">
        <v>239</v>
      </c>
      <c r="E194" t="s">
        <v>23</v>
      </c>
      <c r="F194">
        <v>41</v>
      </c>
      <c r="G194">
        <v>2.78</v>
      </c>
      <c r="H194">
        <v>93</v>
      </c>
      <c r="I194">
        <v>97</v>
      </c>
      <c r="J194">
        <v>80</v>
      </c>
      <c r="K194">
        <v>10</v>
      </c>
      <c r="L194" t="s">
        <v>29</v>
      </c>
      <c r="M194">
        <v>2025</v>
      </c>
    </row>
    <row r="195" spans="1:13" ht="14.5" x14ac:dyDescent="0.35">
      <c r="A195" t="s">
        <v>444</v>
      </c>
      <c r="B195" t="s">
        <v>445</v>
      </c>
      <c r="C195" t="s">
        <v>108</v>
      </c>
      <c r="D195" t="s">
        <v>126</v>
      </c>
      <c r="E195" t="s">
        <v>23</v>
      </c>
      <c r="F195">
        <v>58</v>
      </c>
      <c r="G195">
        <v>3.93</v>
      </c>
      <c r="H195">
        <v>92</v>
      </c>
      <c r="I195">
        <v>93</v>
      </c>
      <c r="J195">
        <v>79</v>
      </c>
      <c r="K195">
        <v>8</v>
      </c>
      <c r="L195" t="s">
        <v>24</v>
      </c>
      <c r="M195">
        <v>2025</v>
      </c>
    </row>
    <row r="196" spans="1:13" ht="14.5" x14ac:dyDescent="0.35">
      <c r="A196" t="s">
        <v>446</v>
      </c>
      <c r="B196" t="s">
        <v>447</v>
      </c>
      <c r="C196" t="s">
        <v>36</v>
      </c>
      <c r="D196" t="s">
        <v>84</v>
      </c>
      <c r="E196" t="s">
        <v>23</v>
      </c>
      <c r="F196">
        <v>23</v>
      </c>
      <c r="G196">
        <v>3.35</v>
      </c>
      <c r="H196">
        <v>83</v>
      </c>
      <c r="I196">
        <v>69</v>
      </c>
      <c r="J196">
        <v>67</v>
      </c>
      <c r="K196">
        <v>25</v>
      </c>
      <c r="L196" t="s">
        <v>66</v>
      </c>
      <c r="M196">
        <v>2026</v>
      </c>
    </row>
    <row r="197" spans="1:13" ht="14.5" x14ac:dyDescent="0.35">
      <c r="A197" t="s">
        <v>448</v>
      </c>
      <c r="B197" t="s">
        <v>338</v>
      </c>
      <c r="C197" t="s">
        <v>21</v>
      </c>
      <c r="D197" t="s">
        <v>22</v>
      </c>
      <c r="E197" t="s">
        <v>23</v>
      </c>
      <c r="F197">
        <v>50</v>
      </c>
      <c r="G197">
        <v>3.34</v>
      </c>
      <c r="H197">
        <v>62</v>
      </c>
      <c r="I197">
        <v>77</v>
      </c>
      <c r="J197">
        <v>78</v>
      </c>
      <c r="K197">
        <v>53</v>
      </c>
      <c r="L197" t="s">
        <v>66</v>
      </c>
      <c r="M197">
        <v>2025</v>
      </c>
    </row>
    <row r="198" spans="1:13" ht="14.5" x14ac:dyDescent="0.35">
      <c r="A198" t="s">
        <v>449</v>
      </c>
      <c r="B198" t="s">
        <v>450</v>
      </c>
      <c r="C198" t="s">
        <v>108</v>
      </c>
      <c r="D198" t="s">
        <v>109</v>
      </c>
      <c r="E198" t="s">
        <v>23</v>
      </c>
      <c r="F198">
        <v>51</v>
      </c>
      <c r="G198">
        <v>3.73</v>
      </c>
      <c r="H198">
        <v>82</v>
      </c>
      <c r="I198">
        <v>75</v>
      </c>
      <c r="J198">
        <v>85</v>
      </c>
      <c r="K198">
        <v>34</v>
      </c>
      <c r="L198" t="s">
        <v>24</v>
      </c>
      <c r="M198">
        <v>2026</v>
      </c>
    </row>
    <row r="199" spans="1:13" ht="14.5" x14ac:dyDescent="0.35">
      <c r="A199" t="s">
        <v>451</v>
      </c>
      <c r="B199" t="s">
        <v>452</v>
      </c>
      <c r="C199" t="s">
        <v>21</v>
      </c>
      <c r="D199" t="s">
        <v>163</v>
      </c>
      <c r="E199" t="s">
        <v>32</v>
      </c>
      <c r="F199">
        <v>53</v>
      </c>
      <c r="G199">
        <v>3.75</v>
      </c>
      <c r="H199">
        <v>67</v>
      </c>
      <c r="I199">
        <v>66</v>
      </c>
      <c r="J199">
        <v>92</v>
      </c>
      <c r="K199">
        <v>49</v>
      </c>
      <c r="L199" t="s">
        <v>33</v>
      </c>
      <c r="M199">
        <v>2025</v>
      </c>
    </row>
    <row r="200" spans="1:13" ht="14.5" x14ac:dyDescent="0.35">
      <c r="A200" t="s">
        <v>453</v>
      </c>
      <c r="B200" t="s">
        <v>454</v>
      </c>
      <c r="C200" t="s">
        <v>108</v>
      </c>
      <c r="D200" t="s">
        <v>109</v>
      </c>
      <c r="E200" t="s">
        <v>23</v>
      </c>
      <c r="F200">
        <v>44</v>
      </c>
      <c r="G200">
        <v>2.56</v>
      </c>
      <c r="H200">
        <v>62</v>
      </c>
      <c r="I200">
        <v>70</v>
      </c>
      <c r="J200">
        <v>98</v>
      </c>
      <c r="K200">
        <v>52</v>
      </c>
      <c r="L200" t="s">
        <v>33</v>
      </c>
      <c r="M200">
        <v>2024</v>
      </c>
    </row>
    <row r="201" spans="1:13" ht="14.5" x14ac:dyDescent="0.35">
      <c r="A201" t="s">
        <v>455</v>
      </c>
      <c r="B201" t="s">
        <v>456</v>
      </c>
      <c r="C201" t="s">
        <v>45</v>
      </c>
      <c r="D201" t="s">
        <v>296</v>
      </c>
      <c r="E201" t="s">
        <v>23</v>
      </c>
      <c r="F201">
        <v>25</v>
      </c>
      <c r="G201">
        <v>2.75</v>
      </c>
      <c r="H201">
        <v>69</v>
      </c>
      <c r="I201">
        <v>62</v>
      </c>
      <c r="J201">
        <v>92</v>
      </c>
      <c r="K201">
        <v>36</v>
      </c>
      <c r="L201" t="s">
        <v>29</v>
      </c>
      <c r="M201">
        <v>2026</v>
      </c>
    </row>
    <row r="202" spans="1:13" ht="14.5" x14ac:dyDescent="0.35">
      <c r="A202" t="s">
        <v>457</v>
      </c>
      <c r="B202" t="s">
        <v>327</v>
      </c>
      <c r="C202" t="s">
        <v>36</v>
      </c>
      <c r="D202" t="s">
        <v>253</v>
      </c>
      <c r="E202" t="s">
        <v>32</v>
      </c>
      <c r="F202">
        <v>42</v>
      </c>
      <c r="G202">
        <v>4.45</v>
      </c>
      <c r="H202">
        <v>93</v>
      </c>
      <c r="I202">
        <v>68</v>
      </c>
      <c r="J202">
        <v>100</v>
      </c>
      <c r="K202">
        <v>31</v>
      </c>
      <c r="L202" t="s">
        <v>24</v>
      </c>
      <c r="M202">
        <v>2024</v>
      </c>
    </row>
    <row r="203" spans="1:13" ht="14.5" x14ac:dyDescent="0.35">
      <c r="A203" t="s">
        <v>458</v>
      </c>
      <c r="B203" t="s">
        <v>459</v>
      </c>
      <c r="C203" t="s">
        <v>40</v>
      </c>
      <c r="D203" t="s">
        <v>293</v>
      </c>
      <c r="E203" t="s">
        <v>23</v>
      </c>
      <c r="F203">
        <v>29</v>
      </c>
      <c r="G203">
        <v>3.03</v>
      </c>
      <c r="H203">
        <v>89</v>
      </c>
      <c r="I203">
        <v>78</v>
      </c>
      <c r="J203">
        <v>82</v>
      </c>
      <c r="K203">
        <v>38</v>
      </c>
      <c r="L203" t="s">
        <v>42</v>
      </c>
      <c r="M203">
        <v>2026</v>
      </c>
    </row>
    <row r="204" spans="1:13" ht="14.5" x14ac:dyDescent="0.35">
      <c r="A204" t="s">
        <v>460</v>
      </c>
      <c r="B204" t="s">
        <v>430</v>
      </c>
      <c r="C204" t="s">
        <v>27</v>
      </c>
      <c r="D204" t="s">
        <v>76</v>
      </c>
      <c r="E204" t="s">
        <v>23</v>
      </c>
      <c r="F204">
        <v>29</v>
      </c>
      <c r="G204">
        <v>4.6900000000000004</v>
      </c>
      <c r="H204">
        <v>98</v>
      </c>
      <c r="I204">
        <v>70</v>
      </c>
      <c r="J204">
        <v>74</v>
      </c>
      <c r="K204">
        <v>23</v>
      </c>
      <c r="L204" t="s">
        <v>66</v>
      </c>
      <c r="M204">
        <v>2026</v>
      </c>
    </row>
    <row r="205" spans="1:13" ht="14.5" x14ac:dyDescent="0.35">
      <c r="A205" t="s">
        <v>461</v>
      </c>
      <c r="B205" t="s">
        <v>462</v>
      </c>
      <c r="C205" t="s">
        <v>27</v>
      </c>
      <c r="D205" t="s">
        <v>73</v>
      </c>
      <c r="E205" t="s">
        <v>32</v>
      </c>
      <c r="F205">
        <v>44</v>
      </c>
      <c r="G205">
        <v>2.77</v>
      </c>
      <c r="H205">
        <v>85</v>
      </c>
      <c r="I205">
        <v>93</v>
      </c>
      <c r="J205">
        <v>81</v>
      </c>
      <c r="K205">
        <v>35</v>
      </c>
      <c r="L205" t="s">
        <v>24</v>
      </c>
      <c r="M205">
        <v>2024</v>
      </c>
    </row>
    <row r="206" spans="1:13" ht="14.5" x14ac:dyDescent="0.35">
      <c r="A206" t="s">
        <v>463</v>
      </c>
      <c r="B206" t="s">
        <v>265</v>
      </c>
      <c r="C206" t="s">
        <v>108</v>
      </c>
      <c r="D206" t="s">
        <v>109</v>
      </c>
      <c r="E206" t="s">
        <v>32</v>
      </c>
      <c r="F206">
        <v>29</v>
      </c>
      <c r="G206">
        <v>4.82</v>
      </c>
      <c r="H206">
        <v>70</v>
      </c>
      <c r="I206">
        <v>70</v>
      </c>
      <c r="J206">
        <v>98</v>
      </c>
      <c r="K206">
        <v>50</v>
      </c>
      <c r="L206" t="s">
        <v>24</v>
      </c>
      <c r="M206">
        <v>2024</v>
      </c>
    </row>
    <row r="207" spans="1:13" ht="14.5" x14ac:dyDescent="0.35">
      <c r="A207" t="s">
        <v>464</v>
      </c>
      <c r="B207" t="s">
        <v>465</v>
      </c>
      <c r="C207" t="s">
        <v>27</v>
      </c>
      <c r="D207" t="s">
        <v>28</v>
      </c>
      <c r="E207" t="s">
        <v>23</v>
      </c>
      <c r="F207">
        <v>29</v>
      </c>
      <c r="G207">
        <v>3.09</v>
      </c>
      <c r="H207">
        <v>73</v>
      </c>
      <c r="I207">
        <v>69</v>
      </c>
      <c r="J207">
        <v>95</v>
      </c>
      <c r="K207">
        <v>9</v>
      </c>
      <c r="L207" t="s">
        <v>33</v>
      </c>
      <c r="M207">
        <v>2025</v>
      </c>
    </row>
    <row r="208" spans="1:13" ht="14.5" x14ac:dyDescent="0.35">
      <c r="A208" t="s">
        <v>466</v>
      </c>
      <c r="B208" t="s">
        <v>467</v>
      </c>
      <c r="C208" t="s">
        <v>159</v>
      </c>
      <c r="D208" t="s">
        <v>187</v>
      </c>
      <c r="E208" t="s">
        <v>32</v>
      </c>
      <c r="F208">
        <v>49</v>
      </c>
      <c r="G208">
        <v>4.16</v>
      </c>
      <c r="H208">
        <v>74</v>
      </c>
      <c r="I208">
        <v>66</v>
      </c>
      <c r="J208">
        <v>99</v>
      </c>
      <c r="K208">
        <v>34</v>
      </c>
      <c r="L208" t="s">
        <v>42</v>
      </c>
      <c r="M208">
        <v>2024</v>
      </c>
    </row>
    <row r="209" spans="1:13" ht="14.5" x14ac:dyDescent="0.35">
      <c r="A209" t="s">
        <v>468</v>
      </c>
      <c r="B209" t="s">
        <v>469</v>
      </c>
      <c r="C209" t="s">
        <v>108</v>
      </c>
      <c r="D209" t="s">
        <v>126</v>
      </c>
      <c r="E209" t="s">
        <v>23</v>
      </c>
      <c r="F209">
        <v>35</v>
      </c>
      <c r="G209">
        <v>2.37</v>
      </c>
      <c r="H209">
        <v>91</v>
      </c>
      <c r="I209">
        <v>98</v>
      </c>
      <c r="J209">
        <v>75</v>
      </c>
      <c r="K209">
        <v>9</v>
      </c>
      <c r="L209" t="s">
        <v>42</v>
      </c>
      <c r="M209">
        <v>2026</v>
      </c>
    </row>
    <row r="210" spans="1:13" ht="14.5" x14ac:dyDescent="0.35">
      <c r="A210" t="s">
        <v>470</v>
      </c>
      <c r="B210" t="s">
        <v>471</v>
      </c>
      <c r="C210" t="s">
        <v>69</v>
      </c>
      <c r="D210" t="s">
        <v>150</v>
      </c>
      <c r="E210" t="s">
        <v>23</v>
      </c>
      <c r="F210">
        <v>50</v>
      </c>
      <c r="G210">
        <v>3.77</v>
      </c>
      <c r="H210">
        <v>76</v>
      </c>
      <c r="I210">
        <v>82</v>
      </c>
      <c r="J210">
        <v>65</v>
      </c>
      <c r="K210">
        <v>17</v>
      </c>
      <c r="L210" t="s">
        <v>42</v>
      </c>
      <c r="M210">
        <v>2025</v>
      </c>
    </row>
    <row r="211" spans="1:13" ht="14.5" x14ac:dyDescent="0.35">
      <c r="A211" t="s">
        <v>472</v>
      </c>
      <c r="B211" t="s">
        <v>473</v>
      </c>
      <c r="C211" t="s">
        <v>56</v>
      </c>
      <c r="D211" t="s">
        <v>112</v>
      </c>
      <c r="E211" t="s">
        <v>32</v>
      </c>
      <c r="F211">
        <v>29</v>
      </c>
      <c r="G211">
        <v>4.5</v>
      </c>
      <c r="H211">
        <v>89</v>
      </c>
      <c r="I211">
        <v>97</v>
      </c>
      <c r="J211">
        <v>84</v>
      </c>
      <c r="K211">
        <v>28</v>
      </c>
      <c r="L211" t="s">
        <v>66</v>
      </c>
      <c r="M211">
        <v>2025</v>
      </c>
    </row>
    <row r="212" spans="1:13" ht="14.5" x14ac:dyDescent="0.35">
      <c r="A212" t="s">
        <v>474</v>
      </c>
      <c r="B212" t="s">
        <v>475</v>
      </c>
      <c r="C212" t="s">
        <v>40</v>
      </c>
      <c r="D212" t="s">
        <v>41</v>
      </c>
      <c r="E212" t="s">
        <v>32</v>
      </c>
      <c r="F212">
        <v>39</v>
      </c>
      <c r="G212">
        <v>4.82</v>
      </c>
      <c r="H212">
        <v>97</v>
      </c>
      <c r="I212">
        <v>94</v>
      </c>
      <c r="J212">
        <v>77</v>
      </c>
      <c r="K212">
        <v>9</v>
      </c>
      <c r="L212" t="s">
        <v>66</v>
      </c>
      <c r="M212">
        <v>2024</v>
      </c>
    </row>
    <row r="213" spans="1:13" ht="14.5" x14ac:dyDescent="0.35">
      <c r="A213" t="s">
        <v>476</v>
      </c>
      <c r="B213" t="s">
        <v>438</v>
      </c>
      <c r="C213" t="s">
        <v>27</v>
      </c>
      <c r="D213" t="s">
        <v>87</v>
      </c>
      <c r="E213" t="s">
        <v>23</v>
      </c>
      <c r="F213">
        <v>26</v>
      </c>
      <c r="G213">
        <v>2.4900000000000002</v>
      </c>
      <c r="H213">
        <v>75</v>
      </c>
      <c r="I213">
        <v>77</v>
      </c>
      <c r="J213">
        <v>76</v>
      </c>
      <c r="K213">
        <v>21</v>
      </c>
      <c r="L213" t="s">
        <v>66</v>
      </c>
      <c r="M213">
        <v>2024</v>
      </c>
    </row>
    <row r="214" spans="1:13" ht="14.5" x14ac:dyDescent="0.35">
      <c r="A214" t="s">
        <v>477</v>
      </c>
      <c r="B214" t="s">
        <v>350</v>
      </c>
      <c r="C214" t="s">
        <v>52</v>
      </c>
      <c r="D214" t="s">
        <v>224</v>
      </c>
      <c r="E214" t="s">
        <v>32</v>
      </c>
      <c r="F214">
        <v>46</v>
      </c>
      <c r="G214">
        <v>2.5499999999999998</v>
      </c>
      <c r="H214">
        <v>95</v>
      </c>
      <c r="I214">
        <v>97</v>
      </c>
      <c r="J214">
        <v>89</v>
      </c>
      <c r="K214">
        <v>26</v>
      </c>
      <c r="L214" t="s">
        <v>66</v>
      </c>
      <c r="M214">
        <v>2026</v>
      </c>
    </row>
    <row r="215" spans="1:13" ht="14.5" x14ac:dyDescent="0.35">
      <c r="A215" t="s">
        <v>478</v>
      </c>
      <c r="B215" t="s">
        <v>479</v>
      </c>
      <c r="C215" t="s">
        <v>21</v>
      </c>
      <c r="D215" t="s">
        <v>163</v>
      </c>
      <c r="E215" t="s">
        <v>32</v>
      </c>
      <c r="F215">
        <v>22</v>
      </c>
      <c r="G215">
        <v>3.89</v>
      </c>
      <c r="H215">
        <v>92</v>
      </c>
      <c r="I215">
        <v>73</v>
      </c>
      <c r="J215">
        <v>75</v>
      </c>
      <c r="K215">
        <v>5</v>
      </c>
      <c r="L215" t="s">
        <v>29</v>
      </c>
      <c r="M215">
        <v>2024</v>
      </c>
    </row>
    <row r="216" spans="1:13" ht="14.5" x14ac:dyDescent="0.35">
      <c r="A216" t="s">
        <v>480</v>
      </c>
      <c r="B216" t="s">
        <v>481</v>
      </c>
      <c r="C216" t="s">
        <v>159</v>
      </c>
      <c r="D216" t="s">
        <v>482</v>
      </c>
      <c r="E216" t="s">
        <v>32</v>
      </c>
      <c r="F216">
        <v>39</v>
      </c>
      <c r="G216">
        <v>2.46</v>
      </c>
      <c r="H216">
        <v>71</v>
      </c>
      <c r="I216">
        <v>69</v>
      </c>
      <c r="J216">
        <v>75</v>
      </c>
      <c r="K216">
        <v>35</v>
      </c>
      <c r="L216" t="s">
        <v>33</v>
      </c>
      <c r="M216">
        <v>2025</v>
      </c>
    </row>
    <row r="217" spans="1:13" ht="14.5" x14ac:dyDescent="0.35">
      <c r="A217" t="s">
        <v>483</v>
      </c>
      <c r="B217" t="s">
        <v>86</v>
      </c>
      <c r="C217" t="s">
        <v>108</v>
      </c>
      <c r="D217" t="s">
        <v>206</v>
      </c>
      <c r="E217" t="s">
        <v>32</v>
      </c>
      <c r="F217">
        <v>26</v>
      </c>
      <c r="G217">
        <v>2.42</v>
      </c>
      <c r="H217">
        <v>65</v>
      </c>
      <c r="I217">
        <v>68</v>
      </c>
      <c r="J217">
        <v>97</v>
      </c>
      <c r="K217">
        <v>56</v>
      </c>
      <c r="L217" t="s">
        <v>24</v>
      </c>
      <c r="M217">
        <v>2025</v>
      </c>
    </row>
    <row r="218" spans="1:13" ht="14.5" x14ac:dyDescent="0.35">
      <c r="A218" t="s">
        <v>484</v>
      </c>
      <c r="B218" t="s">
        <v>119</v>
      </c>
      <c r="C218" t="s">
        <v>27</v>
      </c>
      <c r="D218" t="s">
        <v>76</v>
      </c>
      <c r="E218" t="s">
        <v>32</v>
      </c>
      <c r="F218">
        <v>39</v>
      </c>
      <c r="G218">
        <v>4.0599999999999996</v>
      </c>
      <c r="H218">
        <v>82</v>
      </c>
      <c r="I218">
        <v>79</v>
      </c>
      <c r="J218">
        <v>97</v>
      </c>
      <c r="K218">
        <v>53</v>
      </c>
      <c r="L218" t="s">
        <v>33</v>
      </c>
      <c r="M218">
        <v>2024</v>
      </c>
    </row>
    <row r="219" spans="1:13" ht="14.5" x14ac:dyDescent="0.35">
      <c r="A219" t="s">
        <v>485</v>
      </c>
      <c r="B219" t="s">
        <v>221</v>
      </c>
      <c r="C219" t="s">
        <v>69</v>
      </c>
      <c r="D219" t="s">
        <v>70</v>
      </c>
      <c r="E219" t="s">
        <v>23</v>
      </c>
      <c r="F219">
        <v>25</v>
      </c>
      <c r="G219">
        <v>3.77</v>
      </c>
      <c r="H219">
        <v>86</v>
      </c>
      <c r="I219">
        <v>84</v>
      </c>
      <c r="J219">
        <v>95</v>
      </c>
      <c r="K219">
        <v>27</v>
      </c>
      <c r="L219" t="s">
        <v>42</v>
      </c>
      <c r="M219">
        <v>2026</v>
      </c>
    </row>
    <row r="220" spans="1:13" ht="14.5" x14ac:dyDescent="0.35">
      <c r="A220" t="s">
        <v>486</v>
      </c>
      <c r="B220" t="s">
        <v>487</v>
      </c>
      <c r="C220" t="s">
        <v>52</v>
      </c>
      <c r="D220" t="s">
        <v>53</v>
      </c>
      <c r="E220" t="s">
        <v>32</v>
      </c>
      <c r="F220">
        <v>30</v>
      </c>
      <c r="G220">
        <v>3.09</v>
      </c>
      <c r="H220">
        <v>67</v>
      </c>
      <c r="I220">
        <v>98</v>
      </c>
      <c r="J220">
        <v>78</v>
      </c>
      <c r="K220">
        <v>15</v>
      </c>
      <c r="L220" t="s">
        <v>42</v>
      </c>
      <c r="M220">
        <v>2026</v>
      </c>
    </row>
    <row r="221" spans="1:13" ht="14.5" x14ac:dyDescent="0.35">
      <c r="A221" t="s">
        <v>488</v>
      </c>
      <c r="B221" t="s">
        <v>489</v>
      </c>
      <c r="C221" t="s">
        <v>40</v>
      </c>
      <c r="D221" t="s">
        <v>90</v>
      </c>
      <c r="E221" t="s">
        <v>23</v>
      </c>
      <c r="F221">
        <v>32</v>
      </c>
      <c r="G221">
        <v>2.6</v>
      </c>
      <c r="H221">
        <v>89</v>
      </c>
      <c r="I221">
        <v>95</v>
      </c>
      <c r="J221">
        <v>93</v>
      </c>
      <c r="K221">
        <v>36</v>
      </c>
      <c r="L221" t="s">
        <v>42</v>
      </c>
      <c r="M221">
        <v>2026</v>
      </c>
    </row>
    <row r="222" spans="1:13" ht="14.5" x14ac:dyDescent="0.35">
      <c r="A222" t="s">
        <v>490</v>
      </c>
      <c r="B222" t="s">
        <v>491</v>
      </c>
      <c r="C222" t="s">
        <v>27</v>
      </c>
      <c r="D222" t="s">
        <v>28</v>
      </c>
      <c r="E222" t="s">
        <v>23</v>
      </c>
      <c r="F222">
        <v>51</v>
      </c>
      <c r="G222">
        <v>2.54</v>
      </c>
      <c r="H222">
        <v>89</v>
      </c>
      <c r="I222">
        <v>82</v>
      </c>
      <c r="J222">
        <v>76</v>
      </c>
      <c r="K222">
        <v>6</v>
      </c>
      <c r="L222" t="s">
        <v>42</v>
      </c>
      <c r="M222">
        <v>2025</v>
      </c>
    </row>
    <row r="223" spans="1:13" ht="14.5" x14ac:dyDescent="0.35">
      <c r="A223" t="s">
        <v>492</v>
      </c>
      <c r="B223" t="s">
        <v>20</v>
      </c>
      <c r="C223" t="s">
        <v>36</v>
      </c>
      <c r="D223" t="s">
        <v>37</v>
      </c>
      <c r="E223" t="s">
        <v>23</v>
      </c>
      <c r="F223">
        <v>25</v>
      </c>
      <c r="G223">
        <v>4.3600000000000003</v>
      </c>
      <c r="H223">
        <v>84</v>
      </c>
      <c r="I223">
        <v>87</v>
      </c>
      <c r="J223">
        <v>78</v>
      </c>
      <c r="K223">
        <v>44</v>
      </c>
      <c r="L223" t="s">
        <v>66</v>
      </c>
      <c r="M223">
        <v>2024</v>
      </c>
    </row>
    <row r="224" spans="1:13" ht="14.5" x14ac:dyDescent="0.35">
      <c r="A224" t="s">
        <v>493</v>
      </c>
      <c r="B224" t="s">
        <v>436</v>
      </c>
      <c r="C224" t="s">
        <v>45</v>
      </c>
      <c r="D224" t="s">
        <v>46</v>
      </c>
      <c r="E224" t="s">
        <v>32</v>
      </c>
      <c r="F224">
        <v>23</v>
      </c>
      <c r="G224">
        <v>3.27</v>
      </c>
      <c r="H224">
        <v>73</v>
      </c>
      <c r="I224">
        <v>60</v>
      </c>
      <c r="J224">
        <v>77</v>
      </c>
      <c r="K224">
        <v>33</v>
      </c>
      <c r="L224" t="s">
        <v>42</v>
      </c>
      <c r="M224">
        <v>2026</v>
      </c>
    </row>
    <row r="225" spans="1:13" ht="14.5" x14ac:dyDescent="0.35">
      <c r="A225" t="s">
        <v>494</v>
      </c>
      <c r="B225" t="s">
        <v>495</v>
      </c>
      <c r="C225" t="s">
        <v>108</v>
      </c>
      <c r="D225" t="s">
        <v>206</v>
      </c>
      <c r="E225" t="s">
        <v>32</v>
      </c>
      <c r="F225">
        <v>29</v>
      </c>
      <c r="G225">
        <v>2.75</v>
      </c>
      <c r="H225">
        <v>99</v>
      </c>
      <c r="I225">
        <v>79</v>
      </c>
      <c r="J225">
        <v>86</v>
      </c>
      <c r="K225">
        <v>11</v>
      </c>
      <c r="L225" t="s">
        <v>42</v>
      </c>
      <c r="M225">
        <v>2025</v>
      </c>
    </row>
    <row r="226" spans="1:13" ht="14.5" x14ac:dyDescent="0.35">
      <c r="A226" t="s">
        <v>496</v>
      </c>
      <c r="B226" t="s">
        <v>497</v>
      </c>
      <c r="C226" t="s">
        <v>52</v>
      </c>
      <c r="D226" t="s">
        <v>498</v>
      </c>
      <c r="E226" t="s">
        <v>32</v>
      </c>
      <c r="F226">
        <v>23</v>
      </c>
      <c r="G226">
        <v>3.61</v>
      </c>
      <c r="H226">
        <v>62</v>
      </c>
      <c r="I226">
        <v>98</v>
      </c>
      <c r="J226">
        <v>82</v>
      </c>
      <c r="K226">
        <v>7</v>
      </c>
      <c r="L226" t="s">
        <v>42</v>
      </c>
      <c r="M226">
        <v>2026</v>
      </c>
    </row>
    <row r="227" spans="1:13" ht="14.5" x14ac:dyDescent="0.35">
      <c r="A227" t="s">
        <v>499</v>
      </c>
      <c r="B227" t="s">
        <v>125</v>
      </c>
      <c r="C227" t="s">
        <v>27</v>
      </c>
      <c r="D227" t="s">
        <v>76</v>
      </c>
      <c r="E227" t="s">
        <v>23</v>
      </c>
      <c r="F227">
        <v>37</v>
      </c>
      <c r="G227">
        <v>3.54</v>
      </c>
      <c r="H227">
        <v>64</v>
      </c>
      <c r="I227">
        <v>76</v>
      </c>
      <c r="J227">
        <v>82</v>
      </c>
      <c r="K227">
        <v>45</v>
      </c>
      <c r="L227" t="s">
        <v>33</v>
      </c>
      <c r="M227">
        <v>2026</v>
      </c>
    </row>
    <row r="228" spans="1:13" ht="14.5" x14ac:dyDescent="0.35">
      <c r="A228" t="s">
        <v>500</v>
      </c>
      <c r="B228" t="s">
        <v>184</v>
      </c>
      <c r="C228" t="s">
        <v>40</v>
      </c>
      <c r="D228" t="s">
        <v>41</v>
      </c>
      <c r="E228" t="s">
        <v>23</v>
      </c>
      <c r="F228">
        <v>38</v>
      </c>
      <c r="G228">
        <v>4.51</v>
      </c>
      <c r="H228">
        <v>92</v>
      </c>
      <c r="I228">
        <v>98</v>
      </c>
      <c r="J228">
        <v>94</v>
      </c>
      <c r="K228">
        <v>36</v>
      </c>
      <c r="L228" t="s">
        <v>29</v>
      </c>
      <c r="M228">
        <v>2025</v>
      </c>
    </row>
    <row r="229" spans="1:13" ht="14.5" x14ac:dyDescent="0.35">
      <c r="A229" t="s">
        <v>501</v>
      </c>
      <c r="B229" t="s">
        <v>502</v>
      </c>
      <c r="C229" t="s">
        <v>108</v>
      </c>
      <c r="D229" t="s">
        <v>206</v>
      </c>
      <c r="E229" t="s">
        <v>23</v>
      </c>
      <c r="F229">
        <v>32</v>
      </c>
      <c r="G229">
        <v>4.3</v>
      </c>
      <c r="H229">
        <v>96</v>
      </c>
      <c r="I229">
        <v>66</v>
      </c>
      <c r="J229">
        <v>67</v>
      </c>
      <c r="K229">
        <v>28</v>
      </c>
      <c r="L229" t="s">
        <v>33</v>
      </c>
      <c r="M229">
        <v>2026</v>
      </c>
    </row>
    <row r="230" spans="1:13" ht="14.5" x14ac:dyDescent="0.35">
      <c r="A230" t="s">
        <v>503</v>
      </c>
      <c r="B230" t="s">
        <v>504</v>
      </c>
      <c r="C230" t="s">
        <v>27</v>
      </c>
      <c r="D230" t="s">
        <v>73</v>
      </c>
      <c r="E230" t="s">
        <v>32</v>
      </c>
      <c r="F230">
        <v>48</v>
      </c>
      <c r="G230">
        <v>4.7</v>
      </c>
      <c r="H230">
        <v>71</v>
      </c>
      <c r="I230">
        <v>71</v>
      </c>
      <c r="J230">
        <v>73</v>
      </c>
      <c r="K230">
        <v>10</v>
      </c>
      <c r="L230" t="s">
        <v>24</v>
      </c>
      <c r="M230">
        <v>2024</v>
      </c>
    </row>
    <row r="231" spans="1:13" ht="14.5" x14ac:dyDescent="0.35">
      <c r="A231" t="s">
        <v>505</v>
      </c>
      <c r="B231" t="s">
        <v>506</v>
      </c>
      <c r="C231" t="s">
        <v>27</v>
      </c>
      <c r="D231" t="s">
        <v>73</v>
      </c>
      <c r="E231" t="s">
        <v>23</v>
      </c>
      <c r="F231">
        <v>27</v>
      </c>
      <c r="G231">
        <v>2.36</v>
      </c>
      <c r="H231">
        <v>65</v>
      </c>
      <c r="I231">
        <v>80</v>
      </c>
      <c r="J231">
        <v>71</v>
      </c>
      <c r="K231">
        <v>59</v>
      </c>
      <c r="L231" t="s">
        <v>66</v>
      </c>
      <c r="M231">
        <v>2025</v>
      </c>
    </row>
    <row r="232" spans="1:13" ht="14.5" x14ac:dyDescent="0.35">
      <c r="A232" t="s">
        <v>507</v>
      </c>
      <c r="B232" t="s">
        <v>508</v>
      </c>
      <c r="C232" t="s">
        <v>36</v>
      </c>
      <c r="D232" t="s">
        <v>84</v>
      </c>
      <c r="E232" t="s">
        <v>23</v>
      </c>
      <c r="F232">
        <v>31</v>
      </c>
      <c r="G232">
        <v>4.95</v>
      </c>
      <c r="H232">
        <v>74</v>
      </c>
      <c r="I232">
        <v>99</v>
      </c>
      <c r="J232">
        <v>66</v>
      </c>
      <c r="K232">
        <v>26</v>
      </c>
      <c r="L232" t="s">
        <v>42</v>
      </c>
      <c r="M232">
        <v>2026</v>
      </c>
    </row>
    <row r="233" spans="1:13" ht="14.5" x14ac:dyDescent="0.35">
      <c r="A233" t="s">
        <v>509</v>
      </c>
      <c r="B233" t="s">
        <v>510</v>
      </c>
      <c r="C233" t="s">
        <v>40</v>
      </c>
      <c r="D233" t="s">
        <v>65</v>
      </c>
      <c r="E233" t="s">
        <v>23</v>
      </c>
      <c r="F233">
        <v>24</v>
      </c>
      <c r="G233">
        <v>2.67</v>
      </c>
      <c r="H233">
        <v>99</v>
      </c>
      <c r="I233">
        <v>83</v>
      </c>
      <c r="J233">
        <v>98</v>
      </c>
      <c r="K233">
        <v>5</v>
      </c>
      <c r="L233" t="s">
        <v>24</v>
      </c>
      <c r="M233">
        <v>2025</v>
      </c>
    </row>
    <row r="234" spans="1:13" ht="14.5" x14ac:dyDescent="0.35">
      <c r="A234" t="s">
        <v>511</v>
      </c>
      <c r="B234" t="s">
        <v>512</v>
      </c>
      <c r="C234" t="s">
        <v>40</v>
      </c>
      <c r="D234" t="s">
        <v>90</v>
      </c>
      <c r="E234" t="s">
        <v>32</v>
      </c>
      <c r="F234">
        <v>30</v>
      </c>
      <c r="G234">
        <v>4.55</v>
      </c>
      <c r="H234">
        <v>65</v>
      </c>
      <c r="I234">
        <v>64</v>
      </c>
      <c r="J234">
        <v>77</v>
      </c>
      <c r="K234">
        <v>57</v>
      </c>
      <c r="L234" t="s">
        <v>66</v>
      </c>
      <c r="M234">
        <v>2024</v>
      </c>
    </row>
    <row r="235" spans="1:13" ht="14.5" x14ac:dyDescent="0.35">
      <c r="A235" t="s">
        <v>513</v>
      </c>
      <c r="B235" t="s">
        <v>514</v>
      </c>
      <c r="C235" t="s">
        <v>52</v>
      </c>
      <c r="D235" t="s">
        <v>195</v>
      </c>
      <c r="E235" t="s">
        <v>32</v>
      </c>
      <c r="F235">
        <v>36</v>
      </c>
      <c r="G235">
        <v>4.24</v>
      </c>
      <c r="H235">
        <v>67</v>
      </c>
      <c r="I235">
        <v>71</v>
      </c>
      <c r="J235">
        <v>93</v>
      </c>
      <c r="K235">
        <v>7</v>
      </c>
      <c r="L235" t="s">
        <v>42</v>
      </c>
      <c r="M235">
        <v>2026</v>
      </c>
    </row>
    <row r="236" spans="1:13" ht="14.5" x14ac:dyDescent="0.35">
      <c r="A236" t="s">
        <v>515</v>
      </c>
      <c r="B236" t="s">
        <v>516</v>
      </c>
      <c r="C236" t="s">
        <v>52</v>
      </c>
      <c r="D236" t="s">
        <v>102</v>
      </c>
      <c r="E236" t="s">
        <v>32</v>
      </c>
      <c r="F236">
        <v>49</v>
      </c>
      <c r="G236">
        <v>2.76</v>
      </c>
      <c r="H236">
        <v>94</v>
      </c>
      <c r="I236">
        <v>86</v>
      </c>
      <c r="J236">
        <v>76</v>
      </c>
      <c r="K236">
        <v>45</v>
      </c>
      <c r="L236" t="s">
        <v>33</v>
      </c>
      <c r="M236">
        <v>2025</v>
      </c>
    </row>
    <row r="237" spans="1:13" ht="14.5" x14ac:dyDescent="0.35">
      <c r="A237" t="s">
        <v>517</v>
      </c>
      <c r="B237" t="s">
        <v>261</v>
      </c>
      <c r="C237" t="s">
        <v>45</v>
      </c>
      <c r="D237" t="s">
        <v>234</v>
      </c>
      <c r="E237" t="s">
        <v>23</v>
      </c>
      <c r="F237">
        <v>46</v>
      </c>
      <c r="G237">
        <v>2.97</v>
      </c>
      <c r="H237">
        <v>84</v>
      </c>
      <c r="I237">
        <v>67</v>
      </c>
      <c r="J237">
        <v>86</v>
      </c>
      <c r="K237">
        <v>34</v>
      </c>
      <c r="L237" t="s">
        <v>66</v>
      </c>
      <c r="M237">
        <v>2026</v>
      </c>
    </row>
    <row r="238" spans="1:13" ht="14.5" x14ac:dyDescent="0.35">
      <c r="A238" t="s">
        <v>518</v>
      </c>
      <c r="B238" t="s">
        <v>519</v>
      </c>
      <c r="C238" t="s">
        <v>21</v>
      </c>
      <c r="D238" t="s">
        <v>22</v>
      </c>
      <c r="E238" t="s">
        <v>32</v>
      </c>
      <c r="F238">
        <v>52</v>
      </c>
      <c r="G238">
        <v>2.44</v>
      </c>
      <c r="H238">
        <v>91</v>
      </c>
      <c r="I238">
        <v>65</v>
      </c>
      <c r="J238">
        <v>72</v>
      </c>
      <c r="K238">
        <v>10</v>
      </c>
      <c r="L238" t="s">
        <v>29</v>
      </c>
      <c r="M238">
        <v>2026</v>
      </c>
    </row>
    <row r="239" spans="1:13" ht="14.5" x14ac:dyDescent="0.35">
      <c r="A239" t="s">
        <v>520</v>
      </c>
      <c r="B239" t="s">
        <v>469</v>
      </c>
      <c r="C239" t="s">
        <v>21</v>
      </c>
      <c r="D239" t="s">
        <v>163</v>
      </c>
      <c r="E239" t="s">
        <v>23</v>
      </c>
      <c r="F239">
        <v>49</v>
      </c>
      <c r="G239">
        <v>2.44</v>
      </c>
      <c r="H239">
        <v>82</v>
      </c>
      <c r="I239">
        <v>97</v>
      </c>
      <c r="J239">
        <v>66</v>
      </c>
      <c r="K239">
        <v>54</v>
      </c>
      <c r="L239" t="s">
        <v>29</v>
      </c>
      <c r="M239">
        <v>2024</v>
      </c>
    </row>
    <row r="240" spans="1:13" ht="14.5" x14ac:dyDescent="0.35">
      <c r="A240" t="s">
        <v>521</v>
      </c>
      <c r="B240" t="s">
        <v>522</v>
      </c>
      <c r="C240" t="s">
        <v>69</v>
      </c>
      <c r="D240" t="s">
        <v>105</v>
      </c>
      <c r="E240" t="s">
        <v>32</v>
      </c>
      <c r="F240">
        <v>25</v>
      </c>
      <c r="G240">
        <v>2.81</v>
      </c>
      <c r="H240">
        <v>85</v>
      </c>
      <c r="I240">
        <v>89</v>
      </c>
      <c r="J240">
        <v>70</v>
      </c>
      <c r="K240">
        <v>51</v>
      </c>
      <c r="L240" t="s">
        <v>29</v>
      </c>
      <c r="M240">
        <v>2025</v>
      </c>
    </row>
    <row r="241" spans="1:13" ht="14.5" x14ac:dyDescent="0.35">
      <c r="A241" t="s">
        <v>523</v>
      </c>
      <c r="B241" t="s">
        <v>186</v>
      </c>
      <c r="C241" t="s">
        <v>21</v>
      </c>
      <c r="D241" t="s">
        <v>163</v>
      </c>
      <c r="E241" t="s">
        <v>23</v>
      </c>
      <c r="F241">
        <v>25</v>
      </c>
      <c r="G241">
        <v>4.54</v>
      </c>
      <c r="H241">
        <v>74</v>
      </c>
      <c r="I241">
        <v>68</v>
      </c>
      <c r="J241">
        <v>84</v>
      </c>
      <c r="K241">
        <v>8</v>
      </c>
      <c r="L241" t="s">
        <v>24</v>
      </c>
      <c r="M241">
        <v>2026</v>
      </c>
    </row>
    <row r="242" spans="1:13" ht="14.5" x14ac:dyDescent="0.35">
      <c r="A242" t="s">
        <v>524</v>
      </c>
      <c r="B242" t="s">
        <v>86</v>
      </c>
      <c r="C242" t="s">
        <v>159</v>
      </c>
      <c r="D242" t="s">
        <v>482</v>
      </c>
      <c r="E242" t="s">
        <v>23</v>
      </c>
      <c r="F242">
        <v>53</v>
      </c>
      <c r="G242">
        <v>3</v>
      </c>
      <c r="H242">
        <v>79</v>
      </c>
      <c r="I242">
        <v>68</v>
      </c>
      <c r="J242">
        <v>85</v>
      </c>
      <c r="K242">
        <v>31</v>
      </c>
      <c r="L242" t="s">
        <v>29</v>
      </c>
      <c r="M242">
        <v>2024</v>
      </c>
    </row>
    <row r="243" spans="1:13" ht="14.5" x14ac:dyDescent="0.35">
      <c r="A243" t="s">
        <v>525</v>
      </c>
      <c r="B243" t="s">
        <v>526</v>
      </c>
      <c r="C243" t="s">
        <v>69</v>
      </c>
      <c r="D243" t="s">
        <v>70</v>
      </c>
      <c r="E243" t="s">
        <v>32</v>
      </c>
      <c r="F243">
        <v>44</v>
      </c>
      <c r="G243">
        <v>2.96</v>
      </c>
      <c r="H243">
        <v>74</v>
      </c>
      <c r="I243">
        <v>71</v>
      </c>
      <c r="J243">
        <v>83</v>
      </c>
      <c r="K243">
        <v>21</v>
      </c>
      <c r="L243" t="s">
        <v>24</v>
      </c>
      <c r="M243">
        <v>2025</v>
      </c>
    </row>
    <row r="244" spans="1:13" ht="14.5" x14ac:dyDescent="0.35">
      <c r="A244" t="s">
        <v>527</v>
      </c>
      <c r="B244" t="s">
        <v>255</v>
      </c>
      <c r="C244" t="s">
        <v>27</v>
      </c>
      <c r="D244" t="s">
        <v>87</v>
      </c>
      <c r="E244" t="s">
        <v>32</v>
      </c>
      <c r="F244">
        <v>25</v>
      </c>
      <c r="G244">
        <v>2.46</v>
      </c>
      <c r="H244">
        <v>84</v>
      </c>
      <c r="I244">
        <v>97</v>
      </c>
      <c r="J244">
        <v>88</v>
      </c>
      <c r="K244">
        <v>27</v>
      </c>
      <c r="L244" t="s">
        <v>66</v>
      </c>
      <c r="M244">
        <v>2025</v>
      </c>
    </row>
    <row r="245" spans="1:13" ht="14.5" x14ac:dyDescent="0.35">
      <c r="A245" t="s">
        <v>528</v>
      </c>
      <c r="B245" t="s">
        <v>529</v>
      </c>
      <c r="C245" t="s">
        <v>27</v>
      </c>
      <c r="D245" t="s">
        <v>76</v>
      </c>
      <c r="E245" t="s">
        <v>23</v>
      </c>
      <c r="F245">
        <v>57</v>
      </c>
      <c r="G245">
        <v>4.5199999999999996</v>
      </c>
      <c r="H245">
        <v>72</v>
      </c>
      <c r="I245">
        <v>62</v>
      </c>
      <c r="J245">
        <v>89</v>
      </c>
      <c r="K245">
        <v>14</v>
      </c>
      <c r="L245" t="s">
        <v>66</v>
      </c>
      <c r="M245">
        <v>2026</v>
      </c>
    </row>
    <row r="246" spans="1:13" ht="14.5" x14ac:dyDescent="0.35">
      <c r="A246" t="s">
        <v>530</v>
      </c>
      <c r="B246" t="s">
        <v>531</v>
      </c>
      <c r="C246" t="s">
        <v>108</v>
      </c>
      <c r="D246" t="s">
        <v>206</v>
      </c>
      <c r="E246" t="s">
        <v>23</v>
      </c>
      <c r="F246">
        <v>29</v>
      </c>
      <c r="G246">
        <v>2.79</v>
      </c>
      <c r="H246">
        <v>89</v>
      </c>
      <c r="I246">
        <v>82</v>
      </c>
      <c r="J246">
        <v>83</v>
      </c>
      <c r="K246">
        <v>18</v>
      </c>
      <c r="L246" t="s">
        <v>42</v>
      </c>
      <c r="M246">
        <v>2026</v>
      </c>
    </row>
    <row r="247" spans="1:13" ht="14.5" x14ac:dyDescent="0.35">
      <c r="A247" t="s">
        <v>532</v>
      </c>
      <c r="B247" t="s">
        <v>533</v>
      </c>
      <c r="C247" t="s">
        <v>159</v>
      </c>
      <c r="D247" t="s">
        <v>324</v>
      </c>
      <c r="E247" t="s">
        <v>32</v>
      </c>
      <c r="F247">
        <v>28</v>
      </c>
      <c r="G247">
        <v>4.91</v>
      </c>
      <c r="H247">
        <v>97</v>
      </c>
      <c r="I247">
        <v>77</v>
      </c>
      <c r="J247">
        <v>70</v>
      </c>
      <c r="K247">
        <v>37</v>
      </c>
      <c r="L247" t="s">
        <v>29</v>
      </c>
      <c r="M247">
        <v>2025</v>
      </c>
    </row>
    <row r="248" spans="1:13" ht="14.5" x14ac:dyDescent="0.35">
      <c r="A248" t="s">
        <v>534</v>
      </c>
      <c r="B248" t="s">
        <v>535</v>
      </c>
      <c r="C248" t="s">
        <v>159</v>
      </c>
      <c r="D248" t="s">
        <v>269</v>
      </c>
      <c r="E248" t="s">
        <v>32</v>
      </c>
      <c r="F248">
        <v>43</v>
      </c>
      <c r="G248">
        <v>2.81</v>
      </c>
      <c r="H248">
        <v>78</v>
      </c>
      <c r="I248">
        <v>62</v>
      </c>
      <c r="J248">
        <v>72</v>
      </c>
      <c r="K248">
        <v>38</v>
      </c>
      <c r="L248" t="s">
        <v>29</v>
      </c>
      <c r="M248">
        <v>2025</v>
      </c>
    </row>
    <row r="249" spans="1:13" ht="14.5" x14ac:dyDescent="0.35">
      <c r="A249" t="s">
        <v>536</v>
      </c>
      <c r="B249" t="s">
        <v>537</v>
      </c>
      <c r="C249" t="s">
        <v>36</v>
      </c>
      <c r="D249" t="s">
        <v>93</v>
      </c>
      <c r="E249" t="s">
        <v>23</v>
      </c>
      <c r="F249">
        <v>29</v>
      </c>
      <c r="G249">
        <v>2.59</v>
      </c>
      <c r="H249">
        <v>99</v>
      </c>
      <c r="I249">
        <v>80</v>
      </c>
      <c r="J249">
        <v>88</v>
      </c>
      <c r="K249">
        <v>41</v>
      </c>
      <c r="L249" t="s">
        <v>24</v>
      </c>
      <c r="M249">
        <v>2026</v>
      </c>
    </row>
    <row r="250" spans="1:13" ht="14.5" x14ac:dyDescent="0.35">
      <c r="A250" t="s">
        <v>538</v>
      </c>
      <c r="B250" t="s">
        <v>292</v>
      </c>
      <c r="C250" t="s">
        <v>27</v>
      </c>
      <c r="D250" t="s">
        <v>87</v>
      </c>
      <c r="E250" t="s">
        <v>32</v>
      </c>
      <c r="F250">
        <v>31</v>
      </c>
      <c r="G250">
        <v>3.85</v>
      </c>
      <c r="H250">
        <v>64</v>
      </c>
      <c r="I250">
        <v>80</v>
      </c>
      <c r="J250">
        <v>71</v>
      </c>
      <c r="K250">
        <v>45</v>
      </c>
      <c r="L250" t="s">
        <v>42</v>
      </c>
      <c r="M250">
        <v>2024</v>
      </c>
    </row>
    <row r="251" spans="1:13" ht="14.5" x14ac:dyDescent="0.35">
      <c r="A251" t="s">
        <v>539</v>
      </c>
      <c r="B251" t="s">
        <v>540</v>
      </c>
      <c r="C251" t="s">
        <v>52</v>
      </c>
      <c r="D251" t="s">
        <v>176</v>
      </c>
      <c r="E251" t="s">
        <v>32</v>
      </c>
      <c r="F251">
        <v>23</v>
      </c>
      <c r="G251">
        <v>2.64</v>
      </c>
      <c r="H251">
        <v>92</v>
      </c>
      <c r="I251">
        <v>81</v>
      </c>
      <c r="J251">
        <v>86</v>
      </c>
      <c r="K251">
        <v>46</v>
      </c>
      <c r="L251" t="s">
        <v>33</v>
      </c>
      <c r="M251">
        <v>2024</v>
      </c>
    </row>
    <row r="252" spans="1:13" ht="14.5" x14ac:dyDescent="0.35">
      <c r="A252" t="s">
        <v>541</v>
      </c>
      <c r="B252" t="s">
        <v>542</v>
      </c>
      <c r="C252" t="s">
        <v>45</v>
      </c>
      <c r="D252" t="s">
        <v>239</v>
      </c>
      <c r="E252" t="s">
        <v>32</v>
      </c>
      <c r="F252">
        <v>52</v>
      </c>
      <c r="G252">
        <v>4.76</v>
      </c>
      <c r="H252">
        <v>81</v>
      </c>
      <c r="I252">
        <v>70</v>
      </c>
      <c r="J252">
        <v>94</v>
      </c>
      <c r="K252">
        <v>39</v>
      </c>
      <c r="L252" t="s">
        <v>29</v>
      </c>
      <c r="M252">
        <v>2024</v>
      </c>
    </row>
    <row r="253" spans="1:13" ht="14.5" x14ac:dyDescent="0.35">
      <c r="A253" t="s">
        <v>543</v>
      </c>
      <c r="B253" t="s">
        <v>544</v>
      </c>
      <c r="C253" t="s">
        <v>108</v>
      </c>
      <c r="D253" t="s">
        <v>109</v>
      </c>
      <c r="E253" t="s">
        <v>23</v>
      </c>
      <c r="F253">
        <v>40</v>
      </c>
      <c r="G253">
        <v>3.43</v>
      </c>
      <c r="H253">
        <v>91</v>
      </c>
      <c r="I253">
        <v>97</v>
      </c>
      <c r="J253">
        <v>92</v>
      </c>
      <c r="K253">
        <v>51</v>
      </c>
      <c r="L253" t="s">
        <v>24</v>
      </c>
      <c r="M253">
        <v>2025</v>
      </c>
    </row>
    <row r="254" spans="1:13" ht="14.5" x14ac:dyDescent="0.35">
      <c r="A254" t="s">
        <v>545</v>
      </c>
      <c r="B254" t="s">
        <v>546</v>
      </c>
      <c r="C254" t="s">
        <v>159</v>
      </c>
      <c r="D254" t="s">
        <v>324</v>
      </c>
      <c r="E254" t="s">
        <v>23</v>
      </c>
      <c r="F254">
        <v>51</v>
      </c>
      <c r="G254">
        <v>4.54</v>
      </c>
      <c r="H254">
        <v>78</v>
      </c>
      <c r="I254">
        <v>83</v>
      </c>
      <c r="J254">
        <v>86</v>
      </c>
      <c r="K254">
        <v>35</v>
      </c>
      <c r="L254" t="s">
        <v>24</v>
      </c>
      <c r="M254">
        <v>2025</v>
      </c>
    </row>
    <row r="255" spans="1:13" ht="14.5" x14ac:dyDescent="0.35">
      <c r="A255" t="s">
        <v>547</v>
      </c>
      <c r="B255" t="s">
        <v>548</v>
      </c>
      <c r="C255" t="s">
        <v>159</v>
      </c>
      <c r="D255" t="s">
        <v>269</v>
      </c>
      <c r="E255" t="s">
        <v>23</v>
      </c>
      <c r="F255">
        <v>43</v>
      </c>
      <c r="G255">
        <v>2.31</v>
      </c>
      <c r="H255">
        <v>76</v>
      </c>
      <c r="I255">
        <v>92</v>
      </c>
      <c r="J255">
        <v>71</v>
      </c>
      <c r="K255">
        <v>31</v>
      </c>
      <c r="L255" t="s">
        <v>24</v>
      </c>
      <c r="M255">
        <v>2025</v>
      </c>
    </row>
    <row r="256" spans="1:13" ht="14.5" x14ac:dyDescent="0.35">
      <c r="A256" t="s">
        <v>549</v>
      </c>
      <c r="B256" t="s">
        <v>475</v>
      </c>
      <c r="C256" t="s">
        <v>27</v>
      </c>
      <c r="D256" t="s">
        <v>28</v>
      </c>
      <c r="E256" t="s">
        <v>23</v>
      </c>
      <c r="F256">
        <v>36</v>
      </c>
      <c r="G256">
        <v>4.87</v>
      </c>
      <c r="H256">
        <v>87</v>
      </c>
      <c r="I256">
        <v>97</v>
      </c>
      <c r="J256">
        <v>66</v>
      </c>
      <c r="K256">
        <v>15</v>
      </c>
      <c r="L256" t="s">
        <v>66</v>
      </c>
      <c r="M256">
        <v>2024</v>
      </c>
    </row>
    <row r="257" spans="1:13" ht="14.5" x14ac:dyDescent="0.35">
      <c r="A257" t="s">
        <v>550</v>
      </c>
      <c r="B257" t="s">
        <v>551</v>
      </c>
      <c r="C257" t="s">
        <v>69</v>
      </c>
      <c r="D257" t="s">
        <v>117</v>
      </c>
      <c r="E257" t="s">
        <v>32</v>
      </c>
      <c r="F257">
        <v>24</v>
      </c>
      <c r="G257">
        <v>4.78</v>
      </c>
      <c r="H257">
        <v>100</v>
      </c>
      <c r="I257">
        <v>93</v>
      </c>
      <c r="J257">
        <v>77</v>
      </c>
      <c r="K257">
        <v>41</v>
      </c>
      <c r="L257" t="s">
        <v>29</v>
      </c>
      <c r="M257">
        <v>2024</v>
      </c>
    </row>
    <row r="258" spans="1:13" ht="14.5" x14ac:dyDescent="0.35">
      <c r="A258" t="s">
        <v>552</v>
      </c>
      <c r="B258" t="s">
        <v>553</v>
      </c>
      <c r="C258" t="s">
        <v>56</v>
      </c>
      <c r="D258" t="s">
        <v>112</v>
      </c>
      <c r="E258" t="s">
        <v>32</v>
      </c>
      <c r="F258">
        <v>41</v>
      </c>
      <c r="G258">
        <v>4.0599999999999996</v>
      </c>
      <c r="H258">
        <v>65</v>
      </c>
      <c r="I258">
        <v>65</v>
      </c>
      <c r="J258">
        <v>84</v>
      </c>
      <c r="K258">
        <v>55</v>
      </c>
      <c r="L258" t="s">
        <v>29</v>
      </c>
      <c r="M258">
        <v>2025</v>
      </c>
    </row>
    <row r="259" spans="1:13" ht="14.5" x14ac:dyDescent="0.35">
      <c r="A259" t="s">
        <v>554</v>
      </c>
      <c r="B259" t="s">
        <v>555</v>
      </c>
      <c r="C259" t="s">
        <v>159</v>
      </c>
      <c r="D259" t="s">
        <v>324</v>
      </c>
      <c r="E259" t="s">
        <v>23</v>
      </c>
      <c r="F259">
        <v>52</v>
      </c>
      <c r="G259">
        <v>3.48</v>
      </c>
      <c r="H259">
        <v>72</v>
      </c>
      <c r="I259">
        <v>89</v>
      </c>
      <c r="J259">
        <v>65</v>
      </c>
      <c r="K259">
        <v>47</v>
      </c>
      <c r="L259" t="s">
        <v>29</v>
      </c>
      <c r="M259">
        <v>2024</v>
      </c>
    </row>
    <row r="260" spans="1:13" ht="14.5" x14ac:dyDescent="0.35">
      <c r="A260" t="s">
        <v>556</v>
      </c>
      <c r="B260" t="s">
        <v>557</v>
      </c>
      <c r="C260" t="s">
        <v>56</v>
      </c>
      <c r="D260" t="s">
        <v>217</v>
      </c>
      <c r="E260" t="s">
        <v>32</v>
      </c>
      <c r="F260">
        <v>34</v>
      </c>
      <c r="G260">
        <v>4.67</v>
      </c>
      <c r="H260">
        <v>81</v>
      </c>
      <c r="I260">
        <v>79</v>
      </c>
      <c r="J260">
        <v>70</v>
      </c>
      <c r="K260">
        <v>16</v>
      </c>
      <c r="L260" t="s">
        <v>29</v>
      </c>
      <c r="M260">
        <v>2024</v>
      </c>
    </row>
    <row r="261" spans="1:13" ht="14.5" x14ac:dyDescent="0.35">
      <c r="A261" t="s">
        <v>558</v>
      </c>
      <c r="B261" t="s">
        <v>51</v>
      </c>
      <c r="C261" t="s">
        <v>36</v>
      </c>
      <c r="D261" t="s">
        <v>84</v>
      </c>
      <c r="E261" t="s">
        <v>23</v>
      </c>
      <c r="F261">
        <v>39</v>
      </c>
      <c r="G261">
        <v>3.42</v>
      </c>
      <c r="H261">
        <v>77</v>
      </c>
      <c r="I261">
        <v>69</v>
      </c>
      <c r="J261">
        <v>100</v>
      </c>
      <c r="K261">
        <v>59</v>
      </c>
      <c r="L261" t="s">
        <v>42</v>
      </c>
      <c r="M261">
        <v>2024</v>
      </c>
    </row>
    <row r="262" spans="1:13" ht="14.5" x14ac:dyDescent="0.35">
      <c r="A262" t="s">
        <v>559</v>
      </c>
      <c r="B262" t="s">
        <v>560</v>
      </c>
      <c r="C262" t="s">
        <v>56</v>
      </c>
      <c r="D262" t="s">
        <v>112</v>
      </c>
      <c r="E262" t="s">
        <v>23</v>
      </c>
      <c r="F262">
        <v>44</v>
      </c>
      <c r="G262">
        <v>3.54</v>
      </c>
      <c r="H262">
        <v>84</v>
      </c>
      <c r="I262">
        <v>66</v>
      </c>
      <c r="J262">
        <v>95</v>
      </c>
      <c r="K262">
        <v>40</v>
      </c>
      <c r="L262" t="s">
        <v>24</v>
      </c>
      <c r="M262">
        <v>2026</v>
      </c>
    </row>
    <row r="263" spans="1:13" ht="14.5" x14ac:dyDescent="0.35">
      <c r="A263" t="s">
        <v>561</v>
      </c>
      <c r="B263" t="s">
        <v>562</v>
      </c>
      <c r="C263" t="s">
        <v>52</v>
      </c>
      <c r="D263" t="s">
        <v>102</v>
      </c>
      <c r="E263" t="s">
        <v>32</v>
      </c>
      <c r="F263">
        <v>44</v>
      </c>
      <c r="G263">
        <v>2.79</v>
      </c>
      <c r="H263">
        <v>92</v>
      </c>
      <c r="I263">
        <v>84</v>
      </c>
      <c r="J263">
        <v>94</v>
      </c>
      <c r="K263">
        <v>50</v>
      </c>
      <c r="L263" t="s">
        <v>29</v>
      </c>
      <c r="M263">
        <v>2024</v>
      </c>
    </row>
    <row r="264" spans="1:13" ht="14.5" x14ac:dyDescent="0.35">
      <c r="A264" t="s">
        <v>563</v>
      </c>
      <c r="B264" t="s">
        <v>491</v>
      </c>
      <c r="C264" t="s">
        <v>27</v>
      </c>
      <c r="D264" t="s">
        <v>76</v>
      </c>
      <c r="E264" t="s">
        <v>23</v>
      </c>
      <c r="F264">
        <v>28</v>
      </c>
      <c r="G264">
        <v>3.29</v>
      </c>
      <c r="H264">
        <v>82</v>
      </c>
      <c r="I264">
        <v>68</v>
      </c>
      <c r="J264">
        <v>90</v>
      </c>
      <c r="K264">
        <v>54</v>
      </c>
      <c r="L264" t="s">
        <v>42</v>
      </c>
      <c r="M264">
        <v>2025</v>
      </c>
    </row>
    <row r="265" spans="1:13" ht="14.5" x14ac:dyDescent="0.35">
      <c r="A265" t="s">
        <v>564</v>
      </c>
      <c r="B265" t="s">
        <v>565</v>
      </c>
      <c r="C265" t="s">
        <v>40</v>
      </c>
      <c r="D265" t="s">
        <v>293</v>
      </c>
      <c r="E265" t="s">
        <v>32</v>
      </c>
      <c r="F265">
        <v>33</v>
      </c>
      <c r="G265">
        <v>4.5</v>
      </c>
      <c r="H265">
        <v>89</v>
      </c>
      <c r="I265">
        <v>98</v>
      </c>
      <c r="J265">
        <v>90</v>
      </c>
      <c r="K265">
        <v>39</v>
      </c>
      <c r="L265" t="s">
        <v>33</v>
      </c>
      <c r="M265">
        <v>2025</v>
      </c>
    </row>
    <row r="266" spans="1:13" ht="14.5" x14ac:dyDescent="0.35">
      <c r="A266" t="s">
        <v>566</v>
      </c>
      <c r="B266" t="s">
        <v>567</v>
      </c>
      <c r="C266" t="s">
        <v>52</v>
      </c>
      <c r="D266" t="s">
        <v>176</v>
      </c>
      <c r="E266" t="s">
        <v>32</v>
      </c>
      <c r="F266">
        <v>29</v>
      </c>
      <c r="G266">
        <v>3.57</v>
      </c>
      <c r="H266">
        <v>99</v>
      </c>
      <c r="I266">
        <v>61</v>
      </c>
      <c r="J266">
        <v>79</v>
      </c>
      <c r="K266">
        <v>43</v>
      </c>
      <c r="L266" t="s">
        <v>29</v>
      </c>
      <c r="M266">
        <v>2024</v>
      </c>
    </row>
    <row r="267" spans="1:13" ht="14.5" x14ac:dyDescent="0.35">
      <c r="A267" t="s">
        <v>568</v>
      </c>
      <c r="B267" t="s">
        <v>569</v>
      </c>
      <c r="C267" t="s">
        <v>159</v>
      </c>
      <c r="D267" t="s">
        <v>187</v>
      </c>
      <c r="E267" t="s">
        <v>32</v>
      </c>
      <c r="F267">
        <v>41</v>
      </c>
      <c r="G267">
        <v>3.23</v>
      </c>
      <c r="H267">
        <v>83</v>
      </c>
      <c r="I267">
        <v>92</v>
      </c>
      <c r="J267">
        <v>65</v>
      </c>
      <c r="K267">
        <v>44</v>
      </c>
      <c r="L267" t="s">
        <v>66</v>
      </c>
      <c r="M267">
        <v>2025</v>
      </c>
    </row>
    <row r="268" spans="1:13" ht="14.5" x14ac:dyDescent="0.35">
      <c r="A268" t="s">
        <v>570</v>
      </c>
      <c r="B268" t="s">
        <v>571</v>
      </c>
      <c r="C268" t="s">
        <v>45</v>
      </c>
      <c r="D268" t="s">
        <v>46</v>
      </c>
      <c r="E268" t="s">
        <v>23</v>
      </c>
      <c r="F268">
        <v>53</v>
      </c>
      <c r="G268">
        <v>4.76</v>
      </c>
      <c r="H268">
        <v>76</v>
      </c>
      <c r="I268">
        <v>68</v>
      </c>
      <c r="J268">
        <v>96</v>
      </c>
      <c r="K268">
        <v>17</v>
      </c>
      <c r="L268" t="s">
        <v>33</v>
      </c>
      <c r="M268">
        <v>2024</v>
      </c>
    </row>
    <row r="269" spans="1:13" ht="14.5" x14ac:dyDescent="0.35">
      <c r="A269" t="s">
        <v>572</v>
      </c>
      <c r="B269" t="s">
        <v>243</v>
      </c>
      <c r="C269" t="s">
        <v>36</v>
      </c>
      <c r="D269" t="s">
        <v>84</v>
      </c>
      <c r="E269" t="s">
        <v>32</v>
      </c>
      <c r="F269">
        <v>44</v>
      </c>
      <c r="G269">
        <v>3.05</v>
      </c>
      <c r="H269">
        <v>67</v>
      </c>
      <c r="I269">
        <v>81</v>
      </c>
      <c r="J269">
        <v>89</v>
      </c>
      <c r="K269">
        <v>46</v>
      </c>
      <c r="L269" t="s">
        <v>29</v>
      </c>
      <c r="M269">
        <v>2025</v>
      </c>
    </row>
    <row r="270" spans="1:13" ht="14.5" x14ac:dyDescent="0.35">
      <c r="A270" t="s">
        <v>573</v>
      </c>
      <c r="B270" t="s">
        <v>574</v>
      </c>
      <c r="C270" t="s">
        <v>45</v>
      </c>
      <c r="D270" t="s">
        <v>46</v>
      </c>
      <c r="E270" t="s">
        <v>32</v>
      </c>
      <c r="F270">
        <v>51</v>
      </c>
      <c r="G270">
        <v>2.62</v>
      </c>
      <c r="H270">
        <v>81</v>
      </c>
      <c r="I270">
        <v>84</v>
      </c>
      <c r="J270">
        <v>95</v>
      </c>
      <c r="K270">
        <v>7</v>
      </c>
      <c r="L270" t="s">
        <v>42</v>
      </c>
      <c r="M270">
        <v>2025</v>
      </c>
    </row>
    <row r="271" spans="1:13" ht="14.5" x14ac:dyDescent="0.35">
      <c r="A271" t="s">
        <v>575</v>
      </c>
      <c r="B271" t="s">
        <v>396</v>
      </c>
      <c r="C271" t="s">
        <v>45</v>
      </c>
      <c r="D271" t="s">
        <v>234</v>
      </c>
      <c r="E271" t="s">
        <v>32</v>
      </c>
      <c r="F271">
        <v>58</v>
      </c>
      <c r="G271">
        <v>2.7</v>
      </c>
      <c r="H271">
        <v>87</v>
      </c>
      <c r="I271">
        <v>93</v>
      </c>
      <c r="J271">
        <v>71</v>
      </c>
      <c r="K271">
        <v>34</v>
      </c>
      <c r="L271" t="s">
        <v>33</v>
      </c>
      <c r="M271">
        <v>2025</v>
      </c>
    </row>
    <row r="272" spans="1:13" ht="14.5" x14ac:dyDescent="0.35">
      <c r="A272" t="s">
        <v>576</v>
      </c>
      <c r="B272" t="s">
        <v>577</v>
      </c>
      <c r="C272" t="s">
        <v>56</v>
      </c>
      <c r="D272" t="s">
        <v>112</v>
      </c>
      <c r="E272" t="s">
        <v>32</v>
      </c>
      <c r="F272">
        <v>23</v>
      </c>
      <c r="G272">
        <v>4.12</v>
      </c>
      <c r="H272">
        <v>68</v>
      </c>
      <c r="I272">
        <v>85</v>
      </c>
      <c r="J272">
        <v>65</v>
      </c>
      <c r="K272">
        <v>15</v>
      </c>
      <c r="L272" t="s">
        <v>42</v>
      </c>
      <c r="M272">
        <v>2024</v>
      </c>
    </row>
    <row r="273" spans="1:13" ht="14.5" x14ac:dyDescent="0.35">
      <c r="A273" t="s">
        <v>578</v>
      </c>
      <c r="B273" t="s">
        <v>579</v>
      </c>
      <c r="C273" t="s">
        <v>52</v>
      </c>
      <c r="D273" t="s">
        <v>224</v>
      </c>
      <c r="E273" t="s">
        <v>23</v>
      </c>
      <c r="F273">
        <v>47</v>
      </c>
      <c r="G273">
        <v>3.81</v>
      </c>
      <c r="H273">
        <v>86</v>
      </c>
      <c r="I273">
        <v>89</v>
      </c>
      <c r="J273">
        <v>65</v>
      </c>
      <c r="K273">
        <v>36</v>
      </c>
      <c r="L273" t="s">
        <v>24</v>
      </c>
      <c r="M273">
        <v>2025</v>
      </c>
    </row>
    <row r="274" spans="1:13" ht="14.5" x14ac:dyDescent="0.35">
      <c r="A274" t="s">
        <v>580</v>
      </c>
      <c r="B274" t="s">
        <v>581</v>
      </c>
      <c r="C274" t="s">
        <v>56</v>
      </c>
      <c r="D274" t="s">
        <v>217</v>
      </c>
      <c r="E274" t="s">
        <v>32</v>
      </c>
      <c r="F274">
        <v>29</v>
      </c>
      <c r="G274">
        <v>4.3600000000000003</v>
      </c>
      <c r="H274">
        <v>81</v>
      </c>
      <c r="I274">
        <v>87</v>
      </c>
      <c r="J274">
        <v>81</v>
      </c>
      <c r="K274">
        <v>52</v>
      </c>
      <c r="L274" t="s">
        <v>33</v>
      </c>
      <c r="M274">
        <v>2026</v>
      </c>
    </row>
    <row r="275" spans="1:13" ht="14.5" x14ac:dyDescent="0.35">
      <c r="A275" t="s">
        <v>582</v>
      </c>
      <c r="B275" t="s">
        <v>583</v>
      </c>
      <c r="C275" t="s">
        <v>108</v>
      </c>
      <c r="D275" t="s">
        <v>206</v>
      </c>
      <c r="E275" t="s">
        <v>23</v>
      </c>
      <c r="F275">
        <v>32</v>
      </c>
      <c r="G275">
        <v>4.46</v>
      </c>
      <c r="H275">
        <v>90</v>
      </c>
      <c r="I275">
        <v>92</v>
      </c>
      <c r="J275">
        <v>88</v>
      </c>
      <c r="K275">
        <v>54</v>
      </c>
      <c r="L275" t="s">
        <v>24</v>
      </c>
      <c r="M275">
        <v>2026</v>
      </c>
    </row>
    <row r="276" spans="1:13" ht="14.5" x14ac:dyDescent="0.35">
      <c r="A276" t="s">
        <v>584</v>
      </c>
      <c r="B276" t="s">
        <v>585</v>
      </c>
      <c r="C276" t="s">
        <v>40</v>
      </c>
      <c r="D276" t="s">
        <v>293</v>
      </c>
      <c r="E276" t="s">
        <v>23</v>
      </c>
      <c r="F276">
        <v>33</v>
      </c>
      <c r="G276">
        <v>3.14</v>
      </c>
      <c r="H276">
        <v>96</v>
      </c>
      <c r="I276">
        <v>83</v>
      </c>
      <c r="J276">
        <v>72</v>
      </c>
      <c r="K276">
        <v>55</v>
      </c>
      <c r="L276" t="s">
        <v>29</v>
      </c>
      <c r="M276">
        <v>2025</v>
      </c>
    </row>
    <row r="277" spans="1:13" ht="14.5" x14ac:dyDescent="0.35">
      <c r="A277" t="s">
        <v>586</v>
      </c>
      <c r="B277" t="s">
        <v>502</v>
      </c>
      <c r="C277" t="s">
        <v>69</v>
      </c>
      <c r="D277" t="s">
        <v>150</v>
      </c>
      <c r="E277" t="s">
        <v>23</v>
      </c>
      <c r="F277">
        <v>34</v>
      </c>
      <c r="G277">
        <v>3.69</v>
      </c>
      <c r="H277">
        <v>86</v>
      </c>
      <c r="I277">
        <v>65</v>
      </c>
      <c r="J277">
        <v>74</v>
      </c>
      <c r="K277">
        <v>5</v>
      </c>
      <c r="L277" t="s">
        <v>42</v>
      </c>
      <c r="M277">
        <v>2026</v>
      </c>
    </row>
    <row r="278" spans="1:13" ht="14.5" x14ac:dyDescent="0.35">
      <c r="A278" t="s">
        <v>587</v>
      </c>
      <c r="B278" t="s">
        <v>456</v>
      </c>
      <c r="C278" t="s">
        <v>27</v>
      </c>
      <c r="D278" t="s">
        <v>73</v>
      </c>
      <c r="E278" t="s">
        <v>23</v>
      </c>
      <c r="F278">
        <v>28</v>
      </c>
      <c r="G278">
        <v>3.85</v>
      </c>
      <c r="H278">
        <v>74</v>
      </c>
      <c r="I278">
        <v>92</v>
      </c>
      <c r="J278">
        <v>94</v>
      </c>
      <c r="K278">
        <v>32</v>
      </c>
      <c r="L278" t="s">
        <v>33</v>
      </c>
      <c r="M278">
        <v>2025</v>
      </c>
    </row>
    <row r="279" spans="1:13" ht="14.5" x14ac:dyDescent="0.35">
      <c r="A279" t="s">
        <v>588</v>
      </c>
      <c r="B279" t="s">
        <v>48</v>
      </c>
      <c r="C279" t="s">
        <v>56</v>
      </c>
      <c r="D279" t="s">
        <v>57</v>
      </c>
      <c r="E279" t="s">
        <v>32</v>
      </c>
      <c r="F279">
        <v>39</v>
      </c>
      <c r="G279">
        <v>2.99</v>
      </c>
      <c r="H279">
        <v>69</v>
      </c>
      <c r="I279">
        <v>91</v>
      </c>
      <c r="J279">
        <v>94</v>
      </c>
      <c r="K279">
        <v>28</v>
      </c>
      <c r="L279" t="s">
        <v>33</v>
      </c>
      <c r="M279">
        <v>2026</v>
      </c>
    </row>
    <row r="280" spans="1:13" ht="14.5" x14ac:dyDescent="0.35">
      <c r="A280" t="s">
        <v>589</v>
      </c>
      <c r="B280" t="s">
        <v>143</v>
      </c>
      <c r="C280" t="s">
        <v>40</v>
      </c>
      <c r="D280" t="s">
        <v>65</v>
      </c>
      <c r="E280" t="s">
        <v>23</v>
      </c>
      <c r="F280">
        <v>51</v>
      </c>
      <c r="G280">
        <v>4.12</v>
      </c>
      <c r="H280">
        <v>78</v>
      </c>
      <c r="I280">
        <v>87</v>
      </c>
      <c r="J280">
        <v>86</v>
      </c>
      <c r="K280">
        <v>48</v>
      </c>
      <c r="L280" t="s">
        <v>42</v>
      </c>
      <c r="M280">
        <v>2024</v>
      </c>
    </row>
    <row r="281" spans="1:13" ht="14.5" x14ac:dyDescent="0.35">
      <c r="A281" t="s">
        <v>590</v>
      </c>
      <c r="B281" t="s">
        <v>591</v>
      </c>
      <c r="C281" t="s">
        <v>36</v>
      </c>
      <c r="D281" t="s">
        <v>62</v>
      </c>
      <c r="E281" t="s">
        <v>23</v>
      </c>
      <c r="F281">
        <v>29</v>
      </c>
      <c r="G281">
        <v>3.72</v>
      </c>
      <c r="H281">
        <v>73</v>
      </c>
      <c r="I281">
        <v>78</v>
      </c>
      <c r="J281">
        <v>87</v>
      </c>
      <c r="K281">
        <v>31</v>
      </c>
      <c r="L281" t="s">
        <v>33</v>
      </c>
      <c r="M281">
        <v>2025</v>
      </c>
    </row>
    <row r="282" spans="1:13" ht="14.5" x14ac:dyDescent="0.35">
      <c r="A282" t="s">
        <v>592</v>
      </c>
      <c r="B282" t="s">
        <v>593</v>
      </c>
      <c r="C282" t="s">
        <v>69</v>
      </c>
      <c r="D282" t="s">
        <v>117</v>
      </c>
      <c r="E282" t="s">
        <v>32</v>
      </c>
      <c r="F282">
        <v>54</v>
      </c>
      <c r="G282">
        <v>3.11</v>
      </c>
      <c r="H282">
        <v>64</v>
      </c>
      <c r="I282">
        <v>98</v>
      </c>
      <c r="J282">
        <v>72</v>
      </c>
      <c r="K282">
        <v>27</v>
      </c>
      <c r="L282" t="s">
        <v>33</v>
      </c>
      <c r="M282">
        <v>2026</v>
      </c>
    </row>
    <row r="283" spans="1:13" ht="14.5" x14ac:dyDescent="0.35">
      <c r="A283" t="s">
        <v>594</v>
      </c>
      <c r="B283" t="s">
        <v>152</v>
      </c>
      <c r="C283" t="s">
        <v>21</v>
      </c>
      <c r="D283" t="s">
        <v>153</v>
      </c>
      <c r="E283" t="s">
        <v>23</v>
      </c>
      <c r="F283">
        <v>51</v>
      </c>
      <c r="G283">
        <v>4.2699999999999996</v>
      </c>
      <c r="H283">
        <v>77</v>
      </c>
      <c r="I283">
        <v>71</v>
      </c>
      <c r="J283">
        <v>70</v>
      </c>
      <c r="K283">
        <v>39</v>
      </c>
      <c r="L283" t="s">
        <v>33</v>
      </c>
      <c r="M283">
        <v>2024</v>
      </c>
    </row>
    <row r="284" spans="1:13" ht="14.5" x14ac:dyDescent="0.35">
      <c r="A284" t="s">
        <v>595</v>
      </c>
      <c r="B284" t="s">
        <v>540</v>
      </c>
      <c r="C284" t="s">
        <v>52</v>
      </c>
      <c r="D284" t="s">
        <v>102</v>
      </c>
      <c r="E284" t="s">
        <v>32</v>
      </c>
      <c r="F284">
        <v>47</v>
      </c>
      <c r="G284">
        <v>4.24</v>
      </c>
      <c r="H284">
        <v>93</v>
      </c>
      <c r="I284">
        <v>87</v>
      </c>
      <c r="J284">
        <v>82</v>
      </c>
      <c r="K284">
        <v>27</v>
      </c>
      <c r="L284" t="s">
        <v>24</v>
      </c>
      <c r="M284">
        <v>2026</v>
      </c>
    </row>
    <row r="285" spans="1:13" ht="14.5" x14ac:dyDescent="0.35">
      <c r="A285" t="s">
        <v>596</v>
      </c>
      <c r="B285" t="s">
        <v>597</v>
      </c>
      <c r="C285" t="s">
        <v>36</v>
      </c>
      <c r="D285" t="s">
        <v>253</v>
      </c>
      <c r="E285" t="s">
        <v>23</v>
      </c>
      <c r="F285">
        <v>24</v>
      </c>
      <c r="G285">
        <v>3.93</v>
      </c>
      <c r="H285">
        <v>95</v>
      </c>
      <c r="I285">
        <v>96</v>
      </c>
      <c r="J285">
        <v>94</v>
      </c>
      <c r="K285">
        <v>7</v>
      </c>
      <c r="L285" t="s">
        <v>33</v>
      </c>
      <c r="M285">
        <v>2025</v>
      </c>
    </row>
    <row r="286" spans="1:13" ht="14.5" x14ac:dyDescent="0.35">
      <c r="A286" t="s">
        <v>598</v>
      </c>
      <c r="B286" t="s">
        <v>599</v>
      </c>
      <c r="C286" t="s">
        <v>27</v>
      </c>
      <c r="D286" t="s">
        <v>28</v>
      </c>
      <c r="E286" t="s">
        <v>32</v>
      </c>
      <c r="F286">
        <v>47</v>
      </c>
      <c r="G286">
        <v>3.24</v>
      </c>
      <c r="H286">
        <v>71</v>
      </c>
      <c r="I286">
        <v>98</v>
      </c>
      <c r="J286">
        <v>71</v>
      </c>
      <c r="K286">
        <v>29</v>
      </c>
      <c r="L286" t="s">
        <v>66</v>
      </c>
      <c r="M286">
        <v>2026</v>
      </c>
    </row>
    <row r="287" spans="1:13" ht="14.5" x14ac:dyDescent="0.35">
      <c r="A287" t="s">
        <v>600</v>
      </c>
      <c r="B287" t="s">
        <v>132</v>
      </c>
      <c r="C287" t="s">
        <v>108</v>
      </c>
      <c r="D287" t="s">
        <v>109</v>
      </c>
      <c r="E287" t="s">
        <v>23</v>
      </c>
      <c r="F287">
        <v>23</v>
      </c>
      <c r="G287">
        <v>2.42</v>
      </c>
      <c r="H287">
        <v>81</v>
      </c>
      <c r="I287">
        <v>87</v>
      </c>
      <c r="J287">
        <v>90</v>
      </c>
      <c r="K287">
        <v>6</v>
      </c>
      <c r="L287" t="s">
        <v>29</v>
      </c>
      <c r="M287">
        <v>2026</v>
      </c>
    </row>
    <row r="288" spans="1:13" ht="14.5" x14ac:dyDescent="0.35">
      <c r="A288" t="s">
        <v>601</v>
      </c>
      <c r="B288" t="s">
        <v>602</v>
      </c>
      <c r="C288" t="s">
        <v>21</v>
      </c>
      <c r="D288" t="s">
        <v>163</v>
      </c>
      <c r="E288" t="s">
        <v>23</v>
      </c>
      <c r="F288">
        <v>50</v>
      </c>
      <c r="G288">
        <v>2.92</v>
      </c>
      <c r="H288">
        <v>67</v>
      </c>
      <c r="I288">
        <v>87</v>
      </c>
      <c r="J288">
        <v>72</v>
      </c>
      <c r="K288">
        <v>55</v>
      </c>
      <c r="L288" t="s">
        <v>29</v>
      </c>
      <c r="M288">
        <v>2026</v>
      </c>
    </row>
    <row r="289" spans="1:13" ht="14.5" x14ac:dyDescent="0.35">
      <c r="A289" t="s">
        <v>603</v>
      </c>
      <c r="B289" t="s">
        <v>604</v>
      </c>
      <c r="C289" t="s">
        <v>27</v>
      </c>
      <c r="D289" t="s">
        <v>76</v>
      </c>
      <c r="E289" t="s">
        <v>23</v>
      </c>
      <c r="F289">
        <v>33</v>
      </c>
      <c r="G289">
        <v>2.93</v>
      </c>
      <c r="H289">
        <v>81</v>
      </c>
      <c r="I289">
        <v>99</v>
      </c>
      <c r="J289">
        <v>97</v>
      </c>
      <c r="K289">
        <v>39</v>
      </c>
      <c r="L289" t="s">
        <v>29</v>
      </c>
      <c r="M289">
        <v>2026</v>
      </c>
    </row>
    <row r="290" spans="1:13" ht="14.5" x14ac:dyDescent="0.35">
      <c r="A290" t="s">
        <v>605</v>
      </c>
      <c r="B290" t="s">
        <v>169</v>
      </c>
      <c r="C290" t="s">
        <v>36</v>
      </c>
      <c r="D290" t="s">
        <v>93</v>
      </c>
      <c r="E290" t="s">
        <v>32</v>
      </c>
      <c r="F290">
        <v>42</v>
      </c>
      <c r="G290">
        <v>4.4400000000000004</v>
      </c>
      <c r="H290">
        <v>85</v>
      </c>
      <c r="I290">
        <v>96</v>
      </c>
      <c r="J290">
        <v>95</v>
      </c>
      <c r="K290">
        <v>18</v>
      </c>
      <c r="L290" t="s">
        <v>24</v>
      </c>
      <c r="M290">
        <v>2025</v>
      </c>
    </row>
    <row r="291" spans="1:13" ht="14.5" x14ac:dyDescent="0.35">
      <c r="A291" t="s">
        <v>606</v>
      </c>
      <c r="B291" t="s">
        <v>562</v>
      </c>
      <c r="C291" t="s">
        <v>159</v>
      </c>
      <c r="D291" t="s">
        <v>187</v>
      </c>
      <c r="E291" t="s">
        <v>23</v>
      </c>
      <c r="F291">
        <v>48</v>
      </c>
      <c r="G291">
        <v>4.29</v>
      </c>
      <c r="H291">
        <v>73</v>
      </c>
      <c r="I291">
        <v>77</v>
      </c>
      <c r="J291">
        <v>97</v>
      </c>
      <c r="K291">
        <v>47</v>
      </c>
      <c r="L291" t="s">
        <v>33</v>
      </c>
      <c r="M291">
        <v>2026</v>
      </c>
    </row>
    <row r="292" spans="1:13" ht="14.5" x14ac:dyDescent="0.35">
      <c r="A292" t="s">
        <v>607</v>
      </c>
      <c r="B292" t="s">
        <v>608</v>
      </c>
      <c r="C292" t="s">
        <v>21</v>
      </c>
      <c r="D292" t="s">
        <v>133</v>
      </c>
      <c r="E292" t="s">
        <v>32</v>
      </c>
      <c r="F292">
        <v>51</v>
      </c>
      <c r="G292">
        <v>3.32</v>
      </c>
      <c r="H292">
        <v>73</v>
      </c>
      <c r="I292">
        <v>78</v>
      </c>
      <c r="J292">
        <v>82</v>
      </c>
      <c r="K292">
        <v>5</v>
      </c>
      <c r="L292" t="s">
        <v>24</v>
      </c>
      <c r="M292">
        <v>2024</v>
      </c>
    </row>
    <row r="293" spans="1:13" ht="14.5" x14ac:dyDescent="0.35">
      <c r="A293" t="s">
        <v>609</v>
      </c>
      <c r="B293" t="s">
        <v>610</v>
      </c>
      <c r="C293" t="s">
        <v>56</v>
      </c>
      <c r="D293" t="s">
        <v>112</v>
      </c>
      <c r="E293" t="s">
        <v>23</v>
      </c>
      <c r="F293">
        <v>38</v>
      </c>
      <c r="G293">
        <v>2.25</v>
      </c>
      <c r="H293">
        <v>88</v>
      </c>
      <c r="I293">
        <v>68</v>
      </c>
      <c r="J293">
        <v>82</v>
      </c>
      <c r="K293">
        <v>22</v>
      </c>
      <c r="L293" t="s">
        <v>24</v>
      </c>
      <c r="M293">
        <v>2026</v>
      </c>
    </row>
    <row r="294" spans="1:13" ht="14.5" x14ac:dyDescent="0.35">
      <c r="A294" t="s">
        <v>611</v>
      </c>
      <c r="B294" t="s">
        <v>612</v>
      </c>
      <c r="C294" t="s">
        <v>52</v>
      </c>
      <c r="D294" t="s">
        <v>498</v>
      </c>
      <c r="E294" t="s">
        <v>23</v>
      </c>
      <c r="F294">
        <v>36</v>
      </c>
      <c r="G294">
        <v>4.41</v>
      </c>
      <c r="H294">
        <v>82</v>
      </c>
      <c r="I294">
        <v>66</v>
      </c>
      <c r="J294">
        <v>79</v>
      </c>
      <c r="K294">
        <v>19</v>
      </c>
      <c r="L294" t="s">
        <v>33</v>
      </c>
      <c r="M294">
        <v>2026</v>
      </c>
    </row>
    <row r="295" spans="1:13" ht="14.5" x14ac:dyDescent="0.35">
      <c r="A295" t="s">
        <v>613</v>
      </c>
      <c r="B295" t="s">
        <v>614</v>
      </c>
      <c r="C295" t="s">
        <v>36</v>
      </c>
      <c r="D295" t="s">
        <v>93</v>
      </c>
      <c r="E295" t="s">
        <v>23</v>
      </c>
      <c r="F295">
        <v>53</v>
      </c>
      <c r="G295">
        <v>3.11</v>
      </c>
      <c r="H295">
        <v>66</v>
      </c>
      <c r="I295">
        <v>99</v>
      </c>
      <c r="J295">
        <v>83</v>
      </c>
      <c r="K295">
        <v>51</v>
      </c>
      <c r="L295" t="s">
        <v>66</v>
      </c>
      <c r="M295">
        <v>2025</v>
      </c>
    </row>
    <row r="296" spans="1:13" ht="14.5" x14ac:dyDescent="0.35">
      <c r="A296" t="s">
        <v>615</v>
      </c>
      <c r="B296" t="s">
        <v>616</v>
      </c>
      <c r="C296" t="s">
        <v>40</v>
      </c>
      <c r="D296" t="s">
        <v>90</v>
      </c>
      <c r="E296" t="s">
        <v>32</v>
      </c>
      <c r="F296">
        <v>29</v>
      </c>
      <c r="G296">
        <v>3.85</v>
      </c>
      <c r="H296">
        <v>100</v>
      </c>
      <c r="I296">
        <v>81</v>
      </c>
      <c r="J296">
        <v>99</v>
      </c>
      <c r="K296">
        <v>29</v>
      </c>
      <c r="L296" t="s">
        <v>24</v>
      </c>
      <c r="M296">
        <v>2026</v>
      </c>
    </row>
    <row r="297" spans="1:13" ht="14.5" x14ac:dyDescent="0.35">
      <c r="A297" t="s">
        <v>617</v>
      </c>
      <c r="B297" t="s">
        <v>190</v>
      </c>
      <c r="C297" t="s">
        <v>40</v>
      </c>
      <c r="D297" t="s">
        <v>65</v>
      </c>
      <c r="E297" t="s">
        <v>23</v>
      </c>
      <c r="F297">
        <v>55</v>
      </c>
      <c r="G297">
        <v>2.2400000000000002</v>
      </c>
      <c r="H297">
        <v>83</v>
      </c>
      <c r="I297">
        <v>80</v>
      </c>
      <c r="J297">
        <v>87</v>
      </c>
      <c r="K297">
        <v>57</v>
      </c>
      <c r="L297" t="s">
        <v>24</v>
      </c>
      <c r="M297">
        <v>2024</v>
      </c>
    </row>
    <row r="298" spans="1:13" ht="14.5" x14ac:dyDescent="0.35">
      <c r="A298" t="s">
        <v>618</v>
      </c>
      <c r="B298" t="s">
        <v>619</v>
      </c>
      <c r="C298" t="s">
        <v>21</v>
      </c>
      <c r="D298" t="s">
        <v>49</v>
      </c>
      <c r="E298" t="s">
        <v>23</v>
      </c>
      <c r="F298">
        <v>54</v>
      </c>
      <c r="G298">
        <v>3.49</v>
      </c>
      <c r="H298">
        <v>93</v>
      </c>
      <c r="I298">
        <v>73</v>
      </c>
      <c r="J298">
        <v>99</v>
      </c>
      <c r="K298">
        <v>49</v>
      </c>
      <c r="L298" t="s">
        <v>29</v>
      </c>
      <c r="M298">
        <v>2026</v>
      </c>
    </row>
    <row r="299" spans="1:13" ht="14.5" x14ac:dyDescent="0.35">
      <c r="A299" t="s">
        <v>620</v>
      </c>
      <c r="B299" t="s">
        <v>621</v>
      </c>
      <c r="C299" t="s">
        <v>21</v>
      </c>
      <c r="D299" t="s">
        <v>22</v>
      </c>
      <c r="E299" t="s">
        <v>32</v>
      </c>
      <c r="F299">
        <v>57</v>
      </c>
      <c r="G299">
        <v>3.29</v>
      </c>
      <c r="H299">
        <v>87</v>
      </c>
      <c r="I299">
        <v>62</v>
      </c>
      <c r="J299">
        <v>70</v>
      </c>
      <c r="K299">
        <v>45</v>
      </c>
      <c r="L299" t="s">
        <v>24</v>
      </c>
      <c r="M299">
        <v>2026</v>
      </c>
    </row>
    <row r="300" spans="1:13" ht="14.5" x14ac:dyDescent="0.35">
      <c r="A300" t="s">
        <v>622</v>
      </c>
      <c r="B300" t="s">
        <v>623</v>
      </c>
      <c r="C300" t="s">
        <v>27</v>
      </c>
      <c r="D300" t="s">
        <v>76</v>
      </c>
      <c r="E300" t="s">
        <v>32</v>
      </c>
      <c r="F300">
        <v>34</v>
      </c>
      <c r="G300">
        <v>4.96</v>
      </c>
      <c r="H300">
        <v>67</v>
      </c>
      <c r="I300">
        <v>73</v>
      </c>
      <c r="J300">
        <v>98</v>
      </c>
      <c r="K300">
        <v>28</v>
      </c>
      <c r="L300" t="s">
        <v>42</v>
      </c>
      <c r="M300">
        <v>2025</v>
      </c>
    </row>
    <row r="301" spans="1:13" ht="14.5" x14ac:dyDescent="0.35">
      <c r="A301" t="s">
        <v>624</v>
      </c>
      <c r="B301" t="s">
        <v>31</v>
      </c>
      <c r="C301" t="s">
        <v>108</v>
      </c>
      <c r="D301" t="s">
        <v>114</v>
      </c>
      <c r="E301" t="s">
        <v>23</v>
      </c>
      <c r="F301">
        <v>29</v>
      </c>
      <c r="G301">
        <v>4.3</v>
      </c>
      <c r="H301">
        <v>90</v>
      </c>
      <c r="I301">
        <v>89</v>
      </c>
      <c r="J301">
        <v>66</v>
      </c>
      <c r="K301">
        <v>14</v>
      </c>
      <c r="L301" t="s">
        <v>66</v>
      </c>
      <c r="M301">
        <v>2026</v>
      </c>
    </row>
    <row r="302" spans="1:13" ht="14.5" x14ac:dyDescent="0.35">
      <c r="A302" t="s">
        <v>625</v>
      </c>
      <c r="B302" t="s">
        <v>626</v>
      </c>
      <c r="C302" t="s">
        <v>52</v>
      </c>
      <c r="D302" t="s">
        <v>102</v>
      </c>
      <c r="E302" t="s">
        <v>23</v>
      </c>
      <c r="F302">
        <v>40</v>
      </c>
      <c r="G302">
        <v>2.67</v>
      </c>
      <c r="H302">
        <v>84</v>
      </c>
      <c r="I302">
        <v>96</v>
      </c>
      <c r="J302">
        <v>92</v>
      </c>
      <c r="K302">
        <v>31</v>
      </c>
      <c r="L302" t="s">
        <v>33</v>
      </c>
      <c r="M302">
        <v>2025</v>
      </c>
    </row>
    <row r="303" spans="1:13" ht="14.5" x14ac:dyDescent="0.35">
      <c r="A303" t="s">
        <v>627</v>
      </c>
      <c r="B303" t="s">
        <v>48</v>
      </c>
      <c r="C303" t="s">
        <v>69</v>
      </c>
      <c r="D303" t="s">
        <v>319</v>
      </c>
      <c r="E303" t="s">
        <v>32</v>
      </c>
      <c r="F303">
        <v>23</v>
      </c>
      <c r="G303">
        <v>3.76</v>
      </c>
      <c r="H303">
        <v>93</v>
      </c>
      <c r="I303">
        <v>75</v>
      </c>
      <c r="J303">
        <v>89</v>
      </c>
      <c r="K303">
        <v>39</v>
      </c>
      <c r="L303" t="s">
        <v>29</v>
      </c>
      <c r="M303">
        <v>2025</v>
      </c>
    </row>
    <row r="304" spans="1:13" ht="14.5" x14ac:dyDescent="0.35">
      <c r="A304" t="s">
        <v>628</v>
      </c>
      <c r="B304" t="s">
        <v>116</v>
      </c>
      <c r="C304" t="s">
        <v>27</v>
      </c>
      <c r="D304" t="s">
        <v>28</v>
      </c>
      <c r="E304" t="s">
        <v>32</v>
      </c>
      <c r="F304">
        <v>51</v>
      </c>
      <c r="G304">
        <v>3.9</v>
      </c>
      <c r="H304">
        <v>69</v>
      </c>
      <c r="I304">
        <v>66</v>
      </c>
      <c r="J304">
        <v>90</v>
      </c>
      <c r="K304">
        <v>18</v>
      </c>
      <c r="L304" t="s">
        <v>29</v>
      </c>
      <c r="M304">
        <v>2024</v>
      </c>
    </row>
    <row r="305" spans="1:13" ht="14.5" x14ac:dyDescent="0.35">
      <c r="A305" t="s">
        <v>629</v>
      </c>
      <c r="B305" t="s">
        <v>332</v>
      </c>
      <c r="C305" t="s">
        <v>159</v>
      </c>
      <c r="D305" t="s">
        <v>324</v>
      </c>
      <c r="E305" t="s">
        <v>23</v>
      </c>
      <c r="F305">
        <v>45</v>
      </c>
      <c r="G305">
        <v>3.8</v>
      </c>
      <c r="H305">
        <v>73</v>
      </c>
      <c r="I305">
        <v>70</v>
      </c>
      <c r="J305">
        <v>90</v>
      </c>
      <c r="K305">
        <v>40</v>
      </c>
      <c r="L305" t="s">
        <v>24</v>
      </c>
      <c r="M305">
        <v>2025</v>
      </c>
    </row>
    <row r="306" spans="1:13" ht="14.5" x14ac:dyDescent="0.35">
      <c r="A306" t="s">
        <v>630</v>
      </c>
      <c r="B306" t="s">
        <v>565</v>
      </c>
      <c r="C306" t="s">
        <v>27</v>
      </c>
      <c r="D306" t="s">
        <v>87</v>
      </c>
      <c r="E306" t="s">
        <v>23</v>
      </c>
      <c r="F306">
        <v>28</v>
      </c>
      <c r="G306">
        <v>4.3</v>
      </c>
      <c r="H306">
        <v>88</v>
      </c>
      <c r="I306">
        <v>98</v>
      </c>
      <c r="J306">
        <v>82</v>
      </c>
      <c r="K306">
        <v>25</v>
      </c>
      <c r="L306" t="s">
        <v>42</v>
      </c>
      <c r="M306">
        <v>2026</v>
      </c>
    </row>
    <row r="307" spans="1:13" ht="14.5" x14ac:dyDescent="0.35">
      <c r="A307" t="s">
        <v>631</v>
      </c>
      <c r="B307" t="s">
        <v>632</v>
      </c>
      <c r="C307" t="s">
        <v>159</v>
      </c>
      <c r="D307" t="s">
        <v>482</v>
      </c>
      <c r="E307" t="s">
        <v>32</v>
      </c>
      <c r="F307">
        <v>22</v>
      </c>
      <c r="G307">
        <v>2.5</v>
      </c>
      <c r="H307">
        <v>82</v>
      </c>
      <c r="I307">
        <v>92</v>
      </c>
      <c r="J307">
        <v>99</v>
      </c>
      <c r="K307">
        <v>39</v>
      </c>
      <c r="L307" t="s">
        <v>24</v>
      </c>
      <c r="M307">
        <v>2024</v>
      </c>
    </row>
    <row r="308" spans="1:13" ht="14.5" x14ac:dyDescent="0.35">
      <c r="A308" t="s">
        <v>633</v>
      </c>
      <c r="B308" t="s">
        <v>634</v>
      </c>
      <c r="C308" t="s">
        <v>56</v>
      </c>
      <c r="D308" t="s">
        <v>217</v>
      </c>
      <c r="E308" t="s">
        <v>32</v>
      </c>
      <c r="F308">
        <v>36</v>
      </c>
      <c r="G308">
        <v>4.6100000000000003</v>
      </c>
      <c r="H308">
        <v>93</v>
      </c>
      <c r="I308">
        <v>89</v>
      </c>
      <c r="J308">
        <v>83</v>
      </c>
      <c r="K308">
        <v>57</v>
      </c>
      <c r="L308" t="s">
        <v>24</v>
      </c>
      <c r="M308">
        <v>2024</v>
      </c>
    </row>
    <row r="309" spans="1:13" ht="14.5" x14ac:dyDescent="0.35">
      <c r="A309" t="s">
        <v>635</v>
      </c>
      <c r="B309" t="s">
        <v>167</v>
      </c>
      <c r="C309" t="s">
        <v>69</v>
      </c>
      <c r="D309" t="s">
        <v>105</v>
      </c>
      <c r="E309" t="s">
        <v>32</v>
      </c>
      <c r="F309">
        <v>47</v>
      </c>
      <c r="G309">
        <v>4.79</v>
      </c>
      <c r="H309">
        <v>73</v>
      </c>
      <c r="I309">
        <v>85</v>
      </c>
      <c r="J309">
        <v>83</v>
      </c>
      <c r="K309">
        <v>5</v>
      </c>
      <c r="L309" t="s">
        <v>66</v>
      </c>
      <c r="M309">
        <v>2025</v>
      </c>
    </row>
    <row r="310" spans="1:13" ht="14.5" x14ac:dyDescent="0.35">
      <c r="A310" t="s">
        <v>636</v>
      </c>
      <c r="B310" t="s">
        <v>544</v>
      </c>
      <c r="C310" t="s">
        <v>21</v>
      </c>
      <c r="D310" t="s">
        <v>22</v>
      </c>
      <c r="E310" t="s">
        <v>32</v>
      </c>
      <c r="F310">
        <v>49</v>
      </c>
      <c r="G310">
        <v>4.34</v>
      </c>
      <c r="H310">
        <v>73</v>
      </c>
      <c r="I310">
        <v>66</v>
      </c>
      <c r="J310">
        <v>89</v>
      </c>
      <c r="K310">
        <v>42</v>
      </c>
      <c r="L310" t="s">
        <v>24</v>
      </c>
      <c r="M310">
        <v>2025</v>
      </c>
    </row>
    <row r="311" spans="1:13" ht="14.5" x14ac:dyDescent="0.35">
      <c r="A311" t="s">
        <v>637</v>
      </c>
      <c r="B311" t="s">
        <v>638</v>
      </c>
      <c r="C311" t="s">
        <v>69</v>
      </c>
      <c r="D311" t="s">
        <v>105</v>
      </c>
      <c r="E311" t="s">
        <v>23</v>
      </c>
      <c r="F311">
        <v>49</v>
      </c>
      <c r="G311">
        <v>3.35</v>
      </c>
      <c r="H311">
        <v>63</v>
      </c>
      <c r="I311">
        <v>99</v>
      </c>
      <c r="J311">
        <v>79</v>
      </c>
      <c r="K311">
        <v>13</v>
      </c>
      <c r="L311" t="s">
        <v>66</v>
      </c>
      <c r="M311">
        <v>2026</v>
      </c>
    </row>
    <row r="312" spans="1:13" ht="14.5" x14ac:dyDescent="0.35">
      <c r="A312" t="s">
        <v>639</v>
      </c>
      <c r="B312" t="s">
        <v>132</v>
      </c>
      <c r="C312" t="s">
        <v>159</v>
      </c>
      <c r="D312" t="s">
        <v>187</v>
      </c>
      <c r="E312" t="s">
        <v>23</v>
      </c>
      <c r="F312">
        <v>35</v>
      </c>
      <c r="G312">
        <v>3.61</v>
      </c>
      <c r="H312">
        <v>67</v>
      </c>
      <c r="I312">
        <v>98</v>
      </c>
      <c r="J312">
        <v>91</v>
      </c>
      <c r="K312">
        <v>6</v>
      </c>
      <c r="L312" t="s">
        <v>42</v>
      </c>
      <c r="M312">
        <v>2026</v>
      </c>
    </row>
    <row r="313" spans="1:13" ht="14.5" x14ac:dyDescent="0.35">
      <c r="A313" t="s">
        <v>640</v>
      </c>
      <c r="B313" t="s">
        <v>641</v>
      </c>
      <c r="C313" t="s">
        <v>40</v>
      </c>
      <c r="D313" t="s">
        <v>90</v>
      </c>
      <c r="E313" t="s">
        <v>23</v>
      </c>
      <c r="F313">
        <v>30</v>
      </c>
      <c r="G313">
        <v>2.9</v>
      </c>
      <c r="H313">
        <v>98</v>
      </c>
      <c r="I313">
        <v>100</v>
      </c>
      <c r="J313">
        <v>95</v>
      </c>
      <c r="K313">
        <v>48</v>
      </c>
      <c r="L313" t="s">
        <v>33</v>
      </c>
      <c r="M313">
        <v>2025</v>
      </c>
    </row>
    <row r="314" spans="1:13" ht="14.5" x14ac:dyDescent="0.35">
      <c r="A314" t="s">
        <v>642</v>
      </c>
      <c r="B314" t="s">
        <v>643</v>
      </c>
      <c r="C314" t="s">
        <v>36</v>
      </c>
      <c r="D314" t="s">
        <v>37</v>
      </c>
      <c r="E314" t="s">
        <v>32</v>
      </c>
      <c r="F314">
        <v>48</v>
      </c>
      <c r="G314">
        <v>2.2599999999999998</v>
      </c>
      <c r="H314">
        <v>100</v>
      </c>
      <c r="I314">
        <v>84</v>
      </c>
      <c r="J314">
        <v>100</v>
      </c>
      <c r="K314">
        <v>37</v>
      </c>
      <c r="L314" t="s">
        <v>29</v>
      </c>
      <c r="M314">
        <v>2024</v>
      </c>
    </row>
    <row r="315" spans="1:13" ht="14.5" x14ac:dyDescent="0.35">
      <c r="A315" t="s">
        <v>644</v>
      </c>
      <c r="B315" t="s">
        <v>645</v>
      </c>
      <c r="C315" t="s">
        <v>56</v>
      </c>
      <c r="D315" t="s">
        <v>57</v>
      </c>
      <c r="E315" t="s">
        <v>23</v>
      </c>
      <c r="F315">
        <v>47</v>
      </c>
      <c r="G315">
        <v>3.48</v>
      </c>
      <c r="H315">
        <v>77</v>
      </c>
      <c r="I315">
        <v>71</v>
      </c>
      <c r="J315">
        <v>95</v>
      </c>
      <c r="K315">
        <v>50</v>
      </c>
      <c r="L315" t="s">
        <v>29</v>
      </c>
      <c r="M315">
        <v>2025</v>
      </c>
    </row>
    <row r="316" spans="1:13" ht="14.5" x14ac:dyDescent="0.35">
      <c r="A316" t="s">
        <v>646</v>
      </c>
      <c r="B316" t="s">
        <v>647</v>
      </c>
      <c r="C316" t="s">
        <v>27</v>
      </c>
      <c r="D316" t="s">
        <v>76</v>
      </c>
      <c r="E316" t="s">
        <v>32</v>
      </c>
      <c r="F316">
        <v>35</v>
      </c>
      <c r="G316">
        <v>2.57</v>
      </c>
      <c r="H316">
        <v>66</v>
      </c>
      <c r="I316">
        <v>61</v>
      </c>
      <c r="J316">
        <v>78</v>
      </c>
      <c r="K316">
        <v>41</v>
      </c>
      <c r="L316" t="s">
        <v>24</v>
      </c>
      <c r="M316">
        <v>2025</v>
      </c>
    </row>
    <row r="317" spans="1:13" ht="14.5" x14ac:dyDescent="0.35">
      <c r="A317" t="s">
        <v>648</v>
      </c>
      <c r="B317" t="s">
        <v>316</v>
      </c>
      <c r="C317" t="s">
        <v>52</v>
      </c>
      <c r="D317" t="s">
        <v>102</v>
      </c>
      <c r="E317" t="s">
        <v>23</v>
      </c>
      <c r="F317">
        <v>47</v>
      </c>
      <c r="G317">
        <v>2.89</v>
      </c>
      <c r="H317">
        <v>100</v>
      </c>
      <c r="I317">
        <v>88</v>
      </c>
      <c r="J317">
        <v>80</v>
      </c>
      <c r="K317">
        <v>55</v>
      </c>
      <c r="L317" t="s">
        <v>29</v>
      </c>
      <c r="M317">
        <v>2025</v>
      </c>
    </row>
    <row r="318" spans="1:13" ht="14.5" x14ac:dyDescent="0.35">
      <c r="A318" t="s">
        <v>649</v>
      </c>
      <c r="B318" t="s">
        <v>39</v>
      </c>
      <c r="C318" t="s">
        <v>69</v>
      </c>
      <c r="D318" t="s">
        <v>150</v>
      </c>
      <c r="E318" t="s">
        <v>32</v>
      </c>
      <c r="F318">
        <v>42</v>
      </c>
      <c r="G318">
        <v>3.6</v>
      </c>
      <c r="H318">
        <v>69</v>
      </c>
      <c r="I318">
        <v>98</v>
      </c>
      <c r="J318">
        <v>86</v>
      </c>
      <c r="K318">
        <v>60</v>
      </c>
      <c r="L318" t="s">
        <v>29</v>
      </c>
      <c r="M318">
        <v>2024</v>
      </c>
    </row>
    <row r="319" spans="1:13" ht="14.5" x14ac:dyDescent="0.35">
      <c r="A319" t="s">
        <v>650</v>
      </c>
      <c r="B319" t="s">
        <v>190</v>
      </c>
      <c r="C319" t="s">
        <v>21</v>
      </c>
      <c r="D319" t="s">
        <v>49</v>
      </c>
      <c r="E319" t="s">
        <v>32</v>
      </c>
      <c r="F319">
        <v>24</v>
      </c>
      <c r="G319">
        <v>3.49</v>
      </c>
      <c r="H319">
        <v>66</v>
      </c>
      <c r="I319">
        <v>60</v>
      </c>
      <c r="J319">
        <v>67</v>
      </c>
      <c r="K319">
        <v>48</v>
      </c>
      <c r="L319" t="s">
        <v>24</v>
      </c>
      <c r="M319">
        <v>2026</v>
      </c>
    </row>
    <row r="320" spans="1:13" ht="14.5" x14ac:dyDescent="0.35">
      <c r="A320" t="s">
        <v>651</v>
      </c>
      <c r="B320" t="s">
        <v>632</v>
      </c>
      <c r="C320" t="s">
        <v>45</v>
      </c>
      <c r="D320" t="s">
        <v>296</v>
      </c>
      <c r="E320" t="s">
        <v>32</v>
      </c>
      <c r="F320">
        <v>33</v>
      </c>
      <c r="G320">
        <v>4.99</v>
      </c>
      <c r="H320">
        <v>86</v>
      </c>
      <c r="I320">
        <v>64</v>
      </c>
      <c r="J320">
        <v>91</v>
      </c>
      <c r="K320">
        <v>21</v>
      </c>
      <c r="L320" t="s">
        <v>66</v>
      </c>
      <c r="M320">
        <v>2024</v>
      </c>
    </row>
    <row r="321" spans="1:13" ht="14.5" x14ac:dyDescent="0.35">
      <c r="A321" t="s">
        <v>652</v>
      </c>
      <c r="B321" t="s">
        <v>653</v>
      </c>
      <c r="C321" t="s">
        <v>69</v>
      </c>
      <c r="D321" t="s">
        <v>70</v>
      </c>
      <c r="E321" t="s">
        <v>32</v>
      </c>
      <c r="F321">
        <v>42</v>
      </c>
      <c r="G321">
        <v>4.2</v>
      </c>
      <c r="H321">
        <v>100</v>
      </c>
      <c r="I321">
        <v>94</v>
      </c>
      <c r="J321">
        <v>66</v>
      </c>
      <c r="K321">
        <v>33</v>
      </c>
      <c r="L321" t="s">
        <v>24</v>
      </c>
      <c r="M321">
        <v>2026</v>
      </c>
    </row>
    <row r="322" spans="1:13" ht="14.5" x14ac:dyDescent="0.35">
      <c r="A322" t="s">
        <v>654</v>
      </c>
      <c r="B322" t="s">
        <v>581</v>
      </c>
      <c r="C322" t="s">
        <v>21</v>
      </c>
      <c r="D322" t="s">
        <v>153</v>
      </c>
      <c r="E322" t="s">
        <v>32</v>
      </c>
      <c r="F322">
        <v>34</v>
      </c>
      <c r="G322">
        <v>2.37</v>
      </c>
      <c r="H322">
        <v>87</v>
      </c>
      <c r="I322">
        <v>62</v>
      </c>
      <c r="J322">
        <v>88</v>
      </c>
      <c r="K322">
        <v>30</v>
      </c>
      <c r="L322" t="s">
        <v>66</v>
      </c>
      <c r="M322">
        <v>2026</v>
      </c>
    </row>
    <row r="323" spans="1:13" ht="14.5" x14ac:dyDescent="0.35">
      <c r="A323" t="s">
        <v>655</v>
      </c>
      <c r="B323" t="s">
        <v>656</v>
      </c>
      <c r="C323" t="s">
        <v>36</v>
      </c>
      <c r="D323" t="s">
        <v>84</v>
      </c>
      <c r="E323" t="s">
        <v>23</v>
      </c>
      <c r="F323">
        <v>55</v>
      </c>
      <c r="G323">
        <v>4.0199999999999996</v>
      </c>
      <c r="H323">
        <v>89</v>
      </c>
      <c r="I323">
        <v>67</v>
      </c>
      <c r="J323">
        <v>71</v>
      </c>
      <c r="K323">
        <v>14</v>
      </c>
      <c r="L323" t="s">
        <v>42</v>
      </c>
      <c r="M323">
        <v>2026</v>
      </c>
    </row>
    <row r="324" spans="1:13" ht="14.5" x14ac:dyDescent="0.35">
      <c r="A324" t="s">
        <v>657</v>
      </c>
      <c r="B324" t="s">
        <v>658</v>
      </c>
      <c r="C324" t="s">
        <v>27</v>
      </c>
      <c r="D324" t="s">
        <v>76</v>
      </c>
      <c r="E324" t="s">
        <v>23</v>
      </c>
      <c r="F324">
        <v>27</v>
      </c>
      <c r="G324">
        <v>4.3099999999999996</v>
      </c>
      <c r="H324">
        <v>69</v>
      </c>
      <c r="I324">
        <v>70</v>
      </c>
      <c r="J324">
        <v>88</v>
      </c>
      <c r="K324">
        <v>31</v>
      </c>
      <c r="L324" t="s">
        <v>42</v>
      </c>
      <c r="M324">
        <v>2024</v>
      </c>
    </row>
    <row r="325" spans="1:13" ht="14.5" x14ac:dyDescent="0.35">
      <c r="A325" t="s">
        <v>659</v>
      </c>
      <c r="B325" t="s">
        <v>660</v>
      </c>
      <c r="C325" t="s">
        <v>40</v>
      </c>
      <c r="D325" t="s">
        <v>293</v>
      </c>
      <c r="E325" t="s">
        <v>23</v>
      </c>
      <c r="F325">
        <v>23</v>
      </c>
      <c r="G325">
        <v>4.76</v>
      </c>
      <c r="H325">
        <v>92</v>
      </c>
      <c r="I325">
        <v>73</v>
      </c>
      <c r="J325">
        <v>81</v>
      </c>
      <c r="K325">
        <v>11</v>
      </c>
      <c r="L325" t="s">
        <v>42</v>
      </c>
      <c r="M325">
        <v>2026</v>
      </c>
    </row>
    <row r="326" spans="1:13" ht="14.5" x14ac:dyDescent="0.35">
      <c r="A326" t="s">
        <v>661</v>
      </c>
      <c r="B326" t="s">
        <v>246</v>
      </c>
      <c r="C326" t="s">
        <v>52</v>
      </c>
      <c r="D326" t="s">
        <v>498</v>
      </c>
      <c r="E326" t="s">
        <v>23</v>
      </c>
      <c r="F326">
        <v>39</v>
      </c>
      <c r="G326">
        <v>4.1399999999999997</v>
      </c>
      <c r="H326">
        <v>91</v>
      </c>
      <c r="I326">
        <v>91</v>
      </c>
      <c r="J326">
        <v>80</v>
      </c>
      <c r="K326">
        <v>53</v>
      </c>
      <c r="L326" t="s">
        <v>42</v>
      </c>
      <c r="M326">
        <v>2025</v>
      </c>
    </row>
    <row r="327" spans="1:13" ht="14.5" x14ac:dyDescent="0.35">
      <c r="A327" t="s">
        <v>662</v>
      </c>
      <c r="B327" t="s">
        <v>663</v>
      </c>
      <c r="C327" t="s">
        <v>56</v>
      </c>
      <c r="D327" t="s">
        <v>112</v>
      </c>
      <c r="E327" t="s">
        <v>23</v>
      </c>
      <c r="F327">
        <v>56</v>
      </c>
      <c r="G327">
        <v>3.03</v>
      </c>
      <c r="H327">
        <v>90</v>
      </c>
      <c r="I327">
        <v>81</v>
      </c>
      <c r="J327">
        <v>93</v>
      </c>
      <c r="K327">
        <v>49</v>
      </c>
      <c r="L327" t="s">
        <v>42</v>
      </c>
      <c r="M327">
        <v>2026</v>
      </c>
    </row>
    <row r="328" spans="1:13" ht="14.5" x14ac:dyDescent="0.35">
      <c r="A328" t="s">
        <v>664</v>
      </c>
      <c r="B328" t="s">
        <v>665</v>
      </c>
      <c r="C328" t="s">
        <v>108</v>
      </c>
      <c r="D328" t="s">
        <v>206</v>
      </c>
      <c r="E328" t="s">
        <v>32</v>
      </c>
      <c r="F328">
        <v>43</v>
      </c>
      <c r="G328">
        <v>2.97</v>
      </c>
      <c r="H328">
        <v>64</v>
      </c>
      <c r="I328">
        <v>68</v>
      </c>
      <c r="J328">
        <v>74</v>
      </c>
      <c r="K328">
        <v>38</v>
      </c>
      <c r="L328" t="s">
        <v>42</v>
      </c>
      <c r="M328">
        <v>2024</v>
      </c>
    </row>
    <row r="329" spans="1:13" ht="14.5" x14ac:dyDescent="0.35">
      <c r="A329" t="s">
        <v>666</v>
      </c>
      <c r="B329" t="s">
        <v>61</v>
      </c>
      <c r="C329" t="s">
        <v>108</v>
      </c>
      <c r="D329" t="s">
        <v>109</v>
      </c>
      <c r="E329" t="s">
        <v>32</v>
      </c>
      <c r="F329">
        <v>54</v>
      </c>
      <c r="G329">
        <v>2.82</v>
      </c>
      <c r="H329">
        <v>85</v>
      </c>
      <c r="I329">
        <v>96</v>
      </c>
      <c r="J329">
        <v>88</v>
      </c>
      <c r="K329">
        <v>50</v>
      </c>
      <c r="L329" t="s">
        <v>42</v>
      </c>
      <c r="M329">
        <v>2025</v>
      </c>
    </row>
    <row r="330" spans="1:13" ht="14.5" x14ac:dyDescent="0.35">
      <c r="A330" t="s">
        <v>667</v>
      </c>
      <c r="B330" t="s">
        <v>192</v>
      </c>
      <c r="C330" t="s">
        <v>52</v>
      </c>
      <c r="D330" t="s">
        <v>224</v>
      </c>
      <c r="E330" t="s">
        <v>32</v>
      </c>
      <c r="F330">
        <v>35</v>
      </c>
      <c r="G330">
        <v>4.8499999999999996</v>
      </c>
      <c r="H330">
        <v>72</v>
      </c>
      <c r="I330">
        <v>96</v>
      </c>
      <c r="J330">
        <v>84</v>
      </c>
      <c r="K330">
        <v>35</v>
      </c>
      <c r="L330" t="s">
        <v>24</v>
      </c>
      <c r="M330">
        <v>2026</v>
      </c>
    </row>
    <row r="331" spans="1:13" ht="14.5" x14ac:dyDescent="0.35">
      <c r="A331" t="s">
        <v>668</v>
      </c>
      <c r="B331" t="s">
        <v>669</v>
      </c>
      <c r="C331" t="s">
        <v>69</v>
      </c>
      <c r="D331" t="s">
        <v>319</v>
      </c>
      <c r="E331" t="s">
        <v>23</v>
      </c>
      <c r="F331">
        <v>44</v>
      </c>
      <c r="G331">
        <v>3.03</v>
      </c>
      <c r="H331">
        <v>70</v>
      </c>
      <c r="I331">
        <v>69</v>
      </c>
      <c r="J331">
        <v>83</v>
      </c>
      <c r="K331">
        <v>59</v>
      </c>
      <c r="L331" t="s">
        <v>24</v>
      </c>
      <c r="M331">
        <v>2025</v>
      </c>
    </row>
    <row r="332" spans="1:13" ht="14.5" x14ac:dyDescent="0.35">
      <c r="A332" t="s">
        <v>670</v>
      </c>
      <c r="B332" t="s">
        <v>178</v>
      </c>
      <c r="C332" t="s">
        <v>108</v>
      </c>
      <c r="D332" t="s">
        <v>206</v>
      </c>
      <c r="E332" t="s">
        <v>32</v>
      </c>
      <c r="F332">
        <v>21</v>
      </c>
      <c r="G332">
        <v>3.98</v>
      </c>
      <c r="H332">
        <v>63</v>
      </c>
      <c r="I332">
        <v>73</v>
      </c>
      <c r="J332">
        <v>84</v>
      </c>
      <c r="K332">
        <v>14</v>
      </c>
      <c r="L332" t="s">
        <v>66</v>
      </c>
      <c r="M332">
        <v>2024</v>
      </c>
    </row>
    <row r="333" spans="1:13" ht="14.5" x14ac:dyDescent="0.35">
      <c r="A333" t="s">
        <v>671</v>
      </c>
      <c r="B333" t="s">
        <v>340</v>
      </c>
      <c r="C333" t="s">
        <v>52</v>
      </c>
      <c r="D333" t="s">
        <v>102</v>
      </c>
      <c r="E333" t="s">
        <v>23</v>
      </c>
      <c r="F333">
        <v>55</v>
      </c>
      <c r="G333">
        <v>2.93</v>
      </c>
      <c r="H333">
        <v>94</v>
      </c>
      <c r="I333">
        <v>93</v>
      </c>
      <c r="J333">
        <v>90</v>
      </c>
      <c r="K333">
        <v>35</v>
      </c>
      <c r="L333" t="s">
        <v>66</v>
      </c>
      <c r="M333">
        <v>2024</v>
      </c>
    </row>
    <row r="334" spans="1:13" ht="14.5" x14ac:dyDescent="0.35">
      <c r="A334" t="s">
        <v>672</v>
      </c>
      <c r="B334" t="s">
        <v>673</v>
      </c>
      <c r="C334" t="s">
        <v>159</v>
      </c>
      <c r="D334" t="s">
        <v>160</v>
      </c>
      <c r="E334" t="s">
        <v>32</v>
      </c>
      <c r="F334">
        <v>54</v>
      </c>
      <c r="G334">
        <v>4.92</v>
      </c>
      <c r="H334">
        <v>71</v>
      </c>
      <c r="I334">
        <v>97</v>
      </c>
      <c r="J334">
        <v>97</v>
      </c>
      <c r="K334">
        <v>25</v>
      </c>
      <c r="L334" t="s">
        <v>66</v>
      </c>
      <c r="M334">
        <v>2025</v>
      </c>
    </row>
    <row r="335" spans="1:13" ht="14.5" x14ac:dyDescent="0.35">
      <c r="A335" t="s">
        <v>674</v>
      </c>
      <c r="B335" t="s">
        <v>675</v>
      </c>
      <c r="C335" t="s">
        <v>27</v>
      </c>
      <c r="D335" t="s">
        <v>73</v>
      </c>
      <c r="E335" t="s">
        <v>23</v>
      </c>
      <c r="F335">
        <v>38</v>
      </c>
      <c r="G335">
        <v>3.26</v>
      </c>
      <c r="H335">
        <v>93</v>
      </c>
      <c r="I335">
        <v>70</v>
      </c>
      <c r="J335">
        <v>98</v>
      </c>
      <c r="K335">
        <v>35</v>
      </c>
      <c r="L335" t="s">
        <v>29</v>
      </c>
      <c r="M335">
        <v>2025</v>
      </c>
    </row>
    <row r="336" spans="1:13" ht="14.5" x14ac:dyDescent="0.35">
      <c r="A336" t="s">
        <v>676</v>
      </c>
      <c r="B336" t="s">
        <v>677</v>
      </c>
      <c r="C336" t="s">
        <v>108</v>
      </c>
      <c r="D336" t="s">
        <v>109</v>
      </c>
      <c r="E336" t="s">
        <v>32</v>
      </c>
      <c r="F336">
        <v>40</v>
      </c>
      <c r="G336">
        <v>4.71</v>
      </c>
      <c r="H336">
        <v>62</v>
      </c>
      <c r="I336">
        <v>64</v>
      </c>
      <c r="J336">
        <v>86</v>
      </c>
      <c r="K336">
        <v>19</v>
      </c>
      <c r="L336" t="s">
        <v>42</v>
      </c>
      <c r="M336">
        <v>2024</v>
      </c>
    </row>
    <row r="337" spans="1:13" ht="14.5" x14ac:dyDescent="0.35">
      <c r="A337" t="s">
        <v>678</v>
      </c>
      <c r="B337" t="s">
        <v>229</v>
      </c>
      <c r="C337" t="s">
        <v>21</v>
      </c>
      <c r="D337" t="s">
        <v>153</v>
      </c>
      <c r="E337" t="s">
        <v>23</v>
      </c>
      <c r="F337">
        <v>45</v>
      </c>
      <c r="G337">
        <v>2.83</v>
      </c>
      <c r="H337">
        <v>79</v>
      </c>
      <c r="I337">
        <v>98</v>
      </c>
      <c r="J337">
        <v>72</v>
      </c>
      <c r="K337">
        <v>46</v>
      </c>
      <c r="L337" t="s">
        <v>29</v>
      </c>
      <c r="M337">
        <v>2025</v>
      </c>
    </row>
    <row r="338" spans="1:13" ht="14.5" x14ac:dyDescent="0.35">
      <c r="A338" t="s">
        <v>679</v>
      </c>
      <c r="B338" t="s">
        <v>51</v>
      </c>
      <c r="C338" t="s">
        <v>159</v>
      </c>
      <c r="D338" t="s">
        <v>160</v>
      </c>
      <c r="E338" t="s">
        <v>23</v>
      </c>
      <c r="F338">
        <v>48</v>
      </c>
      <c r="G338">
        <v>3.6</v>
      </c>
      <c r="H338">
        <v>98</v>
      </c>
      <c r="I338">
        <v>100</v>
      </c>
      <c r="J338">
        <v>65</v>
      </c>
      <c r="K338">
        <v>58</v>
      </c>
      <c r="L338" t="s">
        <v>66</v>
      </c>
      <c r="M338">
        <v>2024</v>
      </c>
    </row>
    <row r="339" spans="1:13" ht="14.5" x14ac:dyDescent="0.35">
      <c r="A339" t="s">
        <v>680</v>
      </c>
      <c r="B339" t="s">
        <v>149</v>
      </c>
      <c r="C339" t="s">
        <v>27</v>
      </c>
      <c r="D339" t="s">
        <v>28</v>
      </c>
      <c r="E339" t="s">
        <v>32</v>
      </c>
      <c r="F339">
        <v>34</v>
      </c>
      <c r="G339">
        <v>4.28</v>
      </c>
      <c r="H339">
        <v>85</v>
      </c>
      <c r="I339">
        <v>62</v>
      </c>
      <c r="J339">
        <v>90</v>
      </c>
      <c r="K339">
        <v>45</v>
      </c>
      <c r="L339" t="s">
        <v>33</v>
      </c>
      <c r="M339">
        <v>2025</v>
      </c>
    </row>
    <row r="340" spans="1:13" ht="14.5" x14ac:dyDescent="0.35">
      <c r="A340" t="s">
        <v>681</v>
      </c>
      <c r="B340" t="s">
        <v>682</v>
      </c>
      <c r="C340" t="s">
        <v>21</v>
      </c>
      <c r="D340" t="s">
        <v>163</v>
      </c>
      <c r="E340" t="s">
        <v>32</v>
      </c>
      <c r="F340">
        <v>32</v>
      </c>
      <c r="G340">
        <v>3.62</v>
      </c>
      <c r="H340">
        <v>79</v>
      </c>
      <c r="I340">
        <v>95</v>
      </c>
      <c r="J340">
        <v>99</v>
      </c>
      <c r="K340">
        <v>59</v>
      </c>
      <c r="L340" t="s">
        <v>66</v>
      </c>
      <c r="M340">
        <v>2024</v>
      </c>
    </row>
    <row r="341" spans="1:13" ht="14.5" x14ac:dyDescent="0.35">
      <c r="A341" t="s">
        <v>683</v>
      </c>
      <c r="B341" t="s">
        <v>684</v>
      </c>
      <c r="C341" t="s">
        <v>159</v>
      </c>
      <c r="D341" t="s">
        <v>324</v>
      </c>
      <c r="E341" t="s">
        <v>32</v>
      </c>
      <c r="F341">
        <v>40</v>
      </c>
      <c r="G341">
        <v>4.92</v>
      </c>
      <c r="H341">
        <v>65</v>
      </c>
      <c r="I341">
        <v>88</v>
      </c>
      <c r="J341">
        <v>98</v>
      </c>
      <c r="K341">
        <v>20</v>
      </c>
      <c r="L341" t="s">
        <v>29</v>
      </c>
      <c r="M341">
        <v>2025</v>
      </c>
    </row>
    <row r="342" spans="1:13" ht="14.5" x14ac:dyDescent="0.35">
      <c r="A342" t="s">
        <v>685</v>
      </c>
      <c r="B342" t="s">
        <v>404</v>
      </c>
      <c r="C342" t="s">
        <v>56</v>
      </c>
      <c r="D342" t="s">
        <v>57</v>
      </c>
      <c r="E342" t="s">
        <v>23</v>
      </c>
      <c r="F342">
        <v>29</v>
      </c>
      <c r="G342">
        <v>4.43</v>
      </c>
      <c r="H342">
        <v>73</v>
      </c>
      <c r="I342">
        <v>75</v>
      </c>
      <c r="J342">
        <v>79</v>
      </c>
      <c r="K342">
        <v>49</v>
      </c>
      <c r="L342" t="s">
        <v>24</v>
      </c>
      <c r="M342">
        <v>2024</v>
      </c>
    </row>
    <row r="343" spans="1:13" ht="14.5" x14ac:dyDescent="0.35">
      <c r="A343" t="s">
        <v>686</v>
      </c>
      <c r="B343" t="s">
        <v>233</v>
      </c>
      <c r="C343" t="s">
        <v>52</v>
      </c>
      <c r="D343" t="s">
        <v>176</v>
      </c>
      <c r="E343" t="s">
        <v>23</v>
      </c>
      <c r="F343">
        <v>35</v>
      </c>
      <c r="G343">
        <v>2.31</v>
      </c>
      <c r="H343">
        <v>100</v>
      </c>
      <c r="I343">
        <v>77</v>
      </c>
      <c r="J343">
        <v>100</v>
      </c>
      <c r="K343">
        <v>22</v>
      </c>
      <c r="L343" t="s">
        <v>33</v>
      </c>
      <c r="M343">
        <v>2026</v>
      </c>
    </row>
    <row r="344" spans="1:13" ht="14.5" x14ac:dyDescent="0.35">
      <c r="A344" t="s">
        <v>687</v>
      </c>
      <c r="B344" t="s">
        <v>205</v>
      </c>
      <c r="C344" t="s">
        <v>45</v>
      </c>
      <c r="D344" t="s">
        <v>239</v>
      </c>
      <c r="E344" t="s">
        <v>23</v>
      </c>
      <c r="F344">
        <v>22</v>
      </c>
      <c r="G344">
        <v>2.73</v>
      </c>
      <c r="H344">
        <v>66</v>
      </c>
      <c r="I344">
        <v>68</v>
      </c>
      <c r="J344">
        <v>98</v>
      </c>
      <c r="K344">
        <v>24</v>
      </c>
      <c r="L344" t="s">
        <v>33</v>
      </c>
      <c r="M344">
        <v>2024</v>
      </c>
    </row>
    <row r="345" spans="1:13" ht="14.5" x14ac:dyDescent="0.35">
      <c r="A345" t="s">
        <v>688</v>
      </c>
      <c r="B345" t="s">
        <v>332</v>
      </c>
      <c r="C345" t="s">
        <v>40</v>
      </c>
      <c r="D345" t="s">
        <v>65</v>
      </c>
      <c r="E345" t="s">
        <v>23</v>
      </c>
      <c r="F345">
        <v>32</v>
      </c>
      <c r="G345">
        <v>2.84</v>
      </c>
      <c r="H345">
        <v>99</v>
      </c>
      <c r="I345">
        <v>97</v>
      </c>
      <c r="J345">
        <v>95</v>
      </c>
      <c r="K345">
        <v>34</v>
      </c>
      <c r="L345" t="s">
        <v>33</v>
      </c>
      <c r="M345">
        <v>2026</v>
      </c>
    </row>
    <row r="346" spans="1:13" ht="14.5" x14ac:dyDescent="0.35">
      <c r="A346" t="s">
        <v>689</v>
      </c>
      <c r="B346" t="s">
        <v>316</v>
      </c>
      <c r="C346" t="s">
        <v>45</v>
      </c>
      <c r="D346" t="s">
        <v>46</v>
      </c>
      <c r="E346" t="s">
        <v>32</v>
      </c>
      <c r="F346">
        <v>25</v>
      </c>
      <c r="G346">
        <v>4.67</v>
      </c>
      <c r="H346">
        <v>65</v>
      </c>
      <c r="I346">
        <v>80</v>
      </c>
      <c r="J346">
        <v>69</v>
      </c>
      <c r="K346">
        <v>17</v>
      </c>
      <c r="L346" t="s">
        <v>24</v>
      </c>
      <c r="M346">
        <v>2024</v>
      </c>
    </row>
    <row r="347" spans="1:13" ht="14.5" x14ac:dyDescent="0.35">
      <c r="A347" t="s">
        <v>690</v>
      </c>
      <c r="B347" t="s">
        <v>691</v>
      </c>
      <c r="C347" t="s">
        <v>159</v>
      </c>
      <c r="D347" t="s">
        <v>324</v>
      </c>
      <c r="E347" t="s">
        <v>23</v>
      </c>
      <c r="F347">
        <v>44</v>
      </c>
      <c r="G347">
        <v>3.44</v>
      </c>
      <c r="H347">
        <v>92</v>
      </c>
      <c r="I347">
        <v>72</v>
      </c>
      <c r="J347">
        <v>71</v>
      </c>
      <c r="K347">
        <v>39</v>
      </c>
      <c r="L347" t="s">
        <v>66</v>
      </c>
      <c r="M347">
        <v>2024</v>
      </c>
    </row>
    <row r="348" spans="1:13" ht="14.5" x14ac:dyDescent="0.35">
      <c r="A348" t="s">
        <v>692</v>
      </c>
      <c r="B348" t="s">
        <v>693</v>
      </c>
      <c r="C348" t="s">
        <v>108</v>
      </c>
      <c r="D348" t="s">
        <v>126</v>
      </c>
      <c r="E348" t="s">
        <v>23</v>
      </c>
      <c r="F348">
        <v>27</v>
      </c>
      <c r="G348">
        <v>3.88</v>
      </c>
      <c r="H348">
        <v>81</v>
      </c>
      <c r="I348">
        <v>96</v>
      </c>
      <c r="J348">
        <v>65</v>
      </c>
      <c r="K348">
        <v>42</v>
      </c>
      <c r="L348" t="s">
        <v>24</v>
      </c>
      <c r="M348">
        <v>2024</v>
      </c>
    </row>
    <row r="349" spans="1:13" ht="14.5" x14ac:dyDescent="0.35">
      <c r="A349" t="s">
        <v>694</v>
      </c>
      <c r="B349" t="s">
        <v>537</v>
      </c>
      <c r="C349" t="s">
        <v>108</v>
      </c>
      <c r="D349" t="s">
        <v>206</v>
      </c>
      <c r="E349" t="s">
        <v>32</v>
      </c>
      <c r="F349">
        <v>22</v>
      </c>
      <c r="G349">
        <v>4.22</v>
      </c>
      <c r="H349">
        <v>90</v>
      </c>
      <c r="I349">
        <v>72</v>
      </c>
      <c r="J349">
        <v>94</v>
      </c>
      <c r="K349">
        <v>5</v>
      </c>
      <c r="L349" t="s">
        <v>42</v>
      </c>
      <c r="M349">
        <v>2025</v>
      </c>
    </row>
    <row r="350" spans="1:13" ht="14.5" x14ac:dyDescent="0.35">
      <c r="A350" t="s">
        <v>695</v>
      </c>
      <c r="B350" t="s">
        <v>332</v>
      </c>
      <c r="C350" t="s">
        <v>45</v>
      </c>
      <c r="D350" t="s">
        <v>46</v>
      </c>
      <c r="E350" t="s">
        <v>23</v>
      </c>
      <c r="F350">
        <v>21</v>
      </c>
      <c r="G350">
        <v>3.88</v>
      </c>
      <c r="H350">
        <v>93</v>
      </c>
      <c r="I350">
        <v>100</v>
      </c>
      <c r="J350">
        <v>76</v>
      </c>
      <c r="K350">
        <v>26</v>
      </c>
      <c r="L350" t="s">
        <v>66</v>
      </c>
      <c r="M350">
        <v>2025</v>
      </c>
    </row>
    <row r="351" spans="1:13" ht="14.5" x14ac:dyDescent="0.35">
      <c r="A351" t="s">
        <v>696</v>
      </c>
      <c r="B351" t="s">
        <v>697</v>
      </c>
      <c r="C351" t="s">
        <v>27</v>
      </c>
      <c r="D351" t="s">
        <v>87</v>
      </c>
      <c r="E351" t="s">
        <v>32</v>
      </c>
      <c r="F351">
        <v>45</v>
      </c>
      <c r="G351">
        <v>3.64</v>
      </c>
      <c r="H351">
        <v>81</v>
      </c>
      <c r="I351">
        <v>76</v>
      </c>
      <c r="J351">
        <v>99</v>
      </c>
      <c r="K351">
        <v>20</v>
      </c>
      <c r="L351" t="s">
        <v>42</v>
      </c>
      <c r="M351">
        <v>2025</v>
      </c>
    </row>
    <row r="352" spans="1:13" ht="14.5" x14ac:dyDescent="0.35">
      <c r="A352" t="s">
        <v>698</v>
      </c>
      <c r="B352" t="s">
        <v>699</v>
      </c>
      <c r="C352" t="s">
        <v>36</v>
      </c>
      <c r="D352" t="s">
        <v>84</v>
      </c>
      <c r="E352" t="s">
        <v>32</v>
      </c>
      <c r="F352">
        <v>25</v>
      </c>
      <c r="G352">
        <v>4.0999999999999996</v>
      </c>
      <c r="H352">
        <v>94</v>
      </c>
      <c r="I352">
        <v>79</v>
      </c>
      <c r="J352">
        <v>93</v>
      </c>
      <c r="K352">
        <v>12</v>
      </c>
      <c r="L352" t="s">
        <v>29</v>
      </c>
      <c r="M352">
        <v>2025</v>
      </c>
    </row>
    <row r="353" spans="1:13" ht="14.5" x14ac:dyDescent="0.35">
      <c r="A353" t="s">
        <v>700</v>
      </c>
      <c r="B353" t="s">
        <v>701</v>
      </c>
      <c r="C353" t="s">
        <v>36</v>
      </c>
      <c r="D353" t="s">
        <v>84</v>
      </c>
      <c r="E353" t="s">
        <v>32</v>
      </c>
      <c r="F353">
        <v>44</v>
      </c>
      <c r="G353">
        <v>2.2200000000000002</v>
      </c>
      <c r="H353">
        <v>94</v>
      </c>
      <c r="I353">
        <v>90</v>
      </c>
      <c r="J353">
        <v>96</v>
      </c>
      <c r="K353">
        <v>15</v>
      </c>
      <c r="L353" t="s">
        <v>29</v>
      </c>
      <c r="M353">
        <v>2024</v>
      </c>
    </row>
    <row r="354" spans="1:13" ht="14.5" x14ac:dyDescent="0.35">
      <c r="A354" t="s">
        <v>702</v>
      </c>
      <c r="B354" t="s">
        <v>703</v>
      </c>
      <c r="C354" t="s">
        <v>45</v>
      </c>
      <c r="D354" t="s">
        <v>234</v>
      </c>
      <c r="E354" t="s">
        <v>23</v>
      </c>
      <c r="F354">
        <v>27</v>
      </c>
      <c r="G354">
        <v>4.33</v>
      </c>
      <c r="H354">
        <v>81</v>
      </c>
      <c r="I354">
        <v>66</v>
      </c>
      <c r="J354">
        <v>93</v>
      </c>
      <c r="K354">
        <v>26</v>
      </c>
      <c r="L354" t="s">
        <v>66</v>
      </c>
      <c r="M354">
        <v>2024</v>
      </c>
    </row>
    <row r="355" spans="1:13" ht="14.5" x14ac:dyDescent="0.35">
      <c r="A355" t="s">
        <v>704</v>
      </c>
      <c r="B355" t="s">
        <v>705</v>
      </c>
      <c r="C355" t="s">
        <v>40</v>
      </c>
      <c r="D355" t="s">
        <v>65</v>
      </c>
      <c r="E355" t="s">
        <v>23</v>
      </c>
      <c r="F355">
        <v>49</v>
      </c>
      <c r="G355">
        <v>2.74</v>
      </c>
      <c r="H355">
        <v>68</v>
      </c>
      <c r="I355">
        <v>74</v>
      </c>
      <c r="J355">
        <v>78</v>
      </c>
      <c r="K355">
        <v>24</v>
      </c>
      <c r="L355" t="s">
        <v>66</v>
      </c>
      <c r="M355">
        <v>2025</v>
      </c>
    </row>
    <row r="356" spans="1:13" ht="14.5" x14ac:dyDescent="0.35">
      <c r="A356" t="s">
        <v>706</v>
      </c>
      <c r="B356" t="s">
        <v>569</v>
      </c>
      <c r="C356" t="s">
        <v>159</v>
      </c>
      <c r="D356" t="s">
        <v>269</v>
      </c>
      <c r="E356" t="s">
        <v>23</v>
      </c>
      <c r="F356">
        <v>33</v>
      </c>
      <c r="G356">
        <v>3.1</v>
      </c>
      <c r="H356">
        <v>95</v>
      </c>
      <c r="I356">
        <v>90</v>
      </c>
      <c r="J356">
        <v>71</v>
      </c>
      <c r="K356">
        <v>48</v>
      </c>
      <c r="L356" t="s">
        <v>42</v>
      </c>
      <c r="M356">
        <v>2026</v>
      </c>
    </row>
    <row r="357" spans="1:13" ht="14.5" x14ac:dyDescent="0.35">
      <c r="A357" t="s">
        <v>707</v>
      </c>
      <c r="B357" t="s">
        <v>123</v>
      </c>
      <c r="C357" t="s">
        <v>40</v>
      </c>
      <c r="D357" t="s">
        <v>293</v>
      </c>
      <c r="E357" t="s">
        <v>23</v>
      </c>
      <c r="F357">
        <v>57</v>
      </c>
      <c r="G357">
        <v>2.79</v>
      </c>
      <c r="H357">
        <v>71</v>
      </c>
      <c r="I357">
        <v>80</v>
      </c>
      <c r="J357">
        <v>75</v>
      </c>
      <c r="K357">
        <v>17</v>
      </c>
      <c r="L357" t="s">
        <v>24</v>
      </c>
      <c r="M357">
        <v>2024</v>
      </c>
    </row>
    <row r="358" spans="1:13" ht="14.5" x14ac:dyDescent="0.35">
      <c r="A358" t="s">
        <v>708</v>
      </c>
      <c r="B358" t="s">
        <v>346</v>
      </c>
      <c r="C358" t="s">
        <v>56</v>
      </c>
      <c r="D358" t="s">
        <v>57</v>
      </c>
      <c r="E358" t="s">
        <v>32</v>
      </c>
      <c r="F358">
        <v>57</v>
      </c>
      <c r="G358">
        <v>4.59</v>
      </c>
      <c r="H358">
        <v>72</v>
      </c>
      <c r="I358">
        <v>80</v>
      </c>
      <c r="J358">
        <v>98</v>
      </c>
      <c r="K358">
        <v>35</v>
      </c>
      <c r="L358" t="s">
        <v>66</v>
      </c>
      <c r="M358">
        <v>2025</v>
      </c>
    </row>
    <row r="359" spans="1:13" ht="14.5" x14ac:dyDescent="0.35">
      <c r="A359" t="s">
        <v>709</v>
      </c>
      <c r="B359" t="s">
        <v>273</v>
      </c>
      <c r="C359" t="s">
        <v>27</v>
      </c>
      <c r="D359" t="s">
        <v>28</v>
      </c>
      <c r="E359" t="s">
        <v>23</v>
      </c>
      <c r="F359">
        <v>34</v>
      </c>
      <c r="G359">
        <v>4.38</v>
      </c>
      <c r="H359">
        <v>79</v>
      </c>
      <c r="I359">
        <v>74</v>
      </c>
      <c r="J359">
        <v>81</v>
      </c>
      <c r="K359">
        <v>35</v>
      </c>
      <c r="L359" t="s">
        <v>42</v>
      </c>
      <c r="M359">
        <v>2025</v>
      </c>
    </row>
    <row r="360" spans="1:13" ht="14.5" x14ac:dyDescent="0.35">
      <c r="A360" t="s">
        <v>710</v>
      </c>
      <c r="B360" t="s">
        <v>327</v>
      </c>
      <c r="C360" t="s">
        <v>56</v>
      </c>
      <c r="D360" t="s">
        <v>217</v>
      </c>
      <c r="E360" t="s">
        <v>32</v>
      </c>
      <c r="F360">
        <v>40</v>
      </c>
      <c r="G360">
        <v>2.61</v>
      </c>
      <c r="H360">
        <v>83</v>
      </c>
      <c r="I360">
        <v>82</v>
      </c>
      <c r="J360">
        <v>85</v>
      </c>
      <c r="K360">
        <v>33</v>
      </c>
      <c r="L360" t="s">
        <v>42</v>
      </c>
      <c r="M360">
        <v>2025</v>
      </c>
    </row>
    <row r="361" spans="1:13" ht="14.5" x14ac:dyDescent="0.35">
      <c r="A361" t="s">
        <v>711</v>
      </c>
      <c r="B361" t="s">
        <v>712</v>
      </c>
      <c r="C361" t="s">
        <v>56</v>
      </c>
      <c r="D361" t="s">
        <v>217</v>
      </c>
      <c r="E361" t="s">
        <v>32</v>
      </c>
      <c r="F361">
        <v>49</v>
      </c>
      <c r="G361">
        <v>3.78</v>
      </c>
      <c r="H361">
        <v>88</v>
      </c>
      <c r="I361">
        <v>60</v>
      </c>
      <c r="J361">
        <v>90</v>
      </c>
      <c r="K361">
        <v>8</v>
      </c>
      <c r="L361" t="s">
        <v>24</v>
      </c>
      <c r="M361">
        <v>2025</v>
      </c>
    </row>
    <row r="362" spans="1:13" ht="14.5" x14ac:dyDescent="0.35">
      <c r="A362" t="s">
        <v>713</v>
      </c>
      <c r="B362" t="s">
        <v>714</v>
      </c>
      <c r="C362" t="s">
        <v>27</v>
      </c>
      <c r="D362" t="s">
        <v>76</v>
      </c>
      <c r="E362" t="s">
        <v>32</v>
      </c>
      <c r="F362">
        <v>44</v>
      </c>
      <c r="G362">
        <v>4.01</v>
      </c>
      <c r="H362">
        <v>70</v>
      </c>
      <c r="I362">
        <v>89</v>
      </c>
      <c r="J362">
        <v>82</v>
      </c>
      <c r="K362">
        <v>6</v>
      </c>
      <c r="L362" t="s">
        <v>29</v>
      </c>
      <c r="M362">
        <v>2024</v>
      </c>
    </row>
    <row r="363" spans="1:13" ht="14.5" x14ac:dyDescent="0.35">
      <c r="A363" t="s">
        <v>715</v>
      </c>
      <c r="B363" t="s">
        <v>712</v>
      </c>
      <c r="C363" t="s">
        <v>21</v>
      </c>
      <c r="D363" t="s">
        <v>133</v>
      </c>
      <c r="E363" t="s">
        <v>23</v>
      </c>
      <c r="F363">
        <v>31</v>
      </c>
      <c r="G363">
        <v>4.05</v>
      </c>
      <c r="H363">
        <v>78</v>
      </c>
      <c r="I363">
        <v>78</v>
      </c>
      <c r="J363">
        <v>88</v>
      </c>
      <c r="K363">
        <v>6</v>
      </c>
      <c r="L363" t="s">
        <v>42</v>
      </c>
      <c r="M363">
        <v>2025</v>
      </c>
    </row>
    <row r="364" spans="1:13" ht="14.5" x14ac:dyDescent="0.35">
      <c r="A364" t="s">
        <v>716</v>
      </c>
      <c r="B364" t="s">
        <v>717</v>
      </c>
      <c r="C364" t="s">
        <v>40</v>
      </c>
      <c r="D364" t="s">
        <v>65</v>
      </c>
      <c r="E364" t="s">
        <v>32</v>
      </c>
      <c r="F364">
        <v>21</v>
      </c>
      <c r="G364">
        <v>4.41</v>
      </c>
      <c r="H364">
        <v>82</v>
      </c>
      <c r="I364">
        <v>95</v>
      </c>
      <c r="J364">
        <v>100</v>
      </c>
      <c r="K364">
        <v>52</v>
      </c>
      <c r="L364" t="s">
        <v>29</v>
      </c>
      <c r="M364">
        <v>2024</v>
      </c>
    </row>
    <row r="365" spans="1:13" ht="14.5" x14ac:dyDescent="0.35">
      <c r="A365" t="s">
        <v>718</v>
      </c>
      <c r="B365" t="s">
        <v>442</v>
      </c>
      <c r="C365" t="s">
        <v>27</v>
      </c>
      <c r="D365" t="s">
        <v>87</v>
      </c>
      <c r="E365" t="s">
        <v>23</v>
      </c>
      <c r="F365">
        <v>44</v>
      </c>
      <c r="G365">
        <v>3.93</v>
      </c>
      <c r="H365">
        <v>90</v>
      </c>
      <c r="I365">
        <v>77</v>
      </c>
      <c r="J365">
        <v>71</v>
      </c>
      <c r="K365">
        <v>9</v>
      </c>
      <c r="L365" t="s">
        <v>29</v>
      </c>
      <c r="M365">
        <v>2024</v>
      </c>
    </row>
    <row r="366" spans="1:13" ht="14.5" x14ac:dyDescent="0.35">
      <c r="A366" t="s">
        <v>719</v>
      </c>
      <c r="B366" t="s">
        <v>720</v>
      </c>
      <c r="C366" t="s">
        <v>27</v>
      </c>
      <c r="D366" t="s">
        <v>87</v>
      </c>
      <c r="E366" t="s">
        <v>23</v>
      </c>
      <c r="F366">
        <v>22</v>
      </c>
      <c r="G366">
        <v>3.11</v>
      </c>
      <c r="H366">
        <v>92</v>
      </c>
      <c r="I366">
        <v>97</v>
      </c>
      <c r="J366">
        <v>95</v>
      </c>
      <c r="K366">
        <v>7</v>
      </c>
      <c r="L366" t="s">
        <v>24</v>
      </c>
      <c r="M366">
        <v>2026</v>
      </c>
    </row>
    <row r="367" spans="1:13" ht="14.5" x14ac:dyDescent="0.35">
      <c r="A367" t="s">
        <v>721</v>
      </c>
      <c r="B367" t="s">
        <v>722</v>
      </c>
      <c r="C367" t="s">
        <v>21</v>
      </c>
      <c r="D367" t="s">
        <v>22</v>
      </c>
      <c r="E367" t="s">
        <v>32</v>
      </c>
      <c r="F367">
        <v>43</v>
      </c>
      <c r="G367">
        <v>4.8899999999999997</v>
      </c>
      <c r="H367">
        <v>93</v>
      </c>
      <c r="I367">
        <v>75</v>
      </c>
      <c r="J367">
        <v>82</v>
      </c>
      <c r="K367">
        <v>43</v>
      </c>
      <c r="L367" t="s">
        <v>66</v>
      </c>
      <c r="M367">
        <v>2025</v>
      </c>
    </row>
    <row r="368" spans="1:13" ht="14.5" x14ac:dyDescent="0.35">
      <c r="A368" t="s">
        <v>723</v>
      </c>
      <c r="B368" t="s">
        <v>724</v>
      </c>
      <c r="C368" t="s">
        <v>27</v>
      </c>
      <c r="D368" t="s">
        <v>76</v>
      </c>
      <c r="E368" t="s">
        <v>23</v>
      </c>
      <c r="F368">
        <v>51</v>
      </c>
      <c r="G368">
        <v>2.37</v>
      </c>
      <c r="H368">
        <v>65</v>
      </c>
      <c r="I368">
        <v>100</v>
      </c>
      <c r="J368">
        <v>86</v>
      </c>
      <c r="K368">
        <v>22</v>
      </c>
      <c r="L368" t="s">
        <v>66</v>
      </c>
      <c r="M368">
        <v>2025</v>
      </c>
    </row>
    <row r="369" spans="1:13" ht="14.5" x14ac:dyDescent="0.35">
      <c r="A369" t="s">
        <v>725</v>
      </c>
      <c r="B369" t="s">
        <v>726</v>
      </c>
      <c r="C369" t="s">
        <v>40</v>
      </c>
      <c r="D369" t="s">
        <v>41</v>
      </c>
      <c r="E369" t="s">
        <v>23</v>
      </c>
      <c r="F369">
        <v>23</v>
      </c>
      <c r="G369">
        <v>3.43</v>
      </c>
      <c r="H369">
        <v>80</v>
      </c>
      <c r="I369">
        <v>67</v>
      </c>
      <c r="J369">
        <v>95</v>
      </c>
      <c r="K369">
        <v>13</v>
      </c>
      <c r="L369" t="s">
        <v>33</v>
      </c>
      <c r="M369">
        <v>2025</v>
      </c>
    </row>
    <row r="370" spans="1:13" ht="14.5" x14ac:dyDescent="0.35">
      <c r="A370" t="s">
        <v>727</v>
      </c>
      <c r="B370" t="s">
        <v>621</v>
      </c>
      <c r="C370" t="s">
        <v>21</v>
      </c>
      <c r="D370" t="s">
        <v>133</v>
      </c>
      <c r="E370" t="s">
        <v>32</v>
      </c>
      <c r="F370">
        <v>54</v>
      </c>
      <c r="G370">
        <v>4.9400000000000004</v>
      </c>
      <c r="H370">
        <v>88</v>
      </c>
      <c r="I370">
        <v>69</v>
      </c>
      <c r="J370">
        <v>74</v>
      </c>
      <c r="K370">
        <v>42</v>
      </c>
      <c r="L370" t="s">
        <v>42</v>
      </c>
      <c r="M370">
        <v>2026</v>
      </c>
    </row>
    <row r="371" spans="1:13" ht="14.5" x14ac:dyDescent="0.35">
      <c r="A371" t="s">
        <v>728</v>
      </c>
      <c r="B371" t="s">
        <v>729</v>
      </c>
      <c r="C371" t="s">
        <v>27</v>
      </c>
      <c r="D371" t="s">
        <v>76</v>
      </c>
      <c r="E371" t="s">
        <v>23</v>
      </c>
      <c r="F371">
        <v>35</v>
      </c>
      <c r="G371">
        <v>2.76</v>
      </c>
      <c r="H371">
        <v>67</v>
      </c>
      <c r="I371">
        <v>88</v>
      </c>
      <c r="J371">
        <v>80</v>
      </c>
      <c r="K371">
        <v>25</v>
      </c>
      <c r="L371" t="s">
        <v>66</v>
      </c>
      <c r="M371">
        <v>2026</v>
      </c>
    </row>
    <row r="372" spans="1:13" ht="14.5" x14ac:dyDescent="0.35">
      <c r="A372" t="s">
        <v>730</v>
      </c>
      <c r="B372" t="s">
        <v>184</v>
      </c>
      <c r="C372" t="s">
        <v>56</v>
      </c>
      <c r="D372" t="s">
        <v>217</v>
      </c>
      <c r="E372" t="s">
        <v>32</v>
      </c>
      <c r="F372">
        <v>33</v>
      </c>
      <c r="G372">
        <v>4.34</v>
      </c>
      <c r="H372">
        <v>78</v>
      </c>
      <c r="I372">
        <v>95</v>
      </c>
      <c r="J372">
        <v>98</v>
      </c>
      <c r="K372">
        <v>57</v>
      </c>
      <c r="L372" t="s">
        <v>42</v>
      </c>
      <c r="M372">
        <v>2026</v>
      </c>
    </row>
    <row r="373" spans="1:13" ht="14.5" x14ac:dyDescent="0.35">
      <c r="A373" t="s">
        <v>731</v>
      </c>
      <c r="B373" t="s">
        <v>732</v>
      </c>
      <c r="C373" t="s">
        <v>52</v>
      </c>
      <c r="D373" t="s">
        <v>53</v>
      </c>
      <c r="E373" t="s">
        <v>32</v>
      </c>
      <c r="F373">
        <v>34</v>
      </c>
      <c r="G373">
        <v>2.2599999999999998</v>
      </c>
      <c r="H373">
        <v>66</v>
      </c>
      <c r="I373">
        <v>80</v>
      </c>
      <c r="J373">
        <v>88</v>
      </c>
      <c r="K373">
        <v>54</v>
      </c>
      <c r="L373" t="s">
        <v>24</v>
      </c>
      <c r="M373">
        <v>2026</v>
      </c>
    </row>
    <row r="374" spans="1:13" ht="14.5" x14ac:dyDescent="0.35">
      <c r="A374" t="s">
        <v>733</v>
      </c>
      <c r="B374" t="s">
        <v>734</v>
      </c>
      <c r="C374" t="s">
        <v>45</v>
      </c>
      <c r="D374" t="s">
        <v>296</v>
      </c>
      <c r="E374" t="s">
        <v>32</v>
      </c>
      <c r="F374">
        <v>44</v>
      </c>
      <c r="G374">
        <v>4.68</v>
      </c>
      <c r="H374">
        <v>73</v>
      </c>
      <c r="I374">
        <v>80</v>
      </c>
      <c r="J374">
        <v>94</v>
      </c>
      <c r="K374">
        <v>19</v>
      </c>
      <c r="L374" t="s">
        <v>24</v>
      </c>
      <c r="M374">
        <v>2025</v>
      </c>
    </row>
    <row r="375" spans="1:13" ht="14.5" x14ac:dyDescent="0.35">
      <c r="A375" t="s">
        <v>735</v>
      </c>
      <c r="B375" t="s">
        <v>139</v>
      </c>
      <c r="C375" t="s">
        <v>36</v>
      </c>
      <c r="D375" t="s">
        <v>84</v>
      </c>
      <c r="E375" t="s">
        <v>23</v>
      </c>
      <c r="F375">
        <v>45</v>
      </c>
      <c r="G375">
        <v>3.13</v>
      </c>
      <c r="H375">
        <v>78</v>
      </c>
      <c r="I375">
        <v>76</v>
      </c>
      <c r="J375">
        <v>66</v>
      </c>
      <c r="K375">
        <v>13</v>
      </c>
      <c r="L375" t="s">
        <v>33</v>
      </c>
      <c r="M375">
        <v>2026</v>
      </c>
    </row>
    <row r="376" spans="1:13" ht="14.5" x14ac:dyDescent="0.35">
      <c r="A376" t="s">
        <v>736</v>
      </c>
      <c r="B376" t="s">
        <v>737</v>
      </c>
      <c r="C376" t="s">
        <v>40</v>
      </c>
      <c r="D376" t="s">
        <v>293</v>
      </c>
      <c r="E376" t="s">
        <v>23</v>
      </c>
      <c r="F376">
        <v>32</v>
      </c>
      <c r="G376">
        <v>3.35</v>
      </c>
      <c r="H376">
        <v>87</v>
      </c>
      <c r="I376">
        <v>91</v>
      </c>
      <c r="J376">
        <v>68</v>
      </c>
      <c r="K376">
        <v>58</v>
      </c>
      <c r="L376" t="s">
        <v>66</v>
      </c>
      <c r="M376">
        <v>2024</v>
      </c>
    </row>
    <row r="377" spans="1:13" ht="14.5" x14ac:dyDescent="0.35">
      <c r="A377" t="s">
        <v>738</v>
      </c>
      <c r="B377" t="s">
        <v>739</v>
      </c>
      <c r="C377" t="s">
        <v>159</v>
      </c>
      <c r="D377" t="s">
        <v>269</v>
      </c>
      <c r="E377" t="s">
        <v>32</v>
      </c>
      <c r="F377">
        <v>36</v>
      </c>
      <c r="G377">
        <v>4.76</v>
      </c>
      <c r="H377">
        <v>94</v>
      </c>
      <c r="I377">
        <v>83</v>
      </c>
      <c r="J377">
        <v>66</v>
      </c>
      <c r="K377">
        <v>41</v>
      </c>
      <c r="L377" t="s">
        <v>24</v>
      </c>
      <c r="M377">
        <v>2024</v>
      </c>
    </row>
    <row r="378" spans="1:13" ht="14.5" x14ac:dyDescent="0.35">
      <c r="A378" t="s">
        <v>740</v>
      </c>
      <c r="B378" t="s">
        <v>712</v>
      </c>
      <c r="C378" t="s">
        <v>159</v>
      </c>
      <c r="D378" t="s">
        <v>187</v>
      </c>
      <c r="E378" t="s">
        <v>23</v>
      </c>
      <c r="F378">
        <v>47</v>
      </c>
      <c r="G378">
        <v>4.8899999999999997</v>
      </c>
      <c r="H378">
        <v>82</v>
      </c>
      <c r="I378">
        <v>94</v>
      </c>
      <c r="J378">
        <v>96</v>
      </c>
      <c r="K378">
        <v>23</v>
      </c>
      <c r="L378" t="s">
        <v>66</v>
      </c>
      <c r="M378">
        <v>2025</v>
      </c>
    </row>
    <row r="379" spans="1:13" ht="14.5" x14ac:dyDescent="0.35">
      <c r="A379" t="s">
        <v>741</v>
      </c>
      <c r="B379" t="s">
        <v>742</v>
      </c>
      <c r="C379" t="s">
        <v>56</v>
      </c>
      <c r="D379" t="s">
        <v>112</v>
      </c>
      <c r="E379" t="s">
        <v>23</v>
      </c>
      <c r="F379">
        <v>55</v>
      </c>
      <c r="G379">
        <v>3.98</v>
      </c>
      <c r="H379">
        <v>66</v>
      </c>
      <c r="I379">
        <v>96</v>
      </c>
      <c r="J379">
        <v>70</v>
      </c>
      <c r="K379">
        <v>40</v>
      </c>
      <c r="L379" t="s">
        <v>33</v>
      </c>
      <c r="M379">
        <v>2026</v>
      </c>
    </row>
    <row r="380" spans="1:13" ht="14.5" x14ac:dyDescent="0.35">
      <c r="A380" t="s">
        <v>743</v>
      </c>
      <c r="B380" t="s">
        <v>643</v>
      </c>
      <c r="C380" t="s">
        <v>36</v>
      </c>
      <c r="D380" t="s">
        <v>93</v>
      </c>
      <c r="E380" t="s">
        <v>32</v>
      </c>
      <c r="F380">
        <v>41</v>
      </c>
      <c r="G380">
        <v>2.64</v>
      </c>
      <c r="H380">
        <v>94</v>
      </c>
      <c r="I380">
        <v>65</v>
      </c>
      <c r="J380">
        <v>94</v>
      </c>
      <c r="K380">
        <v>44</v>
      </c>
      <c r="L380" t="s">
        <v>29</v>
      </c>
      <c r="M380">
        <v>2024</v>
      </c>
    </row>
    <row r="381" spans="1:13" ht="14.5" x14ac:dyDescent="0.35">
      <c r="A381" t="s">
        <v>744</v>
      </c>
      <c r="B381" t="s">
        <v>745</v>
      </c>
      <c r="C381" t="s">
        <v>52</v>
      </c>
      <c r="D381" t="s">
        <v>224</v>
      </c>
      <c r="E381" t="s">
        <v>32</v>
      </c>
      <c r="F381">
        <v>33</v>
      </c>
      <c r="G381">
        <v>4.3499999999999996</v>
      </c>
      <c r="H381">
        <v>89</v>
      </c>
      <c r="I381">
        <v>77</v>
      </c>
      <c r="J381">
        <v>94</v>
      </c>
      <c r="K381">
        <v>33</v>
      </c>
      <c r="L381" t="s">
        <v>29</v>
      </c>
      <c r="M381">
        <v>2026</v>
      </c>
    </row>
    <row r="382" spans="1:13" ht="14.5" x14ac:dyDescent="0.35">
      <c r="A382" t="s">
        <v>746</v>
      </c>
      <c r="B382" t="s">
        <v>747</v>
      </c>
      <c r="C382" t="s">
        <v>56</v>
      </c>
      <c r="D382" t="s">
        <v>217</v>
      </c>
      <c r="E382" t="s">
        <v>23</v>
      </c>
      <c r="F382">
        <v>49</v>
      </c>
      <c r="G382">
        <v>3.13</v>
      </c>
      <c r="H382">
        <v>73</v>
      </c>
      <c r="I382">
        <v>96</v>
      </c>
      <c r="J382">
        <v>86</v>
      </c>
      <c r="K382">
        <v>34</v>
      </c>
      <c r="L382" t="s">
        <v>66</v>
      </c>
      <c r="M382">
        <v>2026</v>
      </c>
    </row>
    <row r="383" spans="1:13" ht="14.5" x14ac:dyDescent="0.35">
      <c r="A383" t="s">
        <v>748</v>
      </c>
      <c r="B383" t="s">
        <v>585</v>
      </c>
      <c r="C383" t="s">
        <v>52</v>
      </c>
      <c r="D383" t="s">
        <v>195</v>
      </c>
      <c r="E383" t="s">
        <v>23</v>
      </c>
      <c r="F383">
        <v>23</v>
      </c>
      <c r="G383">
        <v>4.2699999999999996</v>
      </c>
      <c r="H383">
        <v>89</v>
      </c>
      <c r="I383">
        <v>61</v>
      </c>
      <c r="J383">
        <v>90</v>
      </c>
      <c r="K383">
        <v>41</v>
      </c>
      <c r="L383" t="s">
        <v>42</v>
      </c>
      <c r="M383">
        <v>2024</v>
      </c>
    </row>
    <row r="384" spans="1:13" ht="14.5" x14ac:dyDescent="0.35">
      <c r="A384" t="s">
        <v>749</v>
      </c>
      <c r="B384" t="s">
        <v>139</v>
      </c>
      <c r="C384" t="s">
        <v>159</v>
      </c>
      <c r="D384" t="s">
        <v>324</v>
      </c>
      <c r="E384" t="s">
        <v>23</v>
      </c>
      <c r="F384">
        <v>56</v>
      </c>
      <c r="G384">
        <v>3.95</v>
      </c>
      <c r="H384">
        <v>86</v>
      </c>
      <c r="I384">
        <v>61</v>
      </c>
      <c r="J384">
        <v>65</v>
      </c>
      <c r="K384">
        <v>19</v>
      </c>
      <c r="L384" t="s">
        <v>42</v>
      </c>
      <c r="M384">
        <v>2025</v>
      </c>
    </row>
    <row r="385" spans="1:13" ht="14.5" x14ac:dyDescent="0.35">
      <c r="A385" t="s">
        <v>750</v>
      </c>
      <c r="B385" t="s">
        <v>751</v>
      </c>
      <c r="C385" t="s">
        <v>36</v>
      </c>
      <c r="D385" t="s">
        <v>62</v>
      </c>
      <c r="E385" t="s">
        <v>23</v>
      </c>
      <c r="F385">
        <v>55</v>
      </c>
      <c r="G385">
        <v>2.62</v>
      </c>
      <c r="H385">
        <v>76</v>
      </c>
      <c r="I385">
        <v>97</v>
      </c>
      <c r="J385">
        <v>85</v>
      </c>
      <c r="K385">
        <v>39</v>
      </c>
      <c r="L385" t="s">
        <v>24</v>
      </c>
      <c r="M385">
        <v>2026</v>
      </c>
    </row>
    <row r="386" spans="1:13" ht="14.5" x14ac:dyDescent="0.35">
      <c r="A386" t="s">
        <v>752</v>
      </c>
      <c r="B386" t="s">
        <v>344</v>
      </c>
      <c r="C386" t="s">
        <v>69</v>
      </c>
      <c r="D386" t="s">
        <v>70</v>
      </c>
      <c r="E386" t="s">
        <v>32</v>
      </c>
      <c r="F386">
        <v>36</v>
      </c>
      <c r="G386">
        <v>4.0599999999999996</v>
      </c>
      <c r="H386">
        <v>98</v>
      </c>
      <c r="I386">
        <v>82</v>
      </c>
      <c r="J386">
        <v>74</v>
      </c>
      <c r="K386">
        <v>17</v>
      </c>
      <c r="L386" t="s">
        <v>29</v>
      </c>
      <c r="M386">
        <v>2024</v>
      </c>
    </row>
    <row r="387" spans="1:13" ht="14.5" x14ac:dyDescent="0.35">
      <c r="A387" t="s">
        <v>753</v>
      </c>
      <c r="B387" t="s">
        <v>574</v>
      </c>
      <c r="C387" t="s">
        <v>40</v>
      </c>
      <c r="D387" t="s">
        <v>41</v>
      </c>
      <c r="E387" t="s">
        <v>23</v>
      </c>
      <c r="F387">
        <v>28</v>
      </c>
      <c r="G387">
        <v>3.06</v>
      </c>
      <c r="H387">
        <v>68</v>
      </c>
      <c r="I387">
        <v>61</v>
      </c>
      <c r="J387">
        <v>99</v>
      </c>
      <c r="K387">
        <v>43</v>
      </c>
      <c r="L387" t="s">
        <v>33</v>
      </c>
      <c r="M387">
        <v>2024</v>
      </c>
    </row>
    <row r="388" spans="1:13" ht="14.5" x14ac:dyDescent="0.35">
      <c r="A388" t="s">
        <v>754</v>
      </c>
      <c r="B388" t="s">
        <v>338</v>
      </c>
      <c r="C388" t="s">
        <v>40</v>
      </c>
      <c r="D388" t="s">
        <v>65</v>
      </c>
      <c r="E388" t="s">
        <v>32</v>
      </c>
      <c r="F388">
        <v>29</v>
      </c>
      <c r="G388">
        <v>3.71</v>
      </c>
      <c r="H388">
        <v>66</v>
      </c>
      <c r="I388">
        <v>80</v>
      </c>
      <c r="J388">
        <v>85</v>
      </c>
      <c r="K388">
        <v>19</v>
      </c>
      <c r="L388" t="s">
        <v>29</v>
      </c>
      <c r="M388">
        <v>2024</v>
      </c>
    </row>
    <row r="389" spans="1:13" ht="14.5" x14ac:dyDescent="0.35">
      <c r="A389" t="s">
        <v>755</v>
      </c>
      <c r="B389" t="s">
        <v>288</v>
      </c>
      <c r="C389" t="s">
        <v>45</v>
      </c>
      <c r="D389" t="s">
        <v>46</v>
      </c>
      <c r="E389" t="s">
        <v>23</v>
      </c>
      <c r="F389">
        <v>55</v>
      </c>
      <c r="G389">
        <v>3.05</v>
      </c>
      <c r="H389">
        <v>89</v>
      </c>
      <c r="I389">
        <v>77</v>
      </c>
      <c r="J389">
        <v>79</v>
      </c>
      <c r="K389">
        <v>18</v>
      </c>
      <c r="L389" t="s">
        <v>42</v>
      </c>
      <c r="M389">
        <v>2024</v>
      </c>
    </row>
    <row r="390" spans="1:13" ht="14.5" x14ac:dyDescent="0.35">
      <c r="A390" t="s">
        <v>756</v>
      </c>
      <c r="B390" t="s">
        <v>757</v>
      </c>
      <c r="C390" t="s">
        <v>36</v>
      </c>
      <c r="D390" t="s">
        <v>62</v>
      </c>
      <c r="E390" t="s">
        <v>23</v>
      </c>
      <c r="F390">
        <v>53</v>
      </c>
      <c r="G390">
        <v>2.58</v>
      </c>
      <c r="H390">
        <v>90</v>
      </c>
      <c r="I390">
        <v>67</v>
      </c>
      <c r="J390">
        <v>89</v>
      </c>
      <c r="K390">
        <v>6</v>
      </c>
      <c r="L390" t="s">
        <v>24</v>
      </c>
      <c r="M390">
        <v>2026</v>
      </c>
    </row>
    <row r="391" spans="1:13" ht="14.5" x14ac:dyDescent="0.35">
      <c r="A391" t="s">
        <v>758</v>
      </c>
      <c r="B391" t="s">
        <v>759</v>
      </c>
      <c r="C391" t="s">
        <v>52</v>
      </c>
      <c r="D391" t="s">
        <v>498</v>
      </c>
      <c r="E391" t="s">
        <v>32</v>
      </c>
      <c r="F391">
        <v>29</v>
      </c>
      <c r="G391">
        <v>4.59</v>
      </c>
      <c r="H391">
        <v>75</v>
      </c>
      <c r="I391">
        <v>84</v>
      </c>
      <c r="J391">
        <v>68</v>
      </c>
      <c r="K391">
        <v>33</v>
      </c>
      <c r="L391" t="s">
        <v>24</v>
      </c>
      <c r="M391">
        <v>2025</v>
      </c>
    </row>
    <row r="392" spans="1:13" ht="14.5" x14ac:dyDescent="0.35">
      <c r="A392" t="s">
        <v>760</v>
      </c>
      <c r="B392" t="s">
        <v>699</v>
      </c>
      <c r="C392" t="s">
        <v>69</v>
      </c>
      <c r="D392" t="s">
        <v>70</v>
      </c>
      <c r="E392" t="s">
        <v>23</v>
      </c>
      <c r="F392">
        <v>30</v>
      </c>
      <c r="G392">
        <v>2.76</v>
      </c>
      <c r="H392">
        <v>86</v>
      </c>
      <c r="I392">
        <v>97</v>
      </c>
      <c r="J392">
        <v>72</v>
      </c>
      <c r="K392">
        <v>10</v>
      </c>
      <c r="L392" t="s">
        <v>29</v>
      </c>
      <c r="M392">
        <v>2026</v>
      </c>
    </row>
    <row r="393" spans="1:13" ht="14.5" x14ac:dyDescent="0.35">
      <c r="A393" t="s">
        <v>761</v>
      </c>
      <c r="B393" t="s">
        <v>762</v>
      </c>
      <c r="C393" t="s">
        <v>56</v>
      </c>
      <c r="D393" t="s">
        <v>217</v>
      </c>
      <c r="E393" t="s">
        <v>32</v>
      </c>
      <c r="F393">
        <v>26</v>
      </c>
      <c r="G393">
        <v>4.76</v>
      </c>
      <c r="H393">
        <v>95</v>
      </c>
      <c r="I393">
        <v>67</v>
      </c>
      <c r="J393">
        <v>75</v>
      </c>
      <c r="K393">
        <v>53</v>
      </c>
      <c r="L393" t="s">
        <v>29</v>
      </c>
      <c r="M393">
        <v>2024</v>
      </c>
    </row>
    <row r="394" spans="1:13" ht="14.5" x14ac:dyDescent="0.35">
      <c r="A394" t="s">
        <v>763</v>
      </c>
      <c r="B394" t="s">
        <v>535</v>
      </c>
      <c r="C394" t="s">
        <v>40</v>
      </c>
      <c r="D394" t="s">
        <v>65</v>
      </c>
      <c r="E394" t="s">
        <v>23</v>
      </c>
      <c r="F394">
        <v>41</v>
      </c>
      <c r="G394">
        <v>4.83</v>
      </c>
      <c r="H394">
        <v>100</v>
      </c>
      <c r="I394">
        <v>82</v>
      </c>
      <c r="J394">
        <v>85</v>
      </c>
      <c r="K394">
        <v>31</v>
      </c>
      <c r="L394" t="s">
        <v>29</v>
      </c>
      <c r="M394">
        <v>2024</v>
      </c>
    </row>
    <row r="395" spans="1:13" ht="14.5" x14ac:dyDescent="0.35">
      <c r="A395" t="s">
        <v>764</v>
      </c>
      <c r="B395" t="s">
        <v>765</v>
      </c>
      <c r="C395" t="s">
        <v>108</v>
      </c>
      <c r="D395" t="s">
        <v>126</v>
      </c>
      <c r="E395" t="s">
        <v>32</v>
      </c>
      <c r="F395">
        <v>55</v>
      </c>
      <c r="G395">
        <v>4.96</v>
      </c>
      <c r="H395">
        <v>94</v>
      </c>
      <c r="I395">
        <v>83</v>
      </c>
      <c r="J395">
        <v>95</v>
      </c>
      <c r="K395">
        <v>21</v>
      </c>
      <c r="L395" t="s">
        <v>66</v>
      </c>
      <c r="M395">
        <v>2024</v>
      </c>
    </row>
    <row r="396" spans="1:13" ht="14.5" x14ac:dyDescent="0.35">
      <c r="A396" t="s">
        <v>766</v>
      </c>
      <c r="B396" t="s">
        <v>767</v>
      </c>
      <c r="C396" t="s">
        <v>108</v>
      </c>
      <c r="D396" t="s">
        <v>126</v>
      </c>
      <c r="E396" t="s">
        <v>23</v>
      </c>
      <c r="F396">
        <v>39</v>
      </c>
      <c r="G396">
        <v>4.8499999999999996</v>
      </c>
      <c r="H396">
        <v>63</v>
      </c>
      <c r="I396">
        <v>60</v>
      </c>
      <c r="J396">
        <v>89</v>
      </c>
      <c r="K396">
        <v>56</v>
      </c>
      <c r="L396" t="s">
        <v>24</v>
      </c>
      <c r="M396">
        <v>2025</v>
      </c>
    </row>
    <row r="397" spans="1:13" ht="14.5" x14ac:dyDescent="0.35">
      <c r="A397" t="s">
        <v>768</v>
      </c>
      <c r="B397" t="s">
        <v>769</v>
      </c>
      <c r="C397" t="s">
        <v>45</v>
      </c>
      <c r="D397" t="s">
        <v>239</v>
      </c>
      <c r="E397" t="s">
        <v>23</v>
      </c>
      <c r="F397">
        <v>24</v>
      </c>
      <c r="G397">
        <v>4.8899999999999997</v>
      </c>
      <c r="H397">
        <v>68</v>
      </c>
      <c r="I397">
        <v>82</v>
      </c>
      <c r="J397">
        <v>88</v>
      </c>
      <c r="K397">
        <v>24</v>
      </c>
      <c r="L397" t="s">
        <v>33</v>
      </c>
      <c r="M397">
        <v>2025</v>
      </c>
    </row>
    <row r="398" spans="1:13" ht="14.5" x14ac:dyDescent="0.35">
      <c r="A398" t="s">
        <v>770</v>
      </c>
      <c r="B398" t="s">
        <v>765</v>
      </c>
      <c r="C398" t="s">
        <v>52</v>
      </c>
      <c r="D398" t="s">
        <v>176</v>
      </c>
      <c r="E398" t="s">
        <v>32</v>
      </c>
      <c r="F398">
        <v>49</v>
      </c>
      <c r="G398">
        <v>4.8499999999999996</v>
      </c>
      <c r="H398">
        <v>81</v>
      </c>
      <c r="I398">
        <v>74</v>
      </c>
      <c r="J398">
        <v>70</v>
      </c>
      <c r="K398">
        <v>46</v>
      </c>
      <c r="L398" t="s">
        <v>24</v>
      </c>
      <c r="M398">
        <v>2025</v>
      </c>
    </row>
    <row r="399" spans="1:13" ht="14.5" x14ac:dyDescent="0.35">
      <c r="A399" t="s">
        <v>771</v>
      </c>
      <c r="B399" t="s">
        <v>772</v>
      </c>
      <c r="C399" t="s">
        <v>159</v>
      </c>
      <c r="D399" t="s">
        <v>269</v>
      </c>
      <c r="E399" t="s">
        <v>32</v>
      </c>
      <c r="F399">
        <v>38</v>
      </c>
      <c r="G399">
        <v>2.2400000000000002</v>
      </c>
      <c r="H399">
        <v>79</v>
      </c>
      <c r="I399">
        <v>80</v>
      </c>
      <c r="J399">
        <v>67</v>
      </c>
      <c r="K399">
        <v>14</v>
      </c>
      <c r="L399" t="s">
        <v>29</v>
      </c>
      <c r="M399">
        <v>2024</v>
      </c>
    </row>
    <row r="400" spans="1:13" ht="14.5" x14ac:dyDescent="0.35">
      <c r="A400" t="s">
        <v>773</v>
      </c>
      <c r="B400" t="s">
        <v>774</v>
      </c>
      <c r="C400" t="s">
        <v>21</v>
      </c>
      <c r="D400" t="s">
        <v>163</v>
      </c>
      <c r="E400" t="s">
        <v>32</v>
      </c>
      <c r="F400">
        <v>24</v>
      </c>
      <c r="G400">
        <v>3.78</v>
      </c>
      <c r="H400">
        <v>70</v>
      </c>
      <c r="I400">
        <v>93</v>
      </c>
      <c r="J400">
        <v>74</v>
      </c>
      <c r="K400">
        <v>13</v>
      </c>
      <c r="L400" t="s">
        <v>24</v>
      </c>
      <c r="M400">
        <v>2024</v>
      </c>
    </row>
    <row r="401" spans="1:13" ht="14.5" x14ac:dyDescent="0.35">
      <c r="A401" t="s">
        <v>775</v>
      </c>
      <c r="B401" t="s">
        <v>776</v>
      </c>
      <c r="C401" t="s">
        <v>56</v>
      </c>
      <c r="D401" t="s">
        <v>79</v>
      </c>
      <c r="E401" t="s">
        <v>32</v>
      </c>
      <c r="F401">
        <v>21</v>
      </c>
      <c r="G401">
        <v>2.37</v>
      </c>
      <c r="H401">
        <v>75</v>
      </c>
      <c r="I401">
        <v>78</v>
      </c>
      <c r="J401">
        <v>88</v>
      </c>
      <c r="K401">
        <v>44</v>
      </c>
      <c r="L401" t="s">
        <v>24</v>
      </c>
      <c r="M401">
        <v>2024</v>
      </c>
    </row>
    <row r="402" spans="1:13" ht="14.5" x14ac:dyDescent="0.35">
      <c r="A402" t="s">
        <v>777</v>
      </c>
      <c r="B402" t="s">
        <v>81</v>
      </c>
      <c r="C402" t="s">
        <v>45</v>
      </c>
      <c r="D402" t="s">
        <v>234</v>
      </c>
      <c r="E402" t="s">
        <v>23</v>
      </c>
      <c r="F402">
        <v>21</v>
      </c>
      <c r="G402">
        <v>3.37</v>
      </c>
      <c r="H402">
        <v>73</v>
      </c>
      <c r="I402">
        <v>93</v>
      </c>
      <c r="J402">
        <v>74</v>
      </c>
      <c r="K402">
        <v>52</v>
      </c>
      <c r="L402" t="s">
        <v>29</v>
      </c>
      <c r="M402">
        <v>2025</v>
      </c>
    </row>
    <row r="403" spans="1:13" ht="14.5" x14ac:dyDescent="0.35">
      <c r="A403" t="s">
        <v>778</v>
      </c>
      <c r="B403" t="s">
        <v>779</v>
      </c>
      <c r="C403" t="s">
        <v>56</v>
      </c>
      <c r="D403" t="s">
        <v>112</v>
      </c>
      <c r="E403" t="s">
        <v>23</v>
      </c>
      <c r="F403">
        <v>25</v>
      </c>
      <c r="G403">
        <v>4.66</v>
      </c>
      <c r="H403">
        <v>69</v>
      </c>
      <c r="I403">
        <v>70</v>
      </c>
      <c r="J403">
        <v>66</v>
      </c>
      <c r="K403">
        <v>36</v>
      </c>
      <c r="L403" t="s">
        <v>29</v>
      </c>
      <c r="M403">
        <v>2025</v>
      </c>
    </row>
    <row r="404" spans="1:13" ht="14.5" x14ac:dyDescent="0.35">
      <c r="A404" t="s">
        <v>780</v>
      </c>
      <c r="B404" t="s">
        <v>152</v>
      </c>
      <c r="C404" t="s">
        <v>21</v>
      </c>
      <c r="D404" t="s">
        <v>163</v>
      </c>
      <c r="E404" t="s">
        <v>23</v>
      </c>
      <c r="F404">
        <v>40</v>
      </c>
      <c r="G404">
        <v>3.33</v>
      </c>
      <c r="H404">
        <v>85</v>
      </c>
      <c r="I404">
        <v>76</v>
      </c>
      <c r="J404">
        <v>85</v>
      </c>
      <c r="K404">
        <v>6</v>
      </c>
      <c r="L404" t="s">
        <v>33</v>
      </c>
      <c r="M404">
        <v>2025</v>
      </c>
    </row>
    <row r="405" spans="1:13" ht="14.5" x14ac:dyDescent="0.35">
      <c r="A405" t="s">
        <v>781</v>
      </c>
      <c r="B405" t="s">
        <v>782</v>
      </c>
      <c r="C405" t="s">
        <v>159</v>
      </c>
      <c r="D405" t="s">
        <v>160</v>
      </c>
      <c r="E405" t="s">
        <v>32</v>
      </c>
      <c r="F405">
        <v>31</v>
      </c>
      <c r="G405">
        <v>2.2799999999999998</v>
      </c>
      <c r="H405">
        <v>92</v>
      </c>
      <c r="I405">
        <v>62</v>
      </c>
      <c r="J405">
        <v>74</v>
      </c>
      <c r="K405">
        <v>31</v>
      </c>
      <c r="L405" t="s">
        <v>33</v>
      </c>
      <c r="M405">
        <v>2026</v>
      </c>
    </row>
    <row r="406" spans="1:13" ht="14.5" x14ac:dyDescent="0.35">
      <c r="A406" t="s">
        <v>783</v>
      </c>
      <c r="B406" t="s">
        <v>784</v>
      </c>
      <c r="C406" t="s">
        <v>159</v>
      </c>
      <c r="D406" t="s">
        <v>324</v>
      </c>
      <c r="E406" t="s">
        <v>23</v>
      </c>
      <c r="F406">
        <v>34</v>
      </c>
      <c r="G406">
        <v>3.26</v>
      </c>
      <c r="H406">
        <v>100</v>
      </c>
      <c r="I406">
        <v>93</v>
      </c>
      <c r="J406">
        <v>75</v>
      </c>
      <c r="K406">
        <v>15</v>
      </c>
      <c r="L406" t="s">
        <v>33</v>
      </c>
      <c r="M406">
        <v>2024</v>
      </c>
    </row>
    <row r="407" spans="1:13" ht="14.5" x14ac:dyDescent="0.35">
      <c r="A407" t="s">
        <v>785</v>
      </c>
      <c r="B407" t="s">
        <v>104</v>
      </c>
      <c r="C407" t="s">
        <v>45</v>
      </c>
      <c r="D407" t="s">
        <v>239</v>
      </c>
      <c r="E407" t="s">
        <v>23</v>
      </c>
      <c r="F407">
        <v>48</v>
      </c>
      <c r="G407">
        <v>3.18</v>
      </c>
      <c r="H407">
        <v>76</v>
      </c>
      <c r="I407">
        <v>65</v>
      </c>
      <c r="J407">
        <v>91</v>
      </c>
      <c r="K407">
        <v>9</v>
      </c>
      <c r="L407" t="s">
        <v>33</v>
      </c>
      <c r="M407">
        <v>2025</v>
      </c>
    </row>
    <row r="408" spans="1:13" ht="14.5" x14ac:dyDescent="0.35">
      <c r="A408" t="s">
        <v>786</v>
      </c>
      <c r="B408" t="s">
        <v>396</v>
      </c>
      <c r="C408" t="s">
        <v>21</v>
      </c>
      <c r="D408" t="s">
        <v>133</v>
      </c>
      <c r="E408" t="s">
        <v>23</v>
      </c>
      <c r="F408">
        <v>22</v>
      </c>
      <c r="G408">
        <v>3.5</v>
      </c>
      <c r="H408">
        <v>88</v>
      </c>
      <c r="I408">
        <v>94</v>
      </c>
      <c r="J408">
        <v>93</v>
      </c>
      <c r="K408">
        <v>13</v>
      </c>
      <c r="L408" t="s">
        <v>66</v>
      </c>
      <c r="M408">
        <v>2026</v>
      </c>
    </row>
    <row r="409" spans="1:13" ht="14.5" x14ac:dyDescent="0.35">
      <c r="A409" t="s">
        <v>787</v>
      </c>
      <c r="B409" t="s">
        <v>788</v>
      </c>
      <c r="C409" t="s">
        <v>27</v>
      </c>
      <c r="D409" t="s">
        <v>87</v>
      </c>
      <c r="E409" t="s">
        <v>23</v>
      </c>
      <c r="F409">
        <v>39</v>
      </c>
      <c r="G409">
        <v>2.2000000000000002</v>
      </c>
      <c r="H409">
        <v>92</v>
      </c>
      <c r="I409">
        <v>90</v>
      </c>
      <c r="J409">
        <v>81</v>
      </c>
      <c r="K409">
        <v>13</v>
      </c>
      <c r="L409" t="s">
        <v>42</v>
      </c>
      <c r="M409">
        <v>2026</v>
      </c>
    </row>
    <row r="410" spans="1:13" ht="14.5" x14ac:dyDescent="0.35">
      <c r="A410" t="s">
        <v>789</v>
      </c>
      <c r="B410" t="s">
        <v>790</v>
      </c>
      <c r="C410" t="s">
        <v>21</v>
      </c>
      <c r="D410" t="s">
        <v>133</v>
      </c>
      <c r="E410" t="s">
        <v>23</v>
      </c>
      <c r="F410">
        <v>25</v>
      </c>
      <c r="G410">
        <v>3.71</v>
      </c>
      <c r="H410">
        <v>68</v>
      </c>
      <c r="I410">
        <v>90</v>
      </c>
      <c r="J410">
        <v>96</v>
      </c>
      <c r="K410">
        <v>52</v>
      </c>
      <c r="L410" t="s">
        <v>66</v>
      </c>
      <c r="M410">
        <v>2024</v>
      </c>
    </row>
    <row r="411" spans="1:13" ht="14.5" x14ac:dyDescent="0.35">
      <c r="A411" t="s">
        <v>791</v>
      </c>
      <c r="B411" t="s">
        <v>742</v>
      </c>
      <c r="C411" t="s">
        <v>159</v>
      </c>
      <c r="D411" t="s">
        <v>324</v>
      </c>
      <c r="E411" t="s">
        <v>23</v>
      </c>
      <c r="F411">
        <v>44</v>
      </c>
      <c r="G411">
        <v>2.5499999999999998</v>
      </c>
      <c r="H411">
        <v>94</v>
      </c>
      <c r="I411">
        <v>68</v>
      </c>
      <c r="J411">
        <v>74</v>
      </c>
      <c r="K411">
        <v>19</v>
      </c>
      <c r="L411" t="s">
        <v>33</v>
      </c>
      <c r="M411">
        <v>2026</v>
      </c>
    </row>
    <row r="412" spans="1:13" ht="14.5" x14ac:dyDescent="0.35">
      <c r="A412" t="s">
        <v>792</v>
      </c>
      <c r="B412" t="s">
        <v>557</v>
      </c>
      <c r="C412" t="s">
        <v>21</v>
      </c>
      <c r="D412" t="s">
        <v>22</v>
      </c>
      <c r="E412" t="s">
        <v>32</v>
      </c>
      <c r="F412">
        <v>21</v>
      </c>
      <c r="G412">
        <v>2.4700000000000002</v>
      </c>
      <c r="H412">
        <v>87</v>
      </c>
      <c r="I412">
        <v>78</v>
      </c>
      <c r="J412">
        <v>71</v>
      </c>
      <c r="K412">
        <v>20</v>
      </c>
      <c r="L412" t="s">
        <v>29</v>
      </c>
      <c r="M412">
        <v>2025</v>
      </c>
    </row>
    <row r="413" spans="1:13" ht="14.5" x14ac:dyDescent="0.35">
      <c r="A413" t="s">
        <v>793</v>
      </c>
      <c r="B413" t="s">
        <v>794</v>
      </c>
      <c r="C413" t="s">
        <v>56</v>
      </c>
      <c r="D413" t="s">
        <v>57</v>
      </c>
      <c r="E413" t="s">
        <v>23</v>
      </c>
      <c r="F413">
        <v>48</v>
      </c>
      <c r="G413">
        <v>2.72</v>
      </c>
      <c r="H413">
        <v>81</v>
      </c>
      <c r="I413">
        <v>81</v>
      </c>
      <c r="J413">
        <v>94</v>
      </c>
      <c r="K413">
        <v>47</v>
      </c>
      <c r="L413" t="s">
        <v>66</v>
      </c>
      <c r="M413">
        <v>2026</v>
      </c>
    </row>
    <row r="414" spans="1:13" ht="14.5" x14ac:dyDescent="0.35">
      <c r="A414" t="s">
        <v>795</v>
      </c>
      <c r="B414" t="s">
        <v>252</v>
      </c>
      <c r="C414" t="s">
        <v>27</v>
      </c>
      <c r="D414" t="s">
        <v>87</v>
      </c>
      <c r="E414" t="s">
        <v>23</v>
      </c>
      <c r="F414">
        <v>26</v>
      </c>
      <c r="G414">
        <v>3.65</v>
      </c>
      <c r="H414">
        <v>79</v>
      </c>
      <c r="I414">
        <v>68</v>
      </c>
      <c r="J414">
        <v>85</v>
      </c>
      <c r="K414">
        <v>32</v>
      </c>
      <c r="L414" t="s">
        <v>42</v>
      </c>
      <c r="M414">
        <v>2026</v>
      </c>
    </row>
    <row r="415" spans="1:13" ht="14.5" x14ac:dyDescent="0.35">
      <c r="A415" t="s">
        <v>796</v>
      </c>
      <c r="B415" t="s">
        <v>797</v>
      </c>
      <c r="C415" t="s">
        <v>159</v>
      </c>
      <c r="D415" t="s">
        <v>187</v>
      </c>
      <c r="E415" t="s">
        <v>23</v>
      </c>
      <c r="F415">
        <v>46</v>
      </c>
      <c r="G415">
        <v>2.61</v>
      </c>
      <c r="H415">
        <v>64</v>
      </c>
      <c r="I415">
        <v>84</v>
      </c>
      <c r="J415">
        <v>68</v>
      </c>
      <c r="K415">
        <v>55</v>
      </c>
      <c r="L415" t="s">
        <v>29</v>
      </c>
      <c r="M415">
        <v>2024</v>
      </c>
    </row>
    <row r="416" spans="1:13" ht="14.5" x14ac:dyDescent="0.35">
      <c r="A416" t="s">
        <v>798</v>
      </c>
      <c r="B416" t="s">
        <v>799</v>
      </c>
      <c r="C416" t="s">
        <v>36</v>
      </c>
      <c r="D416" t="s">
        <v>84</v>
      </c>
      <c r="E416" t="s">
        <v>32</v>
      </c>
      <c r="F416">
        <v>24</v>
      </c>
      <c r="G416">
        <v>2.2400000000000002</v>
      </c>
      <c r="H416">
        <v>64</v>
      </c>
      <c r="I416">
        <v>75</v>
      </c>
      <c r="J416">
        <v>75</v>
      </c>
      <c r="K416">
        <v>30</v>
      </c>
      <c r="L416" t="s">
        <v>42</v>
      </c>
      <c r="M416">
        <v>2024</v>
      </c>
    </row>
    <row r="417" spans="1:13" ht="14.5" x14ac:dyDescent="0.35">
      <c r="A417" t="s">
        <v>800</v>
      </c>
      <c r="B417" t="s">
        <v>801</v>
      </c>
      <c r="C417" t="s">
        <v>21</v>
      </c>
      <c r="D417" t="s">
        <v>153</v>
      </c>
      <c r="E417" t="s">
        <v>32</v>
      </c>
      <c r="F417">
        <v>40</v>
      </c>
      <c r="G417">
        <v>3.8</v>
      </c>
      <c r="H417">
        <v>92</v>
      </c>
      <c r="I417">
        <v>82</v>
      </c>
      <c r="J417">
        <v>77</v>
      </c>
      <c r="K417">
        <v>45</v>
      </c>
      <c r="L417" t="s">
        <v>66</v>
      </c>
      <c r="M417">
        <v>2025</v>
      </c>
    </row>
    <row r="418" spans="1:13" ht="14.5" x14ac:dyDescent="0.35">
      <c r="A418" t="s">
        <v>802</v>
      </c>
      <c r="B418" t="s">
        <v>803</v>
      </c>
      <c r="C418" t="s">
        <v>52</v>
      </c>
      <c r="D418" t="s">
        <v>195</v>
      </c>
      <c r="E418" t="s">
        <v>23</v>
      </c>
      <c r="F418">
        <v>43</v>
      </c>
      <c r="G418">
        <v>3.47</v>
      </c>
      <c r="H418">
        <v>75</v>
      </c>
      <c r="I418">
        <v>89</v>
      </c>
      <c r="J418">
        <v>81</v>
      </c>
      <c r="K418">
        <v>39</v>
      </c>
      <c r="L418" t="s">
        <v>24</v>
      </c>
      <c r="M418">
        <v>2024</v>
      </c>
    </row>
    <row r="419" spans="1:13" ht="14.5" x14ac:dyDescent="0.35">
      <c r="A419" t="s">
        <v>804</v>
      </c>
      <c r="B419" t="s">
        <v>805</v>
      </c>
      <c r="C419" t="s">
        <v>159</v>
      </c>
      <c r="D419" t="s">
        <v>269</v>
      </c>
      <c r="E419" t="s">
        <v>32</v>
      </c>
      <c r="F419">
        <v>38</v>
      </c>
      <c r="G419">
        <v>4.29</v>
      </c>
      <c r="H419">
        <v>94</v>
      </c>
      <c r="I419">
        <v>81</v>
      </c>
      <c r="J419">
        <v>86</v>
      </c>
      <c r="K419">
        <v>16</v>
      </c>
      <c r="L419" t="s">
        <v>42</v>
      </c>
      <c r="M419">
        <v>2025</v>
      </c>
    </row>
    <row r="420" spans="1:13" ht="14.5" x14ac:dyDescent="0.35">
      <c r="A420" t="s">
        <v>806</v>
      </c>
      <c r="B420" t="s">
        <v>92</v>
      </c>
      <c r="C420" t="s">
        <v>36</v>
      </c>
      <c r="D420" t="s">
        <v>62</v>
      </c>
      <c r="E420" t="s">
        <v>32</v>
      </c>
      <c r="F420">
        <v>37</v>
      </c>
      <c r="G420">
        <v>4.46</v>
      </c>
      <c r="H420">
        <v>93</v>
      </c>
      <c r="I420">
        <v>95</v>
      </c>
      <c r="J420">
        <v>94</v>
      </c>
      <c r="K420">
        <v>47</v>
      </c>
      <c r="L420" t="s">
        <v>33</v>
      </c>
      <c r="M420">
        <v>2026</v>
      </c>
    </row>
    <row r="421" spans="1:13" ht="14.5" x14ac:dyDescent="0.35">
      <c r="A421" t="s">
        <v>807</v>
      </c>
      <c r="B421" t="s">
        <v>808</v>
      </c>
      <c r="C421" t="s">
        <v>108</v>
      </c>
      <c r="D421" t="s">
        <v>126</v>
      </c>
      <c r="E421" t="s">
        <v>32</v>
      </c>
      <c r="F421">
        <v>52</v>
      </c>
      <c r="G421">
        <v>4.5999999999999996</v>
      </c>
      <c r="H421">
        <v>95</v>
      </c>
      <c r="I421">
        <v>76</v>
      </c>
      <c r="J421">
        <v>69</v>
      </c>
      <c r="K421">
        <v>55</v>
      </c>
      <c r="L421" t="s">
        <v>42</v>
      </c>
      <c r="M421">
        <v>2025</v>
      </c>
    </row>
    <row r="422" spans="1:13" ht="14.5" x14ac:dyDescent="0.35">
      <c r="A422" t="s">
        <v>809</v>
      </c>
      <c r="B422" t="s">
        <v>229</v>
      </c>
      <c r="C422" t="s">
        <v>36</v>
      </c>
      <c r="D422" t="s">
        <v>37</v>
      </c>
      <c r="E422" t="s">
        <v>32</v>
      </c>
      <c r="F422">
        <v>35</v>
      </c>
      <c r="G422">
        <v>4</v>
      </c>
      <c r="H422">
        <v>96</v>
      </c>
      <c r="I422">
        <v>68</v>
      </c>
      <c r="J422">
        <v>71</v>
      </c>
      <c r="K422">
        <v>19</v>
      </c>
      <c r="L422" t="s">
        <v>24</v>
      </c>
      <c r="M422">
        <v>2024</v>
      </c>
    </row>
    <row r="423" spans="1:13" ht="14.5" x14ac:dyDescent="0.35">
      <c r="A423" t="s">
        <v>810</v>
      </c>
      <c r="B423" t="s">
        <v>811</v>
      </c>
      <c r="C423" t="s">
        <v>69</v>
      </c>
      <c r="D423" t="s">
        <v>105</v>
      </c>
      <c r="E423" t="s">
        <v>23</v>
      </c>
      <c r="F423">
        <v>44</v>
      </c>
      <c r="G423">
        <v>2.54</v>
      </c>
      <c r="H423">
        <v>80</v>
      </c>
      <c r="I423">
        <v>68</v>
      </c>
      <c r="J423">
        <v>87</v>
      </c>
      <c r="K423">
        <v>24</v>
      </c>
      <c r="L423" t="s">
        <v>24</v>
      </c>
      <c r="M423">
        <v>2025</v>
      </c>
    </row>
    <row r="424" spans="1:13" ht="14.5" x14ac:dyDescent="0.35">
      <c r="A424" t="s">
        <v>812</v>
      </c>
      <c r="B424" t="s">
        <v>180</v>
      </c>
      <c r="C424" t="s">
        <v>27</v>
      </c>
      <c r="D424" t="s">
        <v>76</v>
      </c>
      <c r="E424" t="s">
        <v>32</v>
      </c>
      <c r="F424">
        <v>41</v>
      </c>
      <c r="G424">
        <v>3.75</v>
      </c>
      <c r="H424">
        <v>67</v>
      </c>
      <c r="I424">
        <v>92</v>
      </c>
      <c r="J424">
        <v>76</v>
      </c>
      <c r="K424">
        <v>30</v>
      </c>
      <c r="L424" t="s">
        <v>66</v>
      </c>
      <c r="M424">
        <v>2024</v>
      </c>
    </row>
    <row r="425" spans="1:13" ht="14.5" x14ac:dyDescent="0.35">
      <c r="A425" t="s">
        <v>813</v>
      </c>
      <c r="B425" t="s">
        <v>814</v>
      </c>
      <c r="C425" t="s">
        <v>36</v>
      </c>
      <c r="D425" t="s">
        <v>37</v>
      </c>
      <c r="E425" t="s">
        <v>23</v>
      </c>
      <c r="F425">
        <v>28</v>
      </c>
      <c r="G425">
        <v>2.6</v>
      </c>
      <c r="H425">
        <v>76</v>
      </c>
      <c r="I425">
        <v>61</v>
      </c>
      <c r="J425">
        <v>77</v>
      </c>
      <c r="K425">
        <v>51</v>
      </c>
      <c r="L425" t="s">
        <v>42</v>
      </c>
      <c r="M425">
        <v>2026</v>
      </c>
    </row>
    <row r="426" spans="1:13" ht="14.5" x14ac:dyDescent="0.35">
      <c r="A426" t="s">
        <v>815</v>
      </c>
      <c r="B426" t="s">
        <v>816</v>
      </c>
      <c r="C426" t="s">
        <v>159</v>
      </c>
      <c r="D426" t="s">
        <v>482</v>
      </c>
      <c r="E426" t="s">
        <v>32</v>
      </c>
      <c r="F426">
        <v>46</v>
      </c>
      <c r="G426">
        <v>3.88</v>
      </c>
      <c r="H426">
        <v>71</v>
      </c>
      <c r="I426">
        <v>96</v>
      </c>
      <c r="J426">
        <v>98</v>
      </c>
      <c r="K426">
        <v>38</v>
      </c>
      <c r="L426" t="s">
        <v>33</v>
      </c>
      <c r="M426">
        <v>2026</v>
      </c>
    </row>
    <row r="427" spans="1:13" ht="14.5" x14ac:dyDescent="0.35">
      <c r="A427" t="s">
        <v>817</v>
      </c>
      <c r="B427" t="s">
        <v>55</v>
      </c>
      <c r="C427" t="s">
        <v>36</v>
      </c>
      <c r="D427" t="s">
        <v>253</v>
      </c>
      <c r="E427" t="s">
        <v>32</v>
      </c>
      <c r="F427">
        <v>56</v>
      </c>
      <c r="G427">
        <v>3.22</v>
      </c>
      <c r="H427">
        <v>76</v>
      </c>
      <c r="I427">
        <v>93</v>
      </c>
      <c r="J427">
        <v>75</v>
      </c>
      <c r="K427">
        <v>28</v>
      </c>
      <c r="L427" t="s">
        <v>29</v>
      </c>
      <c r="M427">
        <v>2024</v>
      </c>
    </row>
    <row r="428" spans="1:13" ht="14.5" x14ac:dyDescent="0.35">
      <c r="A428" t="s">
        <v>818</v>
      </c>
      <c r="B428" t="s">
        <v>128</v>
      </c>
      <c r="C428" t="s">
        <v>36</v>
      </c>
      <c r="D428" t="s">
        <v>62</v>
      </c>
      <c r="E428" t="s">
        <v>23</v>
      </c>
      <c r="F428">
        <v>36</v>
      </c>
      <c r="G428">
        <v>4.1100000000000003</v>
      </c>
      <c r="H428">
        <v>76</v>
      </c>
      <c r="I428">
        <v>69</v>
      </c>
      <c r="J428">
        <v>99</v>
      </c>
      <c r="K428">
        <v>44</v>
      </c>
      <c r="L428" t="s">
        <v>24</v>
      </c>
      <c r="M428">
        <v>2024</v>
      </c>
    </row>
    <row r="429" spans="1:13" ht="14.5" x14ac:dyDescent="0.35">
      <c r="A429" t="s">
        <v>819</v>
      </c>
      <c r="B429" t="s">
        <v>820</v>
      </c>
      <c r="C429" t="s">
        <v>69</v>
      </c>
      <c r="D429" t="s">
        <v>319</v>
      </c>
      <c r="E429" t="s">
        <v>32</v>
      </c>
      <c r="F429">
        <v>30</v>
      </c>
      <c r="G429">
        <v>2.98</v>
      </c>
      <c r="H429">
        <v>87</v>
      </c>
      <c r="I429">
        <v>78</v>
      </c>
      <c r="J429">
        <v>89</v>
      </c>
      <c r="K429">
        <v>38</v>
      </c>
      <c r="L429" t="s">
        <v>24</v>
      </c>
      <c r="M429">
        <v>2025</v>
      </c>
    </row>
    <row r="430" spans="1:13" ht="14.5" x14ac:dyDescent="0.35">
      <c r="A430" t="s">
        <v>821</v>
      </c>
      <c r="B430" t="s">
        <v>822</v>
      </c>
      <c r="C430" t="s">
        <v>27</v>
      </c>
      <c r="D430" t="s">
        <v>73</v>
      </c>
      <c r="E430" t="s">
        <v>32</v>
      </c>
      <c r="F430">
        <v>42</v>
      </c>
      <c r="G430">
        <v>3.51</v>
      </c>
      <c r="H430">
        <v>70</v>
      </c>
      <c r="I430">
        <v>79</v>
      </c>
      <c r="J430">
        <v>65</v>
      </c>
      <c r="K430">
        <v>9</v>
      </c>
      <c r="L430" t="s">
        <v>42</v>
      </c>
      <c r="M430">
        <v>2026</v>
      </c>
    </row>
    <row r="431" spans="1:13" ht="14.5" x14ac:dyDescent="0.35">
      <c r="A431" t="s">
        <v>823</v>
      </c>
      <c r="B431" t="s">
        <v>634</v>
      </c>
      <c r="C431" t="s">
        <v>21</v>
      </c>
      <c r="D431" t="s">
        <v>133</v>
      </c>
      <c r="E431" t="s">
        <v>32</v>
      </c>
      <c r="F431">
        <v>47</v>
      </c>
      <c r="G431">
        <v>3.76</v>
      </c>
      <c r="H431">
        <v>81</v>
      </c>
      <c r="I431">
        <v>73</v>
      </c>
      <c r="J431">
        <v>69</v>
      </c>
      <c r="K431">
        <v>8</v>
      </c>
      <c r="L431" t="s">
        <v>24</v>
      </c>
      <c r="M431">
        <v>2024</v>
      </c>
    </row>
    <row r="432" spans="1:13" ht="14.5" x14ac:dyDescent="0.35">
      <c r="A432" t="s">
        <v>824</v>
      </c>
      <c r="B432" t="s">
        <v>438</v>
      </c>
      <c r="C432" t="s">
        <v>21</v>
      </c>
      <c r="D432" t="s">
        <v>22</v>
      </c>
      <c r="E432" t="s">
        <v>32</v>
      </c>
      <c r="F432">
        <v>54</v>
      </c>
      <c r="G432">
        <v>2.6</v>
      </c>
      <c r="H432">
        <v>72</v>
      </c>
      <c r="I432">
        <v>75</v>
      </c>
      <c r="J432">
        <v>90</v>
      </c>
      <c r="K432">
        <v>55</v>
      </c>
      <c r="L432" t="s">
        <v>29</v>
      </c>
      <c r="M432">
        <v>2026</v>
      </c>
    </row>
    <row r="433" spans="1:13" ht="14.5" x14ac:dyDescent="0.35">
      <c r="A433" t="s">
        <v>825</v>
      </c>
      <c r="B433" t="s">
        <v>599</v>
      </c>
      <c r="C433" t="s">
        <v>108</v>
      </c>
      <c r="D433" t="s">
        <v>114</v>
      </c>
      <c r="E433" t="s">
        <v>32</v>
      </c>
      <c r="F433">
        <v>53</v>
      </c>
      <c r="G433">
        <v>3.37</v>
      </c>
      <c r="H433">
        <v>99</v>
      </c>
      <c r="I433">
        <v>72</v>
      </c>
      <c r="J433">
        <v>80</v>
      </c>
      <c r="K433">
        <v>58</v>
      </c>
      <c r="L433" t="s">
        <v>42</v>
      </c>
      <c r="M433">
        <v>2024</v>
      </c>
    </row>
    <row r="434" spans="1:13" ht="14.5" x14ac:dyDescent="0.35">
      <c r="A434" t="s">
        <v>826</v>
      </c>
      <c r="B434" t="s">
        <v>827</v>
      </c>
      <c r="C434" t="s">
        <v>21</v>
      </c>
      <c r="D434" t="s">
        <v>49</v>
      </c>
      <c r="E434" t="s">
        <v>32</v>
      </c>
      <c r="F434">
        <v>48</v>
      </c>
      <c r="G434">
        <v>2.83</v>
      </c>
      <c r="H434">
        <v>79</v>
      </c>
      <c r="I434">
        <v>68</v>
      </c>
      <c r="J434">
        <v>90</v>
      </c>
      <c r="K434">
        <v>12</v>
      </c>
      <c r="L434" t="s">
        <v>66</v>
      </c>
      <c r="M434">
        <v>2026</v>
      </c>
    </row>
    <row r="435" spans="1:13" ht="14.5" x14ac:dyDescent="0.35">
      <c r="A435" t="s">
        <v>828</v>
      </c>
      <c r="B435" t="s">
        <v>369</v>
      </c>
      <c r="C435" t="s">
        <v>40</v>
      </c>
      <c r="D435" t="s">
        <v>65</v>
      </c>
      <c r="E435" t="s">
        <v>23</v>
      </c>
      <c r="F435">
        <v>41</v>
      </c>
      <c r="G435">
        <v>2.63</v>
      </c>
      <c r="H435">
        <v>90</v>
      </c>
      <c r="I435">
        <v>69</v>
      </c>
      <c r="J435">
        <v>82</v>
      </c>
      <c r="K435">
        <v>53</v>
      </c>
      <c r="L435" t="s">
        <v>42</v>
      </c>
      <c r="M435">
        <v>2024</v>
      </c>
    </row>
    <row r="436" spans="1:13" ht="14.5" x14ac:dyDescent="0.35">
      <c r="A436" t="s">
        <v>829</v>
      </c>
      <c r="B436" t="s">
        <v>830</v>
      </c>
      <c r="C436" t="s">
        <v>69</v>
      </c>
      <c r="D436" t="s">
        <v>117</v>
      </c>
      <c r="E436" t="s">
        <v>32</v>
      </c>
      <c r="F436">
        <v>30</v>
      </c>
      <c r="G436">
        <v>3.98</v>
      </c>
      <c r="H436">
        <v>95</v>
      </c>
      <c r="I436">
        <v>79</v>
      </c>
      <c r="J436">
        <v>98</v>
      </c>
      <c r="K436">
        <v>11</v>
      </c>
      <c r="L436" t="s">
        <v>66</v>
      </c>
      <c r="M436">
        <v>2025</v>
      </c>
    </row>
    <row r="437" spans="1:13" ht="14.5" x14ac:dyDescent="0.35">
      <c r="A437" t="s">
        <v>831</v>
      </c>
      <c r="B437" t="s">
        <v>832</v>
      </c>
      <c r="C437" t="s">
        <v>40</v>
      </c>
      <c r="D437" t="s">
        <v>65</v>
      </c>
      <c r="E437" t="s">
        <v>32</v>
      </c>
      <c r="F437">
        <v>55</v>
      </c>
      <c r="G437">
        <v>2.85</v>
      </c>
      <c r="H437">
        <v>90</v>
      </c>
      <c r="I437">
        <v>79</v>
      </c>
      <c r="J437">
        <v>72</v>
      </c>
      <c r="K437">
        <v>39</v>
      </c>
      <c r="L437" t="s">
        <v>66</v>
      </c>
      <c r="M437">
        <v>2025</v>
      </c>
    </row>
    <row r="438" spans="1:13" ht="14.5" x14ac:dyDescent="0.35">
      <c r="A438" t="s">
        <v>833</v>
      </c>
      <c r="B438" t="s">
        <v>147</v>
      </c>
      <c r="C438" t="s">
        <v>108</v>
      </c>
      <c r="D438" t="s">
        <v>126</v>
      </c>
      <c r="E438" t="s">
        <v>32</v>
      </c>
      <c r="F438">
        <v>26</v>
      </c>
      <c r="G438">
        <v>2.63</v>
      </c>
      <c r="H438">
        <v>83</v>
      </c>
      <c r="I438">
        <v>77</v>
      </c>
      <c r="J438">
        <v>67</v>
      </c>
      <c r="K438">
        <v>29</v>
      </c>
      <c r="L438" t="s">
        <v>42</v>
      </c>
      <c r="M438">
        <v>2024</v>
      </c>
    </row>
    <row r="439" spans="1:13" ht="14.5" x14ac:dyDescent="0.35">
      <c r="A439" t="s">
        <v>834</v>
      </c>
      <c r="B439" t="s">
        <v>377</v>
      </c>
      <c r="C439" t="s">
        <v>52</v>
      </c>
      <c r="D439" t="s">
        <v>195</v>
      </c>
      <c r="E439" t="s">
        <v>23</v>
      </c>
      <c r="F439">
        <v>30</v>
      </c>
      <c r="G439">
        <v>3.96</v>
      </c>
      <c r="H439">
        <v>89</v>
      </c>
      <c r="I439">
        <v>97</v>
      </c>
      <c r="J439">
        <v>75</v>
      </c>
      <c r="K439">
        <v>50</v>
      </c>
      <c r="L439" t="s">
        <v>24</v>
      </c>
      <c r="M439">
        <v>2025</v>
      </c>
    </row>
    <row r="440" spans="1:13" ht="14.5" x14ac:dyDescent="0.35">
      <c r="A440" t="s">
        <v>835</v>
      </c>
      <c r="B440" t="s">
        <v>373</v>
      </c>
      <c r="C440" t="s">
        <v>56</v>
      </c>
      <c r="D440" t="s">
        <v>79</v>
      </c>
      <c r="E440" t="s">
        <v>23</v>
      </c>
      <c r="F440">
        <v>37</v>
      </c>
      <c r="G440">
        <v>2.83</v>
      </c>
      <c r="H440">
        <v>68</v>
      </c>
      <c r="I440">
        <v>65</v>
      </c>
      <c r="J440">
        <v>88</v>
      </c>
      <c r="K440">
        <v>20</v>
      </c>
      <c r="L440" t="s">
        <v>24</v>
      </c>
      <c r="M440">
        <v>2026</v>
      </c>
    </row>
    <row r="441" spans="1:13" ht="14.5" x14ac:dyDescent="0.35">
      <c r="A441" t="s">
        <v>836</v>
      </c>
      <c r="B441" t="s">
        <v>837</v>
      </c>
      <c r="C441" t="s">
        <v>27</v>
      </c>
      <c r="D441" t="s">
        <v>87</v>
      </c>
      <c r="E441" t="s">
        <v>32</v>
      </c>
      <c r="F441">
        <v>50</v>
      </c>
      <c r="G441">
        <v>4.9000000000000004</v>
      </c>
      <c r="H441">
        <v>88</v>
      </c>
      <c r="I441">
        <v>63</v>
      </c>
      <c r="J441">
        <v>71</v>
      </c>
      <c r="K441">
        <v>60</v>
      </c>
      <c r="L441" t="s">
        <v>42</v>
      </c>
      <c r="M441">
        <v>2026</v>
      </c>
    </row>
    <row r="442" spans="1:13" ht="14.5" x14ac:dyDescent="0.35">
      <c r="A442" t="s">
        <v>838</v>
      </c>
      <c r="B442" t="s">
        <v>839</v>
      </c>
      <c r="C442" t="s">
        <v>52</v>
      </c>
      <c r="D442" t="s">
        <v>195</v>
      </c>
      <c r="E442" t="s">
        <v>32</v>
      </c>
      <c r="F442">
        <v>33</v>
      </c>
      <c r="G442">
        <v>4.25</v>
      </c>
      <c r="H442">
        <v>78</v>
      </c>
      <c r="I442">
        <v>100</v>
      </c>
      <c r="J442">
        <v>97</v>
      </c>
      <c r="K442">
        <v>26</v>
      </c>
      <c r="L442" t="s">
        <v>24</v>
      </c>
      <c r="M442">
        <v>2026</v>
      </c>
    </row>
    <row r="443" spans="1:13" ht="14.5" x14ac:dyDescent="0.35">
      <c r="A443" t="s">
        <v>840</v>
      </c>
      <c r="B443" t="s">
        <v>522</v>
      </c>
      <c r="C443" t="s">
        <v>45</v>
      </c>
      <c r="D443" t="s">
        <v>46</v>
      </c>
      <c r="E443" t="s">
        <v>32</v>
      </c>
      <c r="F443">
        <v>22</v>
      </c>
      <c r="G443">
        <v>4.54</v>
      </c>
      <c r="H443">
        <v>84</v>
      </c>
      <c r="I443">
        <v>65</v>
      </c>
      <c r="J443">
        <v>65</v>
      </c>
      <c r="K443">
        <v>11</v>
      </c>
      <c r="L443" t="s">
        <v>24</v>
      </c>
      <c r="M443">
        <v>2024</v>
      </c>
    </row>
    <row r="444" spans="1:13" ht="14.5" x14ac:dyDescent="0.35">
      <c r="A444" t="s">
        <v>841</v>
      </c>
      <c r="B444" t="s">
        <v>842</v>
      </c>
      <c r="C444" t="s">
        <v>159</v>
      </c>
      <c r="D444" t="s">
        <v>160</v>
      </c>
      <c r="E444" t="s">
        <v>23</v>
      </c>
      <c r="F444">
        <v>28</v>
      </c>
      <c r="G444">
        <v>3.84</v>
      </c>
      <c r="H444">
        <v>76</v>
      </c>
      <c r="I444">
        <v>97</v>
      </c>
      <c r="J444">
        <v>92</v>
      </c>
      <c r="K444">
        <v>47</v>
      </c>
      <c r="L444" t="s">
        <v>42</v>
      </c>
      <c r="M444">
        <v>2024</v>
      </c>
    </row>
    <row r="445" spans="1:13" ht="14.5" x14ac:dyDescent="0.35">
      <c r="A445" t="s">
        <v>843</v>
      </c>
      <c r="B445" t="s">
        <v>182</v>
      </c>
      <c r="C445" t="s">
        <v>45</v>
      </c>
      <c r="D445" t="s">
        <v>239</v>
      </c>
      <c r="E445" t="s">
        <v>23</v>
      </c>
      <c r="F445">
        <v>52</v>
      </c>
      <c r="G445">
        <v>4.99</v>
      </c>
      <c r="H445">
        <v>93</v>
      </c>
      <c r="I445">
        <v>95</v>
      </c>
      <c r="J445">
        <v>89</v>
      </c>
      <c r="K445">
        <v>43</v>
      </c>
      <c r="L445" t="s">
        <v>66</v>
      </c>
      <c r="M445">
        <v>2026</v>
      </c>
    </row>
    <row r="446" spans="1:13" ht="14.5" x14ac:dyDescent="0.35">
      <c r="A446" t="s">
        <v>844</v>
      </c>
      <c r="B446" t="s">
        <v>845</v>
      </c>
      <c r="C446" t="s">
        <v>159</v>
      </c>
      <c r="D446" t="s">
        <v>269</v>
      </c>
      <c r="E446" t="s">
        <v>32</v>
      </c>
      <c r="F446">
        <v>32</v>
      </c>
      <c r="G446">
        <v>3.27</v>
      </c>
      <c r="H446">
        <v>100</v>
      </c>
      <c r="I446">
        <v>66</v>
      </c>
      <c r="J446">
        <v>71</v>
      </c>
      <c r="K446">
        <v>41</v>
      </c>
      <c r="L446" t="s">
        <v>33</v>
      </c>
      <c r="M446">
        <v>2024</v>
      </c>
    </row>
    <row r="447" spans="1:13" ht="14.5" x14ac:dyDescent="0.35">
      <c r="A447" t="s">
        <v>846</v>
      </c>
      <c r="B447" t="s">
        <v>847</v>
      </c>
      <c r="C447" t="s">
        <v>52</v>
      </c>
      <c r="D447" t="s">
        <v>102</v>
      </c>
      <c r="E447" t="s">
        <v>32</v>
      </c>
      <c r="F447">
        <v>39</v>
      </c>
      <c r="G447">
        <v>4.91</v>
      </c>
      <c r="H447">
        <v>77</v>
      </c>
      <c r="I447">
        <v>83</v>
      </c>
      <c r="J447">
        <v>91</v>
      </c>
      <c r="K447">
        <v>57</v>
      </c>
      <c r="L447" t="s">
        <v>24</v>
      </c>
      <c r="M447">
        <v>2026</v>
      </c>
    </row>
    <row r="448" spans="1:13" ht="14.5" x14ac:dyDescent="0.35">
      <c r="A448" t="s">
        <v>848</v>
      </c>
      <c r="B448" t="s">
        <v>765</v>
      </c>
      <c r="C448" t="s">
        <v>108</v>
      </c>
      <c r="D448" t="s">
        <v>114</v>
      </c>
      <c r="E448" t="s">
        <v>32</v>
      </c>
      <c r="F448">
        <v>38</v>
      </c>
      <c r="G448">
        <v>4.28</v>
      </c>
      <c r="H448">
        <v>84</v>
      </c>
      <c r="I448">
        <v>88</v>
      </c>
      <c r="J448">
        <v>94</v>
      </c>
      <c r="K448">
        <v>41</v>
      </c>
      <c r="L448" t="s">
        <v>66</v>
      </c>
      <c r="M448">
        <v>2024</v>
      </c>
    </row>
    <row r="449" spans="1:13" ht="14.5" x14ac:dyDescent="0.35">
      <c r="A449" t="s">
        <v>849</v>
      </c>
      <c r="B449" t="s">
        <v>850</v>
      </c>
      <c r="C449" t="s">
        <v>27</v>
      </c>
      <c r="D449" t="s">
        <v>87</v>
      </c>
      <c r="E449" t="s">
        <v>32</v>
      </c>
      <c r="F449">
        <v>45</v>
      </c>
      <c r="G449">
        <v>4.83</v>
      </c>
      <c r="H449">
        <v>89</v>
      </c>
      <c r="I449">
        <v>61</v>
      </c>
      <c r="J449">
        <v>78</v>
      </c>
      <c r="K449">
        <v>41</v>
      </c>
      <c r="L449" t="s">
        <v>29</v>
      </c>
      <c r="M449">
        <v>2024</v>
      </c>
    </row>
    <row r="450" spans="1:13" ht="14.5" x14ac:dyDescent="0.35">
      <c r="A450" t="s">
        <v>851</v>
      </c>
      <c r="B450" t="s">
        <v>546</v>
      </c>
      <c r="C450" t="s">
        <v>40</v>
      </c>
      <c r="D450" t="s">
        <v>293</v>
      </c>
      <c r="E450" t="s">
        <v>23</v>
      </c>
      <c r="F450">
        <v>38</v>
      </c>
      <c r="G450">
        <v>3.97</v>
      </c>
      <c r="H450">
        <v>83</v>
      </c>
      <c r="I450">
        <v>66</v>
      </c>
      <c r="J450">
        <v>83</v>
      </c>
      <c r="K450">
        <v>31</v>
      </c>
      <c r="L450" t="s">
        <v>33</v>
      </c>
      <c r="M450">
        <v>2026</v>
      </c>
    </row>
    <row r="451" spans="1:13" ht="14.5" x14ac:dyDescent="0.35">
      <c r="A451" t="s">
        <v>852</v>
      </c>
      <c r="B451" t="s">
        <v>853</v>
      </c>
      <c r="C451" t="s">
        <v>69</v>
      </c>
      <c r="D451" t="s">
        <v>105</v>
      </c>
      <c r="E451" t="s">
        <v>23</v>
      </c>
      <c r="F451">
        <v>24</v>
      </c>
      <c r="G451">
        <v>3.48</v>
      </c>
      <c r="H451">
        <v>78</v>
      </c>
      <c r="I451">
        <v>82</v>
      </c>
      <c r="J451">
        <v>87</v>
      </c>
      <c r="K451">
        <v>27</v>
      </c>
      <c r="L451" t="s">
        <v>29</v>
      </c>
      <c r="M451">
        <v>2025</v>
      </c>
    </row>
    <row r="452" spans="1:13" ht="14.5" x14ac:dyDescent="0.35">
      <c r="A452" t="s">
        <v>854</v>
      </c>
      <c r="B452" t="s">
        <v>855</v>
      </c>
      <c r="C452" t="s">
        <v>69</v>
      </c>
      <c r="D452" t="s">
        <v>117</v>
      </c>
      <c r="E452" t="s">
        <v>32</v>
      </c>
      <c r="F452">
        <v>36</v>
      </c>
      <c r="G452">
        <v>3.45</v>
      </c>
      <c r="H452">
        <v>65</v>
      </c>
      <c r="I452">
        <v>80</v>
      </c>
      <c r="J452">
        <v>94</v>
      </c>
      <c r="K452">
        <v>49</v>
      </c>
      <c r="L452" t="s">
        <v>42</v>
      </c>
      <c r="M452">
        <v>2024</v>
      </c>
    </row>
    <row r="453" spans="1:13" ht="14.5" x14ac:dyDescent="0.35">
      <c r="A453" t="s">
        <v>856</v>
      </c>
      <c r="B453" t="s">
        <v>684</v>
      </c>
      <c r="C453" t="s">
        <v>69</v>
      </c>
      <c r="D453" t="s">
        <v>319</v>
      </c>
      <c r="E453" t="s">
        <v>23</v>
      </c>
      <c r="F453">
        <v>43</v>
      </c>
      <c r="G453">
        <v>2.79</v>
      </c>
      <c r="H453">
        <v>97</v>
      </c>
      <c r="I453">
        <v>80</v>
      </c>
      <c r="J453">
        <v>90</v>
      </c>
      <c r="K453">
        <v>53</v>
      </c>
      <c r="L453" t="s">
        <v>42</v>
      </c>
      <c r="M453">
        <v>2024</v>
      </c>
    </row>
    <row r="454" spans="1:13" ht="14.5" x14ac:dyDescent="0.35">
      <c r="A454" t="s">
        <v>857</v>
      </c>
      <c r="B454" t="s">
        <v>275</v>
      </c>
      <c r="C454" t="s">
        <v>40</v>
      </c>
      <c r="D454" t="s">
        <v>293</v>
      </c>
      <c r="E454" t="s">
        <v>32</v>
      </c>
      <c r="F454">
        <v>43</v>
      </c>
      <c r="G454">
        <v>4.57</v>
      </c>
      <c r="H454">
        <v>67</v>
      </c>
      <c r="I454">
        <v>81</v>
      </c>
      <c r="J454">
        <v>87</v>
      </c>
      <c r="K454">
        <v>44</v>
      </c>
      <c r="L454" t="s">
        <v>66</v>
      </c>
      <c r="M454">
        <v>2026</v>
      </c>
    </row>
    <row r="455" spans="1:13" ht="14.5" x14ac:dyDescent="0.35">
      <c r="A455" t="s">
        <v>858</v>
      </c>
      <c r="B455" t="s">
        <v>101</v>
      </c>
      <c r="C455" t="s">
        <v>69</v>
      </c>
      <c r="D455" t="s">
        <v>70</v>
      </c>
      <c r="E455" t="s">
        <v>23</v>
      </c>
      <c r="F455">
        <v>32</v>
      </c>
      <c r="G455">
        <v>4.45</v>
      </c>
      <c r="H455">
        <v>76</v>
      </c>
      <c r="I455">
        <v>80</v>
      </c>
      <c r="J455">
        <v>84</v>
      </c>
      <c r="K455">
        <v>11</v>
      </c>
      <c r="L455" t="s">
        <v>33</v>
      </c>
      <c r="M455">
        <v>2026</v>
      </c>
    </row>
    <row r="456" spans="1:13" ht="14.5" x14ac:dyDescent="0.35">
      <c r="A456" t="s">
        <v>859</v>
      </c>
      <c r="B456" t="s">
        <v>860</v>
      </c>
      <c r="C456" t="s">
        <v>69</v>
      </c>
      <c r="D456" t="s">
        <v>319</v>
      </c>
      <c r="E456" t="s">
        <v>32</v>
      </c>
      <c r="F456">
        <v>22</v>
      </c>
      <c r="G456">
        <v>3.34</v>
      </c>
      <c r="H456">
        <v>93</v>
      </c>
      <c r="I456">
        <v>100</v>
      </c>
      <c r="J456">
        <v>76</v>
      </c>
      <c r="K456">
        <v>53</v>
      </c>
      <c r="L456" t="s">
        <v>24</v>
      </c>
      <c r="M456">
        <v>2024</v>
      </c>
    </row>
    <row r="457" spans="1:13" ht="14.5" x14ac:dyDescent="0.35">
      <c r="A457" t="s">
        <v>861</v>
      </c>
      <c r="B457" t="s">
        <v>229</v>
      </c>
      <c r="C457" t="s">
        <v>45</v>
      </c>
      <c r="D457" t="s">
        <v>234</v>
      </c>
      <c r="E457" t="s">
        <v>32</v>
      </c>
      <c r="F457">
        <v>42</v>
      </c>
      <c r="G457">
        <v>2.94</v>
      </c>
      <c r="H457">
        <v>93</v>
      </c>
      <c r="I457">
        <v>82</v>
      </c>
      <c r="J457">
        <v>86</v>
      </c>
      <c r="K457">
        <v>56</v>
      </c>
      <c r="L457" t="s">
        <v>24</v>
      </c>
      <c r="M457">
        <v>2025</v>
      </c>
    </row>
    <row r="458" spans="1:13" ht="14.5" x14ac:dyDescent="0.35">
      <c r="A458" t="s">
        <v>862</v>
      </c>
      <c r="B458" t="s">
        <v>863</v>
      </c>
      <c r="C458" t="s">
        <v>159</v>
      </c>
      <c r="D458" t="s">
        <v>187</v>
      </c>
      <c r="E458" t="s">
        <v>32</v>
      </c>
      <c r="F458">
        <v>28</v>
      </c>
      <c r="G458">
        <v>4.3099999999999996</v>
      </c>
      <c r="H458">
        <v>72</v>
      </c>
      <c r="I458">
        <v>80</v>
      </c>
      <c r="J458">
        <v>66</v>
      </c>
      <c r="K458">
        <v>12</v>
      </c>
      <c r="L458" t="s">
        <v>29</v>
      </c>
      <c r="M458">
        <v>2026</v>
      </c>
    </row>
    <row r="459" spans="1:13" ht="14.5" x14ac:dyDescent="0.35">
      <c r="A459" t="s">
        <v>864</v>
      </c>
      <c r="B459" t="s">
        <v>693</v>
      </c>
      <c r="C459" t="s">
        <v>56</v>
      </c>
      <c r="D459" t="s">
        <v>79</v>
      </c>
      <c r="E459" t="s">
        <v>23</v>
      </c>
      <c r="F459">
        <v>40</v>
      </c>
      <c r="G459">
        <v>3.07</v>
      </c>
      <c r="H459">
        <v>94</v>
      </c>
      <c r="I459">
        <v>95</v>
      </c>
      <c r="J459">
        <v>83</v>
      </c>
      <c r="K459">
        <v>53</v>
      </c>
      <c r="L459" t="s">
        <v>66</v>
      </c>
      <c r="M459">
        <v>2026</v>
      </c>
    </row>
    <row r="460" spans="1:13" ht="14.5" x14ac:dyDescent="0.35">
      <c r="A460" t="s">
        <v>865</v>
      </c>
      <c r="B460" t="s">
        <v>684</v>
      </c>
      <c r="C460" t="s">
        <v>108</v>
      </c>
      <c r="D460" t="s">
        <v>126</v>
      </c>
      <c r="E460" t="s">
        <v>32</v>
      </c>
      <c r="F460">
        <v>56</v>
      </c>
      <c r="G460">
        <v>2.7</v>
      </c>
      <c r="H460">
        <v>66</v>
      </c>
      <c r="I460">
        <v>72</v>
      </c>
      <c r="J460">
        <v>70</v>
      </c>
      <c r="K460">
        <v>10</v>
      </c>
      <c r="L460" t="s">
        <v>66</v>
      </c>
      <c r="M460">
        <v>2026</v>
      </c>
    </row>
    <row r="461" spans="1:13" ht="14.5" x14ac:dyDescent="0.35">
      <c r="A461" t="s">
        <v>866</v>
      </c>
      <c r="B461" t="s">
        <v>867</v>
      </c>
      <c r="C461" t="s">
        <v>159</v>
      </c>
      <c r="D461" t="s">
        <v>324</v>
      </c>
      <c r="E461" t="s">
        <v>23</v>
      </c>
      <c r="F461">
        <v>39</v>
      </c>
      <c r="G461">
        <v>3.33</v>
      </c>
      <c r="H461">
        <v>78</v>
      </c>
      <c r="I461">
        <v>69</v>
      </c>
      <c r="J461">
        <v>86</v>
      </c>
      <c r="K461">
        <v>39</v>
      </c>
      <c r="L461" t="s">
        <v>42</v>
      </c>
      <c r="M461">
        <v>2025</v>
      </c>
    </row>
    <row r="462" spans="1:13" ht="14.5" x14ac:dyDescent="0.35">
      <c r="A462" t="s">
        <v>868</v>
      </c>
      <c r="B462" t="s">
        <v>869</v>
      </c>
      <c r="C462" t="s">
        <v>45</v>
      </c>
      <c r="D462" t="s">
        <v>239</v>
      </c>
      <c r="E462" t="s">
        <v>32</v>
      </c>
      <c r="F462">
        <v>32</v>
      </c>
      <c r="G462">
        <v>2.57</v>
      </c>
      <c r="H462">
        <v>86</v>
      </c>
      <c r="I462">
        <v>66</v>
      </c>
      <c r="J462">
        <v>83</v>
      </c>
      <c r="K462">
        <v>44</v>
      </c>
      <c r="L462" t="s">
        <v>66</v>
      </c>
      <c r="M462">
        <v>2024</v>
      </c>
    </row>
    <row r="463" spans="1:13" ht="14.5" x14ac:dyDescent="0.35">
      <c r="A463" t="s">
        <v>870</v>
      </c>
      <c r="B463" t="s">
        <v>871</v>
      </c>
      <c r="C463" t="s">
        <v>69</v>
      </c>
      <c r="D463" t="s">
        <v>319</v>
      </c>
      <c r="E463" t="s">
        <v>32</v>
      </c>
      <c r="F463">
        <v>52</v>
      </c>
      <c r="G463">
        <v>3.11</v>
      </c>
      <c r="H463">
        <v>76</v>
      </c>
      <c r="I463">
        <v>88</v>
      </c>
      <c r="J463">
        <v>67</v>
      </c>
      <c r="K463">
        <v>20</v>
      </c>
      <c r="L463" t="s">
        <v>66</v>
      </c>
      <c r="M463">
        <v>2024</v>
      </c>
    </row>
    <row r="464" spans="1:13" ht="14.5" x14ac:dyDescent="0.35">
      <c r="A464" t="s">
        <v>872</v>
      </c>
      <c r="B464" t="s">
        <v>873</v>
      </c>
      <c r="C464" t="s">
        <v>69</v>
      </c>
      <c r="D464" t="s">
        <v>150</v>
      </c>
      <c r="E464" t="s">
        <v>23</v>
      </c>
      <c r="F464">
        <v>31</v>
      </c>
      <c r="G464">
        <v>4.07</v>
      </c>
      <c r="H464">
        <v>79</v>
      </c>
      <c r="I464">
        <v>61</v>
      </c>
      <c r="J464">
        <v>96</v>
      </c>
      <c r="K464">
        <v>19</v>
      </c>
      <c r="L464" t="s">
        <v>29</v>
      </c>
      <c r="M464">
        <v>2024</v>
      </c>
    </row>
    <row r="465" spans="1:13" ht="14.5" x14ac:dyDescent="0.35">
      <c r="A465" t="s">
        <v>874</v>
      </c>
      <c r="B465" t="s">
        <v>863</v>
      </c>
      <c r="C465" t="s">
        <v>108</v>
      </c>
      <c r="D465" t="s">
        <v>114</v>
      </c>
      <c r="E465" t="s">
        <v>23</v>
      </c>
      <c r="F465">
        <v>34</v>
      </c>
      <c r="G465">
        <v>4.6500000000000004</v>
      </c>
      <c r="H465">
        <v>90</v>
      </c>
      <c r="I465">
        <v>73</v>
      </c>
      <c r="J465">
        <v>74</v>
      </c>
      <c r="K465">
        <v>5</v>
      </c>
      <c r="L465" t="s">
        <v>42</v>
      </c>
      <c r="M465">
        <v>2024</v>
      </c>
    </row>
    <row r="466" spans="1:13" ht="14.5" x14ac:dyDescent="0.35">
      <c r="A466" t="s">
        <v>875</v>
      </c>
      <c r="B466" t="s">
        <v>876</v>
      </c>
      <c r="C466" t="s">
        <v>36</v>
      </c>
      <c r="D466" t="s">
        <v>37</v>
      </c>
      <c r="E466" t="s">
        <v>32</v>
      </c>
      <c r="F466">
        <v>24</v>
      </c>
      <c r="G466">
        <v>4.9000000000000004</v>
      </c>
      <c r="H466">
        <v>92</v>
      </c>
      <c r="I466">
        <v>88</v>
      </c>
      <c r="J466">
        <v>91</v>
      </c>
      <c r="K466">
        <v>40</v>
      </c>
      <c r="L466" t="s">
        <v>66</v>
      </c>
      <c r="M466">
        <v>2026</v>
      </c>
    </row>
    <row r="467" spans="1:13" ht="14.5" x14ac:dyDescent="0.35">
      <c r="A467" t="s">
        <v>877</v>
      </c>
      <c r="B467" t="s">
        <v>878</v>
      </c>
      <c r="C467" t="s">
        <v>159</v>
      </c>
      <c r="D467" t="s">
        <v>324</v>
      </c>
      <c r="E467" t="s">
        <v>23</v>
      </c>
      <c r="F467">
        <v>45</v>
      </c>
      <c r="G467">
        <v>2.74</v>
      </c>
      <c r="H467">
        <v>73</v>
      </c>
      <c r="I467">
        <v>93</v>
      </c>
      <c r="J467">
        <v>90</v>
      </c>
      <c r="K467">
        <v>45</v>
      </c>
      <c r="L467" t="s">
        <v>66</v>
      </c>
      <c r="M467">
        <v>2025</v>
      </c>
    </row>
    <row r="468" spans="1:13" ht="14.5" x14ac:dyDescent="0.35">
      <c r="A468" t="s">
        <v>879</v>
      </c>
      <c r="B468" t="s">
        <v>880</v>
      </c>
      <c r="C468" t="s">
        <v>108</v>
      </c>
      <c r="D468" t="s">
        <v>109</v>
      </c>
      <c r="E468" t="s">
        <v>32</v>
      </c>
      <c r="F468">
        <v>49</v>
      </c>
      <c r="G468">
        <v>4.29</v>
      </c>
      <c r="H468">
        <v>85</v>
      </c>
      <c r="I468">
        <v>76</v>
      </c>
      <c r="J468">
        <v>92</v>
      </c>
      <c r="K468">
        <v>28</v>
      </c>
      <c r="L468" t="s">
        <v>42</v>
      </c>
      <c r="M468">
        <v>2024</v>
      </c>
    </row>
    <row r="469" spans="1:13" ht="14.5" x14ac:dyDescent="0.35">
      <c r="A469" t="s">
        <v>881</v>
      </c>
      <c r="B469" t="s">
        <v>882</v>
      </c>
      <c r="C469" t="s">
        <v>40</v>
      </c>
      <c r="D469" t="s">
        <v>293</v>
      </c>
      <c r="E469" t="s">
        <v>32</v>
      </c>
      <c r="F469">
        <v>25</v>
      </c>
      <c r="G469">
        <v>3.1</v>
      </c>
      <c r="H469">
        <v>84</v>
      </c>
      <c r="I469">
        <v>64</v>
      </c>
      <c r="J469">
        <v>73</v>
      </c>
      <c r="K469">
        <v>25</v>
      </c>
      <c r="L469" t="s">
        <v>29</v>
      </c>
      <c r="M469">
        <v>2026</v>
      </c>
    </row>
    <row r="470" spans="1:13" ht="14.5" x14ac:dyDescent="0.35">
      <c r="A470" t="s">
        <v>883</v>
      </c>
      <c r="B470" t="s">
        <v>884</v>
      </c>
      <c r="C470" t="s">
        <v>159</v>
      </c>
      <c r="D470" t="s">
        <v>160</v>
      </c>
      <c r="E470" t="s">
        <v>32</v>
      </c>
      <c r="F470">
        <v>42</v>
      </c>
      <c r="G470">
        <v>3.82</v>
      </c>
      <c r="H470">
        <v>68</v>
      </c>
      <c r="I470">
        <v>92</v>
      </c>
      <c r="J470">
        <v>95</v>
      </c>
      <c r="K470">
        <v>39</v>
      </c>
      <c r="L470" t="s">
        <v>42</v>
      </c>
      <c r="M470">
        <v>2024</v>
      </c>
    </row>
    <row r="471" spans="1:13" ht="14.5" x14ac:dyDescent="0.35">
      <c r="A471" t="s">
        <v>885</v>
      </c>
      <c r="B471" t="s">
        <v>400</v>
      </c>
      <c r="C471" t="s">
        <v>52</v>
      </c>
      <c r="D471" t="s">
        <v>224</v>
      </c>
      <c r="E471" t="s">
        <v>32</v>
      </c>
      <c r="F471">
        <v>48</v>
      </c>
      <c r="G471">
        <v>4.46</v>
      </c>
      <c r="H471">
        <v>100</v>
      </c>
      <c r="I471">
        <v>74</v>
      </c>
      <c r="J471">
        <v>87</v>
      </c>
      <c r="K471">
        <v>50</v>
      </c>
      <c r="L471" t="s">
        <v>66</v>
      </c>
      <c r="M471">
        <v>2024</v>
      </c>
    </row>
    <row r="472" spans="1:13" ht="14.5" x14ac:dyDescent="0.35">
      <c r="A472" t="s">
        <v>886</v>
      </c>
      <c r="B472" t="s">
        <v>506</v>
      </c>
      <c r="C472" t="s">
        <v>69</v>
      </c>
      <c r="D472" t="s">
        <v>117</v>
      </c>
      <c r="E472" t="s">
        <v>23</v>
      </c>
      <c r="F472">
        <v>56</v>
      </c>
      <c r="G472">
        <v>3.5</v>
      </c>
      <c r="H472">
        <v>98</v>
      </c>
      <c r="I472">
        <v>63</v>
      </c>
      <c r="J472">
        <v>94</v>
      </c>
      <c r="K472">
        <v>44</v>
      </c>
      <c r="L472" t="s">
        <v>24</v>
      </c>
      <c r="M472">
        <v>2025</v>
      </c>
    </row>
    <row r="473" spans="1:13" ht="14.5" x14ac:dyDescent="0.35">
      <c r="A473" t="s">
        <v>887</v>
      </c>
      <c r="B473" t="s">
        <v>850</v>
      </c>
      <c r="C473" t="s">
        <v>36</v>
      </c>
      <c r="D473" t="s">
        <v>93</v>
      </c>
      <c r="E473" t="s">
        <v>32</v>
      </c>
      <c r="F473">
        <v>24</v>
      </c>
      <c r="G473">
        <v>3.85</v>
      </c>
      <c r="H473">
        <v>66</v>
      </c>
      <c r="I473">
        <v>70</v>
      </c>
      <c r="J473">
        <v>66</v>
      </c>
      <c r="K473">
        <v>40</v>
      </c>
      <c r="L473" t="s">
        <v>24</v>
      </c>
      <c r="M473">
        <v>2026</v>
      </c>
    </row>
    <row r="474" spans="1:13" ht="14.5" x14ac:dyDescent="0.35">
      <c r="A474" t="s">
        <v>888</v>
      </c>
      <c r="B474" t="s">
        <v>147</v>
      </c>
      <c r="C474" t="s">
        <v>159</v>
      </c>
      <c r="D474" t="s">
        <v>160</v>
      </c>
      <c r="E474" t="s">
        <v>23</v>
      </c>
      <c r="F474">
        <v>21</v>
      </c>
      <c r="G474">
        <v>4.0199999999999996</v>
      </c>
      <c r="H474">
        <v>84</v>
      </c>
      <c r="I474">
        <v>90</v>
      </c>
      <c r="J474">
        <v>74</v>
      </c>
      <c r="K474">
        <v>9</v>
      </c>
      <c r="L474" t="s">
        <v>42</v>
      </c>
      <c r="M474">
        <v>2024</v>
      </c>
    </row>
    <row r="475" spans="1:13" ht="14.5" x14ac:dyDescent="0.35">
      <c r="A475" t="s">
        <v>889</v>
      </c>
      <c r="B475" t="s">
        <v>542</v>
      </c>
      <c r="C475" t="s">
        <v>108</v>
      </c>
      <c r="D475" t="s">
        <v>109</v>
      </c>
      <c r="E475" t="s">
        <v>32</v>
      </c>
      <c r="F475">
        <v>22</v>
      </c>
      <c r="G475">
        <v>4.87</v>
      </c>
      <c r="H475">
        <v>79</v>
      </c>
      <c r="I475">
        <v>96</v>
      </c>
      <c r="J475">
        <v>81</v>
      </c>
      <c r="K475">
        <v>51</v>
      </c>
      <c r="L475" t="s">
        <v>33</v>
      </c>
      <c r="M475">
        <v>2026</v>
      </c>
    </row>
    <row r="476" spans="1:13" ht="14.5" x14ac:dyDescent="0.35">
      <c r="A476" t="s">
        <v>890</v>
      </c>
      <c r="B476" t="s">
        <v>891</v>
      </c>
      <c r="C476" t="s">
        <v>21</v>
      </c>
      <c r="D476" t="s">
        <v>153</v>
      </c>
      <c r="E476" t="s">
        <v>32</v>
      </c>
      <c r="F476">
        <v>40</v>
      </c>
      <c r="G476">
        <v>3.87</v>
      </c>
      <c r="H476">
        <v>89</v>
      </c>
      <c r="I476">
        <v>68</v>
      </c>
      <c r="J476">
        <v>90</v>
      </c>
      <c r="K476">
        <v>18</v>
      </c>
      <c r="L476" t="s">
        <v>24</v>
      </c>
      <c r="M476">
        <v>2025</v>
      </c>
    </row>
    <row r="477" spans="1:13" ht="14.5" x14ac:dyDescent="0.35">
      <c r="A477" t="s">
        <v>892</v>
      </c>
      <c r="B477" t="s">
        <v>808</v>
      </c>
      <c r="C477" t="s">
        <v>21</v>
      </c>
      <c r="D477" t="s">
        <v>49</v>
      </c>
      <c r="E477" t="s">
        <v>23</v>
      </c>
      <c r="F477">
        <v>32</v>
      </c>
      <c r="G477">
        <v>3.71</v>
      </c>
      <c r="H477">
        <v>81</v>
      </c>
      <c r="I477">
        <v>81</v>
      </c>
      <c r="J477">
        <v>79</v>
      </c>
      <c r="K477">
        <v>41</v>
      </c>
      <c r="L477" t="s">
        <v>66</v>
      </c>
      <c r="M477">
        <v>2025</v>
      </c>
    </row>
    <row r="478" spans="1:13" ht="14.5" x14ac:dyDescent="0.35">
      <c r="A478" t="s">
        <v>893</v>
      </c>
      <c r="B478" t="s">
        <v>104</v>
      </c>
      <c r="C478" t="s">
        <v>108</v>
      </c>
      <c r="D478" t="s">
        <v>114</v>
      </c>
      <c r="E478" t="s">
        <v>23</v>
      </c>
      <c r="F478">
        <v>49</v>
      </c>
      <c r="G478">
        <v>2.6</v>
      </c>
      <c r="H478">
        <v>96</v>
      </c>
      <c r="I478">
        <v>97</v>
      </c>
      <c r="J478">
        <v>85</v>
      </c>
      <c r="K478">
        <v>60</v>
      </c>
      <c r="L478" t="s">
        <v>33</v>
      </c>
      <c r="M478">
        <v>2026</v>
      </c>
    </row>
    <row r="479" spans="1:13" ht="14.5" x14ac:dyDescent="0.35">
      <c r="A479" t="s">
        <v>894</v>
      </c>
      <c r="B479" t="s">
        <v>895</v>
      </c>
      <c r="C479" t="s">
        <v>45</v>
      </c>
      <c r="D479" t="s">
        <v>296</v>
      </c>
      <c r="E479" t="s">
        <v>32</v>
      </c>
      <c r="F479">
        <v>27</v>
      </c>
      <c r="G479">
        <v>2.35</v>
      </c>
      <c r="H479">
        <v>84</v>
      </c>
      <c r="I479">
        <v>97</v>
      </c>
      <c r="J479">
        <v>72</v>
      </c>
      <c r="K479">
        <v>54</v>
      </c>
      <c r="L479" t="s">
        <v>33</v>
      </c>
      <c r="M479">
        <v>2026</v>
      </c>
    </row>
    <row r="480" spans="1:13" ht="14.5" x14ac:dyDescent="0.35">
      <c r="A480" t="s">
        <v>896</v>
      </c>
      <c r="B480" t="s">
        <v>850</v>
      </c>
      <c r="C480" t="s">
        <v>56</v>
      </c>
      <c r="D480" t="s">
        <v>112</v>
      </c>
      <c r="E480" t="s">
        <v>32</v>
      </c>
      <c r="F480">
        <v>45</v>
      </c>
      <c r="G480">
        <v>2.38</v>
      </c>
      <c r="H480">
        <v>88</v>
      </c>
      <c r="I480">
        <v>70</v>
      </c>
      <c r="J480">
        <v>77</v>
      </c>
      <c r="K480">
        <v>20</v>
      </c>
      <c r="L480" t="s">
        <v>66</v>
      </c>
      <c r="M480">
        <v>2024</v>
      </c>
    </row>
    <row r="481" spans="1:19" ht="14.5" x14ac:dyDescent="0.35">
      <c r="A481" t="s">
        <v>897</v>
      </c>
      <c r="B481" t="s">
        <v>814</v>
      </c>
      <c r="C481" t="s">
        <v>45</v>
      </c>
      <c r="D481" t="s">
        <v>234</v>
      </c>
      <c r="E481" t="s">
        <v>23</v>
      </c>
      <c r="F481">
        <v>40</v>
      </c>
      <c r="G481">
        <v>4.54</v>
      </c>
      <c r="H481">
        <v>63</v>
      </c>
      <c r="I481">
        <v>91</v>
      </c>
      <c r="J481">
        <v>72</v>
      </c>
      <c r="K481">
        <v>26</v>
      </c>
      <c r="L481" t="s">
        <v>33</v>
      </c>
      <c r="M481">
        <v>2024</v>
      </c>
    </row>
    <row r="482" spans="1:19" ht="14.5" customHeight="1" x14ac:dyDescent="0.65">
      <c r="A482" t="s">
        <v>898</v>
      </c>
      <c r="B482" t="s">
        <v>653</v>
      </c>
      <c r="C482" t="s">
        <v>27</v>
      </c>
      <c r="D482" t="s">
        <v>87</v>
      </c>
      <c r="E482" t="s">
        <v>32</v>
      </c>
      <c r="F482">
        <v>49</v>
      </c>
      <c r="G482">
        <v>4.8499999999999996</v>
      </c>
      <c r="H482">
        <v>98</v>
      </c>
      <c r="I482">
        <v>84</v>
      </c>
      <c r="J482">
        <v>91</v>
      </c>
      <c r="K482">
        <v>29</v>
      </c>
      <c r="L482" t="s">
        <v>24</v>
      </c>
      <c r="M482">
        <v>2024</v>
      </c>
      <c r="O482" s="7"/>
      <c r="P482" s="6"/>
      <c r="Q482" s="6"/>
      <c r="R482" s="6"/>
      <c r="S482" s="6"/>
    </row>
    <row r="483" spans="1:19" ht="14.5" x14ac:dyDescent="0.35">
      <c r="A483" t="s">
        <v>899</v>
      </c>
      <c r="B483" t="s">
        <v>481</v>
      </c>
      <c r="C483" t="s">
        <v>159</v>
      </c>
      <c r="D483" t="s">
        <v>160</v>
      </c>
      <c r="E483" t="s">
        <v>23</v>
      </c>
      <c r="F483">
        <v>26</v>
      </c>
      <c r="G483">
        <v>4.57</v>
      </c>
      <c r="H483">
        <v>73</v>
      </c>
      <c r="I483">
        <v>66</v>
      </c>
      <c r="J483">
        <v>84</v>
      </c>
      <c r="K483">
        <v>27</v>
      </c>
      <c r="L483" t="s">
        <v>29</v>
      </c>
      <c r="M483">
        <v>2026</v>
      </c>
      <c r="O483" s="6"/>
      <c r="P483" s="6"/>
      <c r="Q483" s="6"/>
      <c r="R483" s="6"/>
      <c r="S483" s="6"/>
    </row>
    <row r="484" spans="1:19" ht="14.5" x14ac:dyDescent="0.35">
      <c r="A484" t="s">
        <v>900</v>
      </c>
      <c r="B484" t="s">
        <v>456</v>
      </c>
      <c r="C484" t="s">
        <v>45</v>
      </c>
      <c r="D484" t="s">
        <v>46</v>
      </c>
      <c r="E484" t="s">
        <v>23</v>
      </c>
      <c r="F484">
        <v>25</v>
      </c>
      <c r="G484">
        <v>3.41</v>
      </c>
      <c r="H484">
        <v>78</v>
      </c>
      <c r="I484">
        <v>91</v>
      </c>
      <c r="J484">
        <v>70</v>
      </c>
      <c r="K484">
        <v>16</v>
      </c>
      <c r="L484" t="s">
        <v>42</v>
      </c>
      <c r="M484">
        <v>2025</v>
      </c>
    </row>
    <row r="485" spans="1:19" ht="14.5" x14ac:dyDescent="0.35">
      <c r="A485" t="s">
        <v>901</v>
      </c>
      <c r="B485" t="s">
        <v>432</v>
      </c>
      <c r="C485" t="s">
        <v>27</v>
      </c>
      <c r="D485" t="s">
        <v>73</v>
      </c>
      <c r="E485" t="s">
        <v>23</v>
      </c>
      <c r="F485">
        <v>54</v>
      </c>
      <c r="G485">
        <v>2.76</v>
      </c>
      <c r="H485">
        <v>84</v>
      </c>
      <c r="I485">
        <v>100</v>
      </c>
      <c r="J485">
        <v>70</v>
      </c>
      <c r="K485">
        <v>26</v>
      </c>
      <c r="L485" t="s">
        <v>24</v>
      </c>
      <c r="M485">
        <v>2024</v>
      </c>
    </row>
    <row r="486" spans="1:19" ht="14.5" x14ac:dyDescent="0.35">
      <c r="A486" t="s">
        <v>902</v>
      </c>
      <c r="B486" t="s">
        <v>610</v>
      </c>
      <c r="C486" t="s">
        <v>45</v>
      </c>
      <c r="D486" t="s">
        <v>239</v>
      </c>
      <c r="E486" t="s">
        <v>32</v>
      </c>
      <c r="F486">
        <v>47</v>
      </c>
      <c r="G486">
        <v>3.67</v>
      </c>
      <c r="H486">
        <v>63</v>
      </c>
      <c r="I486">
        <v>98</v>
      </c>
      <c r="J486">
        <v>68</v>
      </c>
      <c r="K486">
        <v>40</v>
      </c>
      <c r="L486" t="s">
        <v>33</v>
      </c>
      <c r="M486">
        <v>2026</v>
      </c>
    </row>
    <row r="487" spans="1:19" ht="14.5" x14ac:dyDescent="0.35">
      <c r="A487" t="s">
        <v>903</v>
      </c>
      <c r="B487" t="s">
        <v>904</v>
      </c>
      <c r="C487" t="s">
        <v>45</v>
      </c>
      <c r="D487" t="s">
        <v>296</v>
      </c>
      <c r="E487" t="s">
        <v>32</v>
      </c>
      <c r="F487">
        <v>57</v>
      </c>
      <c r="G487">
        <v>3.24</v>
      </c>
      <c r="H487">
        <v>72</v>
      </c>
      <c r="I487">
        <v>60</v>
      </c>
      <c r="J487">
        <v>98</v>
      </c>
      <c r="K487">
        <v>5</v>
      </c>
      <c r="L487" t="s">
        <v>33</v>
      </c>
      <c r="M487">
        <v>2025</v>
      </c>
    </row>
    <row r="488" spans="1:19" ht="14.5" x14ac:dyDescent="0.35">
      <c r="A488" t="s">
        <v>905</v>
      </c>
      <c r="B488" t="s">
        <v>906</v>
      </c>
      <c r="C488" t="s">
        <v>40</v>
      </c>
      <c r="D488" t="s">
        <v>65</v>
      </c>
      <c r="E488" t="s">
        <v>23</v>
      </c>
      <c r="F488">
        <v>45</v>
      </c>
      <c r="G488">
        <v>3.28</v>
      </c>
      <c r="H488">
        <v>63</v>
      </c>
      <c r="I488">
        <v>96</v>
      </c>
      <c r="J488">
        <v>88</v>
      </c>
      <c r="K488">
        <v>59</v>
      </c>
      <c r="L488" t="s">
        <v>33</v>
      </c>
      <c r="M488">
        <v>2024</v>
      </c>
    </row>
    <row r="489" spans="1:19" ht="14.5" x14ac:dyDescent="0.35">
      <c r="A489" t="s">
        <v>907</v>
      </c>
      <c r="B489" t="s">
        <v>248</v>
      </c>
      <c r="C489" t="s">
        <v>52</v>
      </c>
      <c r="D489" t="s">
        <v>195</v>
      </c>
      <c r="E489" t="s">
        <v>23</v>
      </c>
      <c r="F489">
        <v>46</v>
      </c>
      <c r="G489">
        <v>2.73</v>
      </c>
      <c r="H489">
        <v>93</v>
      </c>
      <c r="I489">
        <v>71</v>
      </c>
      <c r="J489">
        <v>99</v>
      </c>
      <c r="K489">
        <v>18</v>
      </c>
      <c r="L489" t="s">
        <v>42</v>
      </c>
      <c r="M489">
        <v>2024</v>
      </c>
    </row>
    <row r="490" spans="1:19" ht="14.5" x14ac:dyDescent="0.35">
      <c r="A490" t="s">
        <v>908</v>
      </c>
      <c r="B490" t="s">
        <v>909</v>
      </c>
      <c r="C490" t="s">
        <v>52</v>
      </c>
      <c r="D490" t="s">
        <v>224</v>
      </c>
      <c r="E490" t="s">
        <v>23</v>
      </c>
      <c r="F490">
        <v>36</v>
      </c>
      <c r="G490">
        <v>4.6399999999999997</v>
      </c>
      <c r="H490">
        <v>71</v>
      </c>
      <c r="I490">
        <v>98</v>
      </c>
      <c r="J490">
        <v>88</v>
      </c>
      <c r="K490">
        <v>41</v>
      </c>
      <c r="L490" t="s">
        <v>29</v>
      </c>
      <c r="M490">
        <v>2025</v>
      </c>
    </row>
    <row r="491" spans="1:19" ht="14.5" x14ac:dyDescent="0.35">
      <c r="A491" t="s">
        <v>910</v>
      </c>
      <c r="B491" t="s">
        <v>298</v>
      </c>
      <c r="C491" t="s">
        <v>40</v>
      </c>
      <c r="D491" t="s">
        <v>41</v>
      </c>
      <c r="E491" t="s">
        <v>23</v>
      </c>
      <c r="F491">
        <v>40</v>
      </c>
      <c r="G491">
        <v>4.18</v>
      </c>
      <c r="H491">
        <v>73</v>
      </c>
      <c r="I491">
        <v>92</v>
      </c>
      <c r="J491">
        <v>74</v>
      </c>
      <c r="K491">
        <v>57</v>
      </c>
      <c r="L491" t="s">
        <v>24</v>
      </c>
      <c r="M491">
        <v>2024</v>
      </c>
    </row>
    <row r="492" spans="1:19" ht="14.5" x14ac:dyDescent="0.35">
      <c r="A492" t="s">
        <v>911</v>
      </c>
      <c r="B492" t="s">
        <v>699</v>
      </c>
      <c r="C492" t="s">
        <v>21</v>
      </c>
      <c r="D492" t="s">
        <v>133</v>
      </c>
      <c r="E492" t="s">
        <v>32</v>
      </c>
      <c r="F492">
        <v>40</v>
      </c>
      <c r="G492">
        <v>3.94</v>
      </c>
      <c r="H492">
        <v>96</v>
      </c>
      <c r="I492">
        <v>67</v>
      </c>
      <c r="J492">
        <v>84</v>
      </c>
      <c r="K492">
        <v>23</v>
      </c>
      <c r="L492" t="s">
        <v>33</v>
      </c>
      <c r="M492">
        <v>2025</v>
      </c>
    </row>
    <row r="493" spans="1:19" ht="14.5" x14ac:dyDescent="0.35">
      <c r="A493" t="s">
        <v>912</v>
      </c>
      <c r="B493" t="s">
        <v>701</v>
      </c>
      <c r="C493" t="s">
        <v>45</v>
      </c>
      <c r="D493" t="s">
        <v>296</v>
      </c>
      <c r="E493" t="s">
        <v>32</v>
      </c>
      <c r="F493">
        <v>49</v>
      </c>
      <c r="G493">
        <v>4.1100000000000003</v>
      </c>
      <c r="H493">
        <v>99</v>
      </c>
      <c r="I493">
        <v>93</v>
      </c>
      <c r="J493">
        <v>75</v>
      </c>
      <c r="K493">
        <v>11</v>
      </c>
      <c r="L493" t="s">
        <v>24</v>
      </c>
      <c r="M493">
        <v>2024</v>
      </c>
    </row>
    <row r="494" spans="1:19" ht="14.5" x14ac:dyDescent="0.35">
      <c r="A494" t="s">
        <v>913</v>
      </c>
      <c r="B494" t="s">
        <v>914</v>
      </c>
      <c r="C494" t="s">
        <v>27</v>
      </c>
      <c r="D494" t="s">
        <v>73</v>
      </c>
      <c r="E494" t="s">
        <v>32</v>
      </c>
      <c r="F494">
        <v>53</v>
      </c>
      <c r="G494">
        <v>3.89</v>
      </c>
      <c r="H494">
        <v>83</v>
      </c>
      <c r="I494">
        <v>89</v>
      </c>
      <c r="J494">
        <v>100</v>
      </c>
      <c r="K494">
        <v>58</v>
      </c>
      <c r="L494" t="s">
        <v>24</v>
      </c>
      <c r="M494">
        <v>2025</v>
      </c>
    </row>
    <row r="495" spans="1:19" ht="14.5" x14ac:dyDescent="0.35">
      <c r="A495" t="s">
        <v>915</v>
      </c>
      <c r="B495" t="s">
        <v>61</v>
      </c>
      <c r="C495" t="s">
        <v>56</v>
      </c>
      <c r="D495" t="s">
        <v>112</v>
      </c>
      <c r="E495" t="s">
        <v>32</v>
      </c>
      <c r="F495">
        <v>32</v>
      </c>
      <c r="G495">
        <v>4.84</v>
      </c>
      <c r="H495">
        <v>97</v>
      </c>
      <c r="I495">
        <v>64</v>
      </c>
      <c r="J495">
        <v>86</v>
      </c>
      <c r="K495">
        <v>20</v>
      </c>
      <c r="L495" t="s">
        <v>42</v>
      </c>
      <c r="M495">
        <v>2024</v>
      </c>
    </row>
    <row r="496" spans="1:19" ht="14.5" x14ac:dyDescent="0.35">
      <c r="A496" t="s">
        <v>916</v>
      </c>
      <c r="B496" t="s">
        <v>280</v>
      </c>
      <c r="C496" t="s">
        <v>69</v>
      </c>
      <c r="D496" t="s">
        <v>105</v>
      </c>
      <c r="E496" t="s">
        <v>23</v>
      </c>
      <c r="F496">
        <v>24</v>
      </c>
      <c r="G496">
        <v>2.87</v>
      </c>
      <c r="H496">
        <v>93</v>
      </c>
      <c r="I496">
        <v>72</v>
      </c>
      <c r="J496">
        <v>90</v>
      </c>
      <c r="K496">
        <v>7</v>
      </c>
      <c r="L496" t="s">
        <v>42</v>
      </c>
      <c r="M496">
        <v>2024</v>
      </c>
    </row>
    <row r="497" spans="1:13" ht="14.5" x14ac:dyDescent="0.35">
      <c r="A497" t="s">
        <v>917</v>
      </c>
      <c r="B497" t="s">
        <v>918</v>
      </c>
      <c r="C497" t="s">
        <v>40</v>
      </c>
      <c r="D497" t="s">
        <v>65</v>
      </c>
      <c r="E497" t="s">
        <v>23</v>
      </c>
      <c r="F497">
        <v>28</v>
      </c>
      <c r="G497">
        <v>4.7699999999999996</v>
      </c>
      <c r="H497">
        <v>92</v>
      </c>
      <c r="I497">
        <v>97</v>
      </c>
      <c r="J497">
        <v>71</v>
      </c>
      <c r="K497">
        <v>59</v>
      </c>
      <c r="L497" t="s">
        <v>66</v>
      </c>
      <c r="M497">
        <v>2024</v>
      </c>
    </row>
    <row r="498" spans="1:13" ht="14.5" x14ac:dyDescent="0.35">
      <c r="A498" t="s">
        <v>919</v>
      </c>
      <c r="B498" t="s">
        <v>920</v>
      </c>
      <c r="C498" t="s">
        <v>45</v>
      </c>
      <c r="D498" t="s">
        <v>239</v>
      </c>
      <c r="E498" t="s">
        <v>32</v>
      </c>
      <c r="F498">
        <v>51</v>
      </c>
      <c r="G498">
        <v>4.0599999999999996</v>
      </c>
      <c r="H498">
        <v>82</v>
      </c>
      <c r="I498">
        <v>93</v>
      </c>
      <c r="J498">
        <v>99</v>
      </c>
      <c r="K498">
        <v>38</v>
      </c>
      <c r="L498" t="s">
        <v>24</v>
      </c>
      <c r="M498">
        <v>2026</v>
      </c>
    </row>
    <row r="499" spans="1:13" ht="14.5" x14ac:dyDescent="0.35">
      <c r="A499" t="s">
        <v>921</v>
      </c>
      <c r="B499" t="s">
        <v>842</v>
      </c>
      <c r="C499" t="s">
        <v>159</v>
      </c>
      <c r="D499" t="s">
        <v>269</v>
      </c>
      <c r="E499" t="s">
        <v>32</v>
      </c>
      <c r="F499">
        <v>39</v>
      </c>
      <c r="G499">
        <v>4</v>
      </c>
      <c r="H499">
        <v>80</v>
      </c>
      <c r="I499">
        <v>80</v>
      </c>
      <c r="J499">
        <v>73</v>
      </c>
      <c r="K499">
        <v>33</v>
      </c>
      <c r="L499" t="s">
        <v>29</v>
      </c>
      <c r="M499">
        <v>2025</v>
      </c>
    </row>
    <row r="500" spans="1:13" ht="14.5" x14ac:dyDescent="0.35">
      <c r="A500" t="s">
        <v>922</v>
      </c>
      <c r="B500" t="s">
        <v>430</v>
      </c>
      <c r="C500" t="s">
        <v>45</v>
      </c>
      <c r="D500" t="s">
        <v>234</v>
      </c>
      <c r="E500" t="s">
        <v>32</v>
      </c>
      <c r="F500">
        <v>35</v>
      </c>
      <c r="G500">
        <v>4.84</v>
      </c>
      <c r="H500">
        <v>89</v>
      </c>
      <c r="I500">
        <v>85</v>
      </c>
      <c r="J500">
        <v>92</v>
      </c>
      <c r="K500">
        <v>29</v>
      </c>
      <c r="L500" t="s">
        <v>33</v>
      </c>
      <c r="M500">
        <v>2025</v>
      </c>
    </row>
    <row r="501" spans="1:13" ht="14.5" x14ac:dyDescent="0.35">
      <c r="A501" t="s">
        <v>923</v>
      </c>
      <c r="B501" t="s">
        <v>924</v>
      </c>
      <c r="C501" t="s">
        <v>27</v>
      </c>
      <c r="D501" t="s">
        <v>28</v>
      </c>
      <c r="E501" t="s">
        <v>32</v>
      </c>
      <c r="F501">
        <v>51</v>
      </c>
      <c r="G501">
        <v>2.27</v>
      </c>
      <c r="H501">
        <v>68</v>
      </c>
      <c r="I501">
        <v>80</v>
      </c>
      <c r="J501">
        <v>100</v>
      </c>
      <c r="K501">
        <v>35</v>
      </c>
      <c r="L501" t="s">
        <v>66</v>
      </c>
      <c r="M501">
        <v>2025</v>
      </c>
    </row>
  </sheetData>
  <pageMargins left="0.75" right="0.75" top="1" bottom="1" header="0.511811023622047" footer="0.511811023622047"/>
  <pageSetup paperSize="9"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83E6F"/>
  </sheetPr>
  <dimension ref="A1:N501"/>
  <sheetViews>
    <sheetView zoomScaleNormal="100" workbookViewId="0">
      <pane ySplit="1" topLeftCell="A2" activePane="bottomLeft" state="frozen"/>
      <selection pane="bottomLeft" activeCell="C19" sqref="C19"/>
    </sheetView>
  </sheetViews>
  <sheetFormatPr defaultColWidth="8.6328125" defaultRowHeight="15" customHeight="1" x14ac:dyDescent="0.35"/>
  <cols>
    <col min="1" max="1" width="14.7265625" customWidth="1"/>
    <col min="2" max="2" width="22" customWidth="1"/>
    <col min="3" max="3" width="18" customWidth="1"/>
    <col min="4" max="4" width="27" customWidth="1"/>
    <col min="5" max="6" width="14" customWidth="1"/>
    <col min="7" max="7" width="16.81640625" customWidth="1"/>
    <col min="8" max="8" width="19.453125" customWidth="1"/>
    <col min="9" max="9" width="18" customWidth="1"/>
    <col min="10" max="10" width="20" customWidth="1"/>
    <col min="11" max="11" width="14" customWidth="1"/>
    <col min="12" max="12" width="16.90625" customWidth="1"/>
    <col min="13" max="13" width="22" customWidth="1"/>
    <col min="14" max="14" width="14" customWidth="1"/>
  </cols>
  <sheetData>
    <row r="1" spans="1:14" ht="30" customHeight="1" x14ac:dyDescent="0.35">
      <c r="A1" s="1" t="s">
        <v>7</v>
      </c>
      <c r="B1" s="1" t="s">
        <v>8</v>
      </c>
      <c r="C1" s="1" t="s">
        <v>0</v>
      </c>
      <c r="D1" s="1" t="s">
        <v>9</v>
      </c>
      <c r="E1" s="1" t="s">
        <v>10</v>
      </c>
      <c r="F1" s="1" t="s">
        <v>11</v>
      </c>
      <c r="G1" s="1" t="s">
        <v>925</v>
      </c>
      <c r="H1" s="1" t="s">
        <v>926</v>
      </c>
      <c r="I1" s="1" t="s">
        <v>927</v>
      </c>
      <c r="J1" s="1" t="s">
        <v>928</v>
      </c>
      <c r="K1" s="1" t="s">
        <v>929</v>
      </c>
      <c r="L1" s="1" t="s">
        <v>930</v>
      </c>
      <c r="M1" s="1" t="s">
        <v>931</v>
      </c>
      <c r="N1" s="1" t="s">
        <v>932</v>
      </c>
    </row>
    <row r="2" spans="1:14" ht="14.5" x14ac:dyDescent="0.35">
      <c r="A2" t="s">
        <v>19</v>
      </c>
      <c r="B2" t="s">
        <v>20</v>
      </c>
      <c r="C2" t="s">
        <v>21</v>
      </c>
      <c r="D2" t="s">
        <v>22</v>
      </c>
      <c r="E2" t="s">
        <v>23</v>
      </c>
      <c r="F2">
        <v>36</v>
      </c>
      <c r="G2">
        <v>46289</v>
      </c>
      <c r="H2">
        <v>5.2</v>
      </c>
      <c r="I2">
        <v>2</v>
      </c>
      <c r="J2">
        <v>2</v>
      </c>
      <c r="K2" t="s">
        <v>933</v>
      </c>
      <c r="L2" t="s">
        <v>934</v>
      </c>
    </row>
    <row r="3" spans="1:14" ht="14.5" x14ac:dyDescent="0.35">
      <c r="A3" t="s">
        <v>25</v>
      </c>
      <c r="B3" t="s">
        <v>26</v>
      </c>
      <c r="C3" t="s">
        <v>27</v>
      </c>
      <c r="D3" t="s">
        <v>28</v>
      </c>
      <c r="E3" t="s">
        <v>23</v>
      </c>
      <c r="F3">
        <v>23</v>
      </c>
      <c r="G3">
        <v>40280</v>
      </c>
      <c r="H3">
        <v>7.4</v>
      </c>
      <c r="I3">
        <v>5</v>
      </c>
      <c r="J3">
        <v>4</v>
      </c>
      <c r="K3" t="s">
        <v>933</v>
      </c>
      <c r="L3" t="s">
        <v>934</v>
      </c>
    </row>
    <row r="4" spans="1:14" ht="14.5" x14ac:dyDescent="0.35">
      <c r="A4" t="s">
        <v>30</v>
      </c>
      <c r="B4" t="s">
        <v>31</v>
      </c>
      <c r="C4" t="s">
        <v>27</v>
      </c>
      <c r="D4" t="s">
        <v>28</v>
      </c>
      <c r="E4" t="s">
        <v>32</v>
      </c>
      <c r="F4">
        <v>55</v>
      </c>
      <c r="G4">
        <v>56893</v>
      </c>
      <c r="H4">
        <v>3</v>
      </c>
      <c r="I4">
        <v>4</v>
      </c>
      <c r="J4">
        <v>2</v>
      </c>
      <c r="K4" t="s">
        <v>935</v>
      </c>
      <c r="L4" t="s">
        <v>934</v>
      </c>
    </row>
    <row r="5" spans="1:14" ht="14.5" x14ac:dyDescent="0.35">
      <c r="A5" t="s">
        <v>34</v>
      </c>
      <c r="B5" t="s">
        <v>35</v>
      </c>
      <c r="C5" t="s">
        <v>36</v>
      </c>
      <c r="D5" t="s">
        <v>37</v>
      </c>
      <c r="E5" t="s">
        <v>32</v>
      </c>
      <c r="F5">
        <v>48</v>
      </c>
      <c r="G5">
        <v>64421</v>
      </c>
      <c r="H5">
        <v>3.9</v>
      </c>
      <c r="I5">
        <v>2</v>
      </c>
      <c r="J5">
        <v>1</v>
      </c>
      <c r="K5" t="s">
        <v>933</v>
      </c>
      <c r="L5" t="s">
        <v>934</v>
      </c>
    </row>
    <row r="6" spans="1:14" ht="14.5" x14ac:dyDescent="0.35">
      <c r="A6" t="s">
        <v>38</v>
      </c>
      <c r="B6" t="s">
        <v>39</v>
      </c>
      <c r="C6" t="s">
        <v>40</v>
      </c>
      <c r="D6" t="s">
        <v>41</v>
      </c>
      <c r="E6" t="s">
        <v>32</v>
      </c>
      <c r="F6">
        <v>45</v>
      </c>
      <c r="G6">
        <v>75052</v>
      </c>
      <c r="H6">
        <v>6.7</v>
      </c>
      <c r="I6">
        <v>5</v>
      </c>
      <c r="J6">
        <v>4</v>
      </c>
      <c r="K6" t="s">
        <v>933</v>
      </c>
      <c r="L6" t="s">
        <v>936</v>
      </c>
      <c r="M6" t="s">
        <v>937</v>
      </c>
      <c r="N6" s="2">
        <v>45469</v>
      </c>
    </row>
    <row r="7" spans="1:14" ht="14.5" x14ac:dyDescent="0.35">
      <c r="A7" t="s">
        <v>43</v>
      </c>
      <c r="B7" t="s">
        <v>44</v>
      </c>
      <c r="C7" t="s">
        <v>45</v>
      </c>
      <c r="D7" t="s">
        <v>46</v>
      </c>
      <c r="E7" t="s">
        <v>32</v>
      </c>
      <c r="F7">
        <v>50</v>
      </c>
      <c r="G7">
        <v>44361</v>
      </c>
      <c r="H7">
        <v>1.7</v>
      </c>
      <c r="I7">
        <v>4</v>
      </c>
      <c r="J7">
        <v>1</v>
      </c>
      <c r="K7" t="s">
        <v>935</v>
      </c>
      <c r="L7" t="s">
        <v>934</v>
      </c>
    </row>
    <row r="8" spans="1:14" ht="14.5" x14ac:dyDescent="0.35">
      <c r="A8" t="s">
        <v>47</v>
      </c>
      <c r="B8" t="s">
        <v>48</v>
      </c>
      <c r="C8" t="s">
        <v>21</v>
      </c>
      <c r="D8" t="s">
        <v>49</v>
      </c>
      <c r="E8" t="s">
        <v>23</v>
      </c>
      <c r="F8">
        <v>44</v>
      </c>
      <c r="G8">
        <v>53203</v>
      </c>
      <c r="H8">
        <v>1.3</v>
      </c>
      <c r="I8">
        <v>5</v>
      </c>
      <c r="J8">
        <v>3</v>
      </c>
      <c r="K8" t="s">
        <v>933</v>
      </c>
      <c r="L8" t="s">
        <v>934</v>
      </c>
    </row>
    <row r="9" spans="1:14" ht="14.5" x14ac:dyDescent="0.35">
      <c r="A9" t="s">
        <v>50</v>
      </c>
      <c r="B9" t="s">
        <v>51</v>
      </c>
      <c r="C9" t="s">
        <v>52</v>
      </c>
      <c r="D9" t="s">
        <v>53</v>
      </c>
      <c r="E9" t="s">
        <v>32</v>
      </c>
      <c r="F9">
        <v>39</v>
      </c>
      <c r="G9">
        <v>58512</v>
      </c>
      <c r="H9">
        <v>6.9</v>
      </c>
      <c r="I9">
        <v>4</v>
      </c>
      <c r="J9">
        <v>3</v>
      </c>
      <c r="K9" t="s">
        <v>935</v>
      </c>
      <c r="L9" t="s">
        <v>934</v>
      </c>
    </row>
    <row r="10" spans="1:14" ht="14.5" x14ac:dyDescent="0.35">
      <c r="A10" t="s">
        <v>54</v>
      </c>
      <c r="B10" t="s">
        <v>55</v>
      </c>
      <c r="C10" t="s">
        <v>56</v>
      </c>
      <c r="D10" t="s">
        <v>57</v>
      </c>
      <c r="E10" t="s">
        <v>23</v>
      </c>
      <c r="F10">
        <v>44</v>
      </c>
      <c r="G10">
        <v>76520</v>
      </c>
      <c r="H10">
        <v>5.9</v>
      </c>
      <c r="I10">
        <v>5</v>
      </c>
      <c r="J10">
        <v>2</v>
      </c>
      <c r="K10" t="s">
        <v>933</v>
      </c>
      <c r="L10" t="s">
        <v>936</v>
      </c>
      <c r="M10" t="s">
        <v>938</v>
      </c>
      <c r="N10" s="2">
        <v>45302</v>
      </c>
    </row>
    <row r="11" spans="1:14" ht="14.5" x14ac:dyDescent="0.35">
      <c r="A11" t="s">
        <v>58</v>
      </c>
      <c r="B11" t="s">
        <v>59</v>
      </c>
      <c r="C11" t="s">
        <v>36</v>
      </c>
      <c r="D11" t="s">
        <v>37</v>
      </c>
      <c r="E11" t="s">
        <v>32</v>
      </c>
      <c r="F11">
        <v>55</v>
      </c>
      <c r="G11">
        <v>49417</v>
      </c>
      <c r="H11">
        <v>5</v>
      </c>
      <c r="I11">
        <v>3</v>
      </c>
      <c r="J11">
        <v>3</v>
      </c>
      <c r="K11" t="s">
        <v>935</v>
      </c>
      <c r="L11" t="s">
        <v>934</v>
      </c>
    </row>
    <row r="12" spans="1:14" ht="14.5" x14ac:dyDescent="0.35">
      <c r="A12" t="s">
        <v>60</v>
      </c>
      <c r="B12" t="s">
        <v>61</v>
      </c>
      <c r="C12" t="s">
        <v>36</v>
      </c>
      <c r="D12" t="s">
        <v>62</v>
      </c>
      <c r="E12" t="s">
        <v>32</v>
      </c>
      <c r="F12">
        <v>41</v>
      </c>
      <c r="G12">
        <v>58021</v>
      </c>
      <c r="H12">
        <v>7.1</v>
      </c>
      <c r="I12">
        <v>4</v>
      </c>
      <c r="J12">
        <v>1</v>
      </c>
      <c r="K12" t="s">
        <v>933</v>
      </c>
      <c r="L12" t="s">
        <v>934</v>
      </c>
    </row>
    <row r="13" spans="1:14" ht="14.5" x14ac:dyDescent="0.35">
      <c r="A13" t="s">
        <v>63</v>
      </c>
      <c r="B13" t="s">
        <v>64</v>
      </c>
      <c r="C13" t="s">
        <v>40</v>
      </c>
      <c r="D13" t="s">
        <v>65</v>
      </c>
      <c r="E13" t="s">
        <v>23</v>
      </c>
      <c r="F13">
        <v>25</v>
      </c>
      <c r="G13">
        <v>102341</v>
      </c>
      <c r="H13">
        <v>5.4</v>
      </c>
      <c r="I13">
        <v>2</v>
      </c>
      <c r="J13">
        <v>5</v>
      </c>
      <c r="K13" t="s">
        <v>933</v>
      </c>
      <c r="L13" t="s">
        <v>934</v>
      </c>
    </row>
    <row r="14" spans="1:14" ht="14.5" x14ac:dyDescent="0.35">
      <c r="A14" t="s">
        <v>67</v>
      </c>
      <c r="B14" t="s">
        <v>68</v>
      </c>
      <c r="C14" t="s">
        <v>69</v>
      </c>
      <c r="D14" t="s">
        <v>70</v>
      </c>
      <c r="E14" t="s">
        <v>23</v>
      </c>
      <c r="F14">
        <v>50</v>
      </c>
      <c r="G14">
        <v>62718</v>
      </c>
      <c r="H14">
        <v>6.1</v>
      </c>
      <c r="I14">
        <v>2</v>
      </c>
      <c r="J14">
        <v>3</v>
      </c>
      <c r="K14" t="s">
        <v>933</v>
      </c>
      <c r="L14" t="s">
        <v>934</v>
      </c>
    </row>
    <row r="15" spans="1:14" ht="14.5" x14ac:dyDescent="0.35">
      <c r="A15" t="s">
        <v>71</v>
      </c>
      <c r="B15" t="s">
        <v>72</v>
      </c>
      <c r="C15" t="s">
        <v>27</v>
      </c>
      <c r="D15" t="s">
        <v>73</v>
      </c>
      <c r="E15" t="s">
        <v>23</v>
      </c>
      <c r="F15">
        <v>58</v>
      </c>
      <c r="G15">
        <v>75447</v>
      </c>
      <c r="H15">
        <v>3.3</v>
      </c>
      <c r="I15">
        <v>1</v>
      </c>
      <c r="J15">
        <v>2</v>
      </c>
      <c r="K15" t="s">
        <v>935</v>
      </c>
      <c r="L15" t="s">
        <v>934</v>
      </c>
    </row>
    <row r="16" spans="1:14" ht="14.5" x14ac:dyDescent="0.35">
      <c r="A16" t="s">
        <v>74</v>
      </c>
      <c r="B16" t="s">
        <v>75</v>
      </c>
      <c r="C16" t="s">
        <v>27</v>
      </c>
      <c r="D16" t="s">
        <v>76</v>
      </c>
      <c r="E16" t="s">
        <v>32</v>
      </c>
      <c r="F16">
        <v>24</v>
      </c>
      <c r="G16">
        <v>48033</v>
      </c>
      <c r="H16">
        <v>6.5</v>
      </c>
      <c r="I16">
        <v>4</v>
      </c>
      <c r="J16">
        <v>3</v>
      </c>
      <c r="K16" t="s">
        <v>935</v>
      </c>
      <c r="L16" t="s">
        <v>934</v>
      </c>
    </row>
    <row r="17" spans="1:14" ht="14.5" x14ac:dyDescent="0.35">
      <c r="A17" t="s">
        <v>77</v>
      </c>
      <c r="B17" t="s">
        <v>78</v>
      </c>
      <c r="C17" t="s">
        <v>56</v>
      </c>
      <c r="D17" t="s">
        <v>79</v>
      </c>
      <c r="E17" t="s">
        <v>23</v>
      </c>
      <c r="F17">
        <v>45</v>
      </c>
      <c r="G17">
        <v>89348</v>
      </c>
      <c r="H17">
        <v>1.1000000000000001</v>
      </c>
      <c r="I17">
        <v>5</v>
      </c>
      <c r="J17">
        <v>3</v>
      </c>
      <c r="K17" t="s">
        <v>935</v>
      </c>
      <c r="L17" t="s">
        <v>934</v>
      </c>
    </row>
    <row r="18" spans="1:14" ht="14.5" x14ac:dyDescent="0.35">
      <c r="A18" t="s">
        <v>80</v>
      </c>
      <c r="B18" t="s">
        <v>81</v>
      </c>
      <c r="C18" t="s">
        <v>27</v>
      </c>
      <c r="D18" t="s">
        <v>28</v>
      </c>
      <c r="E18" t="s">
        <v>32</v>
      </c>
      <c r="F18">
        <v>55</v>
      </c>
      <c r="G18">
        <v>112012</v>
      </c>
      <c r="H18">
        <v>4.8</v>
      </c>
      <c r="I18">
        <v>5</v>
      </c>
      <c r="J18">
        <v>4</v>
      </c>
      <c r="K18" t="s">
        <v>933</v>
      </c>
      <c r="L18" t="s">
        <v>934</v>
      </c>
    </row>
    <row r="19" spans="1:14" ht="14.5" x14ac:dyDescent="0.35">
      <c r="A19" t="s">
        <v>82</v>
      </c>
      <c r="B19" t="s">
        <v>83</v>
      </c>
      <c r="C19" t="s">
        <v>36</v>
      </c>
      <c r="D19" t="s">
        <v>84</v>
      </c>
      <c r="E19" t="s">
        <v>32</v>
      </c>
      <c r="F19">
        <v>50</v>
      </c>
      <c r="G19">
        <v>122646</v>
      </c>
      <c r="H19">
        <v>7.7</v>
      </c>
      <c r="I19">
        <v>5</v>
      </c>
      <c r="J19">
        <v>2</v>
      </c>
      <c r="K19" t="s">
        <v>933</v>
      </c>
      <c r="L19" t="s">
        <v>934</v>
      </c>
    </row>
    <row r="20" spans="1:14" ht="14.5" x14ac:dyDescent="0.35">
      <c r="A20" t="s">
        <v>85</v>
      </c>
      <c r="B20" t="s">
        <v>86</v>
      </c>
      <c r="C20" t="s">
        <v>27</v>
      </c>
      <c r="D20" t="s">
        <v>87</v>
      </c>
      <c r="E20" t="s">
        <v>32</v>
      </c>
      <c r="F20">
        <v>40</v>
      </c>
      <c r="G20">
        <v>107818</v>
      </c>
      <c r="H20">
        <v>2.1</v>
      </c>
      <c r="I20">
        <v>3</v>
      </c>
      <c r="J20">
        <v>5</v>
      </c>
      <c r="K20" t="s">
        <v>935</v>
      </c>
      <c r="L20" t="s">
        <v>934</v>
      </c>
    </row>
    <row r="21" spans="1:14" ht="14.5" x14ac:dyDescent="0.35">
      <c r="A21" t="s">
        <v>88</v>
      </c>
      <c r="B21" t="s">
        <v>89</v>
      </c>
      <c r="C21" t="s">
        <v>40</v>
      </c>
      <c r="D21" t="s">
        <v>90</v>
      </c>
      <c r="E21" t="s">
        <v>32</v>
      </c>
      <c r="F21">
        <v>41</v>
      </c>
      <c r="G21">
        <v>30552</v>
      </c>
      <c r="H21">
        <v>2.2999999999999998</v>
      </c>
      <c r="I21">
        <v>3</v>
      </c>
      <c r="J21">
        <v>4</v>
      </c>
      <c r="K21" t="s">
        <v>935</v>
      </c>
      <c r="L21" t="s">
        <v>934</v>
      </c>
    </row>
    <row r="22" spans="1:14" ht="14.5" x14ac:dyDescent="0.35">
      <c r="A22" t="s">
        <v>91</v>
      </c>
      <c r="B22" t="s">
        <v>92</v>
      </c>
      <c r="C22" t="s">
        <v>36</v>
      </c>
      <c r="D22" t="s">
        <v>93</v>
      </c>
      <c r="E22" t="s">
        <v>32</v>
      </c>
      <c r="F22">
        <v>36</v>
      </c>
      <c r="G22">
        <v>38322</v>
      </c>
      <c r="H22">
        <v>1.4</v>
      </c>
      <c r="I22">
        <v>1</v>
      </c>
      <c r="J22">
        <v>2</v>
      </c>
      <c r="K22" t="s">
        <v>935</v>
      </c>
      <c r="L22" t="s">
        <v>936</v>
      </c>
      <c r="M22" t="s">
        <v>939</v>
      </c>
      <c r="N22" s="2">
        <v>45501</v>
      </c>
    </row>
    <row r="23" spans="1:14" ht="14.5" x14ac:dyDescent="0.35">
      <c r="A23" t="s">
        <v>94</v>
      </c>
      <c r="B23" t="s">
        <v>95</v>
      </c>
      <c r="C23" t="s">
        <v>21</v>
      </c>
      <c r="D23" t="s">
        <v>49</v>
      </c>
      <c r="E23" t="s">
        <v>32</v>
      </c>
      <c r="F23">
        <v>29</v>
      </c>
      <c r="G23">
        <v>100063</v>
      </c>
      <c r="H23">
        <v>2.4</v>
      </c>
      <c r="I23">
        <v>2</v>
      </c>
      <c r="J23">
        <v>2</v>
      </c>
      <c r="K23" t="s">
        <v>935</v>
      </c>
      <c r="L23" t="s">
        <v>934</v>
      </c>
    </row>
    <row r="24" spans="1:14" ht="14.5" x14ac:dyDescent="0.35">
      <c r="A24" t="s">
        <v>96</v>
      </c>
      <c r="B24" t="s">
        <v>97</v>
      </c>
      <c r="C24" t="s">
        <v>27</v>
      </c>
      <c r="D24" t="s">
        <v>76</v>
      </c>
      <c r="E24" t="s">
        <v>32</v>
      </c>
      <c r="F24">
        <v>55</v>
      </c>
      <c r="G24">
        <v>121447</v>
      </c>
      <c r="H24">
        <v>5.5</v>
      </c>
      <c r="I24">
        <v>2</v>
      </c>
      <c r="J24">
        <v>1</v>
      </c>
      <c r="K24" t="s">
        <v>933</v>
      </c>
      <c r="L24" t="s">
        <v>934</v>
      </c>
    </row>
    <row r="25" spans="1:14" ht="14.5" x14ac:dyDescent="0.35">
      <c r="A25" t="s">
        <v>98</v>
      </c>
      <c r="B25" t="s">
        <v>99</v>
      </c>
      <c r="C25" t="s">
        <v>40</v>
      </c>
      <c r="D25" t="s">
        <v>65</v>
      </c>
      <c r="E25" t="s">
        <v>23</v>
      </c>
      <c r="F25">
        <v>28</v>
      </c>
      <c r="G25">
        <v>57451</v>
      </c>
      <c r="H25">
        <v>5</v>
      </c>
      <c r="I25">
        <v>4</v>
      </c>
      <c r="J25">
        <v>3</v>
      </c>
      <c r="K25" t="s">
        <v>933</v>
      </c>
      <c r="L25" t="s">
        <v>934</v>
      </c>
    </row>
    <row r="26" spans="1:14" ht="14.5" x14ac:dyDescent="0.35">
      <c r="A26" t="s">
        <v>100</v>
      </c>
      <c r="B26" t="s">
        <v>101</v>
      </c>
      <c r="C26" t="s">
        <v>52</v>
      </c>
      <c r="D26" t="s">
        <v>102</v>
      </c>
      <c r="E26" t="s">
        <v>32</v>
      </c>
      <c r="F26">
        <v>58</v>
      </c>
      <c r="G26">
        <v>28942</v>
      </c>
      <c r="H26">
        <v>5.3</v>
      </c>
      <c r="I26">
        <v>2</v>
      </c>
      <c r="J26">
        <v>1</v>
      </c>
      <c r="K26" t="s">
        <v>933</v>
      </c>
      <c r="L26" t="s">
        <v>934</v>
      </c>
    </row>
    <row r="27" spans="1:14" ht="14.5" x14ac:dyDescent="0.35">
      <c r="A27" t="s">
        <v>103</v>
      </c>
      <c r="B27" t="s">
        <v>104</v>
      </c>
      <c r="C27" t="s">
        <v>69</v>
      </c>
      <c r="D27" t="s">
        <v>105</v>
      </c>
      <c r="E27" t="s">
        <v>32</v>
      </c>
      <c r="F27">
        <v>42</v>
      </c>
      <c r="G27">
        <v>95391</v>
      </c>
      <c r="H27">
        <v>7</v>
      </c>
      <c r="I27">
        <v>4</v>
      </c>
      <c r="J27">
        <v>5</v>
      </c>
      <c r="K27" t="s">
        <v>935</v>
      </c>
      <c r="L27" t="s">
        <v>934</v>
      </c>
    </row>
    <row r="28" spans="1:14" ht="14.5" x14ac:dyDescent="0.35">
      <c r="A28" t="s">
        <v>106</v>
      </c>
      <c r="B28" t="s">
        <v>107</v>
      </c>
      <c r="C28" t="s">
        <v>108</v>
      </c>
      <c r="D28" t="s">
        <v>109</v>
      </c>
      <c r="E28" t="s">
        <v>32</v>
      </c>
      <c r="F28">
        <v>57</v>
      </c>
      <c r="G28">
        <v>89953</v>
      </c>
      <c r="H28">
        <v>1.3</v>
      </c>
      <c r="I28">
        <v>4</v>
      </c>
      <c r="J28">
        <v>5</v>
      </c>
      <c r="K28" t="s">
        <v>933</v>
      </c>
      <c r="L28" t="s">
        <v>936</v>
      </c>
      <c r="M28" t="s">
        <v>940</v>
      </c>
      <c r="N28" s="2">
        <v>46102</v>
      </c>
    </row>
    <row r="29" spans="1:14" ht="14.5" x14ac:dyDescent="0.35">
      <c r="A29" t="s">
        <v>110</v>
      </c>
      <c r="B29" t="s">
        <v>111</v>
      </c>
      <c r="C29" t="s">
        <v>56</v>
      </c>
      <c r="D29" t="s">
        <v>112</v>
      </c>
      <c r="E29" t="s">
        <v>32</v>
      </c>
      <c r="F29">
        <v>27</v>
      </c>
      <c r="G29">
        <v>74438</v>
      </c>
      <c r="H29">
        <v>2.9</v>
      </c>
      <c r="I29">
        <v>2</v>
      </c>
      <c r="J29">
        <v>5</v>
      </c>
      <c r="K29" t="s">
        <v>935</v>
      </c>
      <c r="L29" t="s">
        <v>934</v>
      </c>
    </row>
    <row r="30" spans="1:14" ht="14.5" x14ac:dyDescent="0.35">
      <c r="A30" t="s">
        <v>113</v>
      </c>
      <c r="B30" t="s">
        <v>81</v>
      </c>
      <c r="C30" t="s">
        <v>108</v>
      </c>
      <c r="D30" t="s">
        <v>114</v>
      </c>
      <c r="E30" t="s">
        <v>32</v>
      </c>
      <c r="F30">
        <v>24</v>
      </c>
      <c r="G30">
        <v>123448</v>
      </c>
      <c r="H30">
        <v>3.2</v>
      </c>
      <c r="I30">
        <v>5</v>
      </c>
      <c r="J30">
        <v>1</v>
      </c>
      <c r="K30" t="s">
        <v>933</v>
      </c>
      <c r="L30" t="s">
        <v>934</v>
      </c>
    </row>
    <row r="31" spans="1:14" ht="14.5" x14ac:dyDescent="0.35">
      <c r="A31" t="s">
        <v>115</v>
      </c>
      <c r="B31" t="s">
        <v>116</v>
      </c>
      <c r="C31" t="s">
        <v>69</v>
      </c>
      <c r="D31" t="s">
        <v>117</v>
      </c>
      <c r="E31" t="s">
        <v>32</v>
      </c>
      <c r="F31">
        <v>55</v>
      </c>
      <c r="G31">
        <v>46373</v>
      </c>
      <c r="H31">
        <v>2.7</v>
      </c>
      <c r="I31">
        <v>1</v>
      </c>
      <c r="J31">
        <v>4</v>
      </c>
      <c r="K31" t="s">
        <v>935</v>
      </c>
      <c r="L31" t="s">
        <v>934</v>
      </c>
    </row>
    <row r="32" spans="1:14" ht="14.5" x14ac:dyDescent="0.35">
      <c r="A32" t="s">
        <v>118</v>
      </c>
      <c r="B32" t="s">
        <v>119</v>
      </c>
      <c r="C32" t="s">
        <v>36</v>
      </c>
      <c r="D32" t="s">
        <v>84</v>
      </c>
      <c r="E32" t="s">
        <v>32</v>
      </c>
      <c r="F32">
        <v>25</v>
      </c>
      <c r="G32">
        <v>100132</v>
      </c>
      <c r="H32">
        <v>2.8</v>
      </c>
      <c r="I32">
        <v>1</v>
      </c>
      <c r="J32">
        <v>4</v>
      </c>
      <c r="K32" t="s">
        <v>935</v>
      </c>
      <c r="L32" t="s">
        <v>934</v>
      </c>
    </row>
    <row r="33" spans="1:14" ht="14.5" x14ac:dyDescent="0.35">
      <c r="A33" t="s">
        <v>120</v>
      </c>
      <c r="B33" t="s">
        <v>121</v>
      </c>
      <c r="C33" t="s">
        <v>27</v>
      </c>
      <c r="D33" t="s">
        <v>28</v>
      </c>
      <c r="E33" t="s">
        <v>32</v>
      </c>
      <c r="F33">
        <v>36</v>
      </c>
      <c r="G33">
        <v>81269</v>
      </c>
      <c r="H33">
        <v>5.9</v>
      </c>
      <c r="I33">
        <v>1</v>
      </c>
      <c r="J33">
        <v>3</v>
      </c>
      <c r="K33" t="s">
        <v>933</v>
      </c>
      <c r="L33" t="s">
        <v>934</v>
      </c>
    </row>
    <row r="34" spans="1:14" ht="14.5" x14ac:dyDescent="0.35">
      <c r="A34" t="s">
        <v>122</v>
      </c>
      <c r="B34" t="s">
        <v>123</v>
      </c>
      <c r="C34" t="s">
        <v>69</v>
      </c>
      <c r="D34" t="s">
        <v>70</v>
      </c>
      <c r="E34" t="s">
        <v>32</v>
      </c>
      <c r="F34">
        <v>31</v>
      </c>
      <c r="G34">
        <v>28282</v>
      </c>
      <c r="H34">
        <v>3.5</v>
      </c>
      <c r="I34">
        <v>1</v>
      </c>
      <c r="J34">
        <v>2</v>
      </c>
      <c r="K34" t="s">
        <v>933</v>
      </c>
      <c r="L34" t="s">
        <v>934</v>
      </c>
    </row>
    <row r="35" spans="1:14" ht="14.5" x14ac:dyDescent="0.35">
      <c r="A35" t="s">
        <v>124</v>
      </c>
      <c r="B35" t="s">
        <v>125</v>
      </c>
      <c r="C35" t="s">
        <v>108</v>
      </c>
      <c r="D35" t="s">
        <v>126</v>
      </c>
      <c r="E35" t="s">
        <v>23</v>
      </c>
      <c r="F35">
        <v>56</v>
      </c>
      <c r="G35">
        <v>48289</v>
      </c>
      <c r="H35">
        <v>2.2999999999999998</v>
      </c>
      <c r="I35">
        <v>3</v>
      </c>
      <c r="J35">
        <v>1</v>
      </c>
      <c r="K35" t="s">
        <v>933</v>
      </c>
      <c r="L35" t="s">
        <v>934</v>
      </c>
    </row>
    <row r="36" spans="1:14" ht="14.5" x14ac:dyDescent="0.35">
      <c r="A36" t="s">
        <v>127</v>
      </c>
      <c r="B36" t="s">
        <v>128</v>
      </c>
      <c r="C36" t="s">
        <v>69</v>
      </c>
      <c r="D36" t="s">
        <v>105</v>
      </c>
      <c r="E36" t="s">
        <v>32</v>
      </c>
      <c r="F36">
        <v>41</v>
      </c>
      <c r="G36">
        <v>34572</v>
      </c>
      <c r="H36">
        <v>7.1</v>
      </c>
      <c r="I36">
        <v>5</v>
      </c>
      <c r="J36">
        <v>5</v>
      </c>
      <c r="K36" t="s">
        <v>935</v>
      </c>
      <c r="L36" t="s">
        <v>934</v>
      </c>
    </row>
    <row r="37" spans="1:14" ht="14.5" x14ac:dyDescent="0.35">
      <c r="A37" t="s">
        <v>129</v>
      </c>
      <c r="B37" t="s">
        <v>130</v>
      </c>
      <c r="C37" t="s">
        <v>27</v>
      </c>
      <c r="D37" t="s">
        <v>87</v>
      </c>
      <c r="E37" t="s">
        <v>32</v>
      </c>
      <c r="F37">
        <v>53</v>
      </c>
      <c r="G37">
        <v>52356</v>
      </c>
      <c r="H37">
        <v>6.8</v>
      </c>
      <c r="I37">
        <v>3</v>
      </c>
      <c r="J37">
        <v>2</v>
      </c>
      <c r="K37" t="s">
        <v>935</v>
      </c>
      <c r="L37" t="s">
        <v>934</v>
      </c>
    </row>
    <row r="38" spans="1:14" ht="14.5" x14ac:dyDescent="0.35">
      <c r="A38" t="s">
        <v>131</v>
      </c>
      <c r="B38" t="s">
        <v>132</v>
      </c>
      <c r="C38" t="s">
        <v>21</v>
      </c>
      <c r="D38" t="s">
        <v>133</v>
      </c>
      <c r="E38" t="s">
        <v>23</v>
      </c>
      <c r="F38">
        <v>28</v>
      </c>
      <c r="G38">
        <v>60271</v>
      </c>
      <c r="H38">
        <v>1.4</v>
      </c>
      <c r="I38">
        <v>2</v>
      </c>
      <c r="J38">
        <v>2</v>
      </c>
      <c r="K38" t="s">
        <v>933</v>
      </c>
      <c r="L38" t="s">
        <v>934</v>
      </c>
    </row>
    <row r="39" spans="1:14" ht="14.5" x14ac:dyDescent="0.35">
      <c r="A39" t="s">
        <v>134</v>
      </c>
      <c r="B39" t="s">
        <v>135</v>
      </c>
      <c r="C39" t="s">
        <v>52</v>
      </c>
      <c r="D39" t="s">
        <v>102</v>
      </c>
      <c r="E39" t="s">
        <v>32</v>
      </c>
      <c r="F39">
        <v>47</v>
      </c>
      <c r="G39">
        <v>102085</v>
      </c>
      <c r="H39">
        <v>1.2</v>
      </c>
      <c r="I39">
        <v>2</v>
      </c>
      <c r="J39">
        <v>5</v>
      </c>
      <c r="K39" t="s">
        <v>933</v>
      </c>
      <c r="L39" t="s">
        <v>936</v>
      </c>
      <c r="M39" t="s">
        <v>941</v>
      </c>
      <c r="N39" s="2">
        <v>45308</v>
      </c>
    </row>
    <row r="40" spans="1:14" ht="14.5" x14ac:dyDescent="0.35">
      <c r="A40" t="s">
        <v>136</v>
      </c>
      <c r="B40" t="s">
        <v>137</v>
      </c>
      <c r="C40" t="s">
        <v>36</v>
      </c>
      <c r="D40" t="s">
        <v>93</v>
      </c>
      <c r="E40" t="s">
        <v>23</v>
      </c>
      <c r="F40">
        <v>36</v>
      </c>
      <c r="G40">
        <v>79876</v>
      </c>
      <c r="H40">
        <v>4.8</v>
      </c>
      <c r="I40">
        <v>3</v>
      </c>
      <c r="J40">
        <v>4</v>
      </c>
      <c r="K40" t="s">
        <v>933</v>
      </c>
      <c r="L40" t="s">
        <v>934</v>
      </c>
    </row>
    <row r="41" spans="1:14" ht="14.5" x14ac:dyDescent="0.35">
      <c r="A41" t="s">
        <v>138</v>
      </c>
      <c r="B41" t="s">
        <v>139</v>
      </c>
      <c r="C41" t="s">
        <v>108</v>
      </c>
      <c r="D41" t="s">
        <v>126</v>
      </c>
      <c r="E41" t="s">
        <v>32</v>
      </c>
      <c r="F41">
        <v>21</v>
      </c>
      <c r="G41">
        <v>109416</v>
      </c>
      <c r="H41">
        <v>2.6</v>
      </c>
      <c r="I41">
        <v>1</v>
      </c>
      <c r="J41">
        <v>2</v>
      </c>
      <c r="K41" t="s">
        <v>933</v>
      </c>
      <c r="L41" t="s">
        <v>934</v>
      </c>
    </row>
    <row r="42" spans="1:14" ht="14.5" x14ac:dyDescent="0.35">
      <c r="A42" t="s">
        <v>140</v>
      </c>
      <c r="B42" t="s">
        <v>141</v>
      </c>
      <c r="C42" t="s">
        <v>21</v>
      </c>
      <c r="D42" t="s">
        <v>49</v>
      </c>
      <c r="E42" t="s">
        <v>32</v>
      </c>
      <c r="F42">
        <v>53</v>
      </c>
      <c r="G42">
        <v>45361</v>
      </c>
      <c r="H42">
        <v>4.8</v>
      </c>
      <c r="I42">
        <v>3</v>
      </c>
      <c r="J42">
        <v>4</v>
      </c>
      <c r="K42" t="s">
        <v>935</v>
      </c>
      <c r="L42" t="s">
        <v>934</v>
      </c>
    </row>
    <row r="43" spans="1:14" ht="14.5" x14ac:dyDescent="0.35">
      <c r="A43" t="s">
        <v>142</v>
      </c>
      <c r="B43" t="s">
        <v>143</v>
      </c>
      <c r="C43" t="s">
        <v>21</v>
      </c>
      <c r="D43" t="s">
        <v>133</v>
      </c>
      <c r="E43" t="s">
        <v>23</v>
      </c>
      <c r="F43">
        <v>39</v>
      </c>
      <c r="G43">
        <v>85433</v>
      </c>
      <c r="H43">
        <v>6</v>
      </c>
      <c r="I43">
        <v>1</v>
      </c>
      <c r="J43">
        <v>4</v>
      </c>
      <c r="K43" t="s">
        <v>935</v>
      </c>
      <c r="L43" t="s">
        <v>934</v>
      </c>
    </row>
    <row r="44" spans="1:14" ht="14.5" x14ac:dyDescent="0.35">
      <c r="A44" t="s">
        <v>144</v>
      </c>
      <c r="B44" t="s">
        <v>145</v>
      </c>
      <c r="C44" t="s">
        <v>36</v>
      </c>
      <c r="D44" t="s">
        <v>62</v>
      </c>
      <c r="E44" t="s">
        <v>32</v>
      </c>
      <c r="F44">
        <v>56</v>
      </c>
      <c r="G44">
        <v>114951</v>
      </c>
      <c r="H44">
        <v>4.4000000000000004</v>
      </c>
      <c r="I44">
        <v>1</v>
      </c>
      <c r="J44">
        <v>4</v>
      </c>
      <c r="K44" t="s">
        <v>935</v>
      </c>
      <c r="L44" t="s">
        <v>934</v>
      </c>
    </row>
    <row r="45" spans="1:14" ht="14.5" x14ac:dyDescent="0.35">
      <c r="A45" t="s">
        <v>146</v>
      </c>
      <c r="B45" t="s">
        <v>147</v>
      </c>
      <c r="C45" t="s">
        <v>36</v>
      </c>
      <c r="D45" t="s">
        <v>37</v>
      </c>
      <c r="E45" t="s">
        <v>32</v>
      </c>
      <c r="F45">
        <v>56</v>
      </c>
      <c r="G45">
        <v>63697</v>
      </c>
      <c r="H45">
        <v>6</v>
      </c>
      <c r="I45">
        <v>4</v>
      </c>
      <c r="J45">
        <v>5</v>
      </c>
      <c r="K45" t="s">
        <v>935</v>
      </c>
      <c r="L45" t="s">
        <v>934</v>
      </c>
    </row>
    <row r="46" spans="1:14" ht="14.5" x14ac:dyDescent="0.35">
      <c r="A46" t="s">
        <v>148</v>
      </c>
      <c r="B46" t="s">
        <v>149</v>
      </c>
      <c r="C46" t="s">
        <v>69</v>
      </c>
      <c r="D46" t="s">
        <v>150</v>
      </c>
      <c r="E46" t="s">
        <v>32</v>
      </c>
      <c r="F46">
        <v>37</v>
      </c>
      <c r="G46">
        <v>92032</v>
      </c>
      <c r="H46">
        <v>2.1</v>
      </c>
      <c r="I46">
        <v>3</v>
      </c>
      <c r="J46">
        <v>2</v>
      </c>
      <c r="K46" t="s">
        <v>933</v>
      </c>
      <c r="L46" t="s">
        <v>934</v>
      </c>
    </row>
    <row r="47" spans="1:14" ht="14.5" x14ac:dyDescent="0.35">
      <c r="A47" t="s">
        <v>151</v>
      </c>
      <c r="B47" t="s">
        <v>152</v>
      </c>
      <c r="C47" t="s">
        <v>21</v>
      </c>
      <c r="D47" t="s">
        <v>153</v>
      </c>
      <c r="E47" t="s">
        <v>23</v>
      </c>
      <c r="F47">
        <v>23</v>
      </c>
      <c r="G47">
        <v>71719</v>
      </c>
      <c r="H47">
        <v>7.7</v>
      </c>
      <c r="I47">
        <v>3</v>
      </c>
      <c r="J47">
        <v>2</v>
      </c>
      <c r="K47" t="s">
        <v>933</v>
      </c>
      <c r="L47" t="s">
        <v>936</v>
      </c>
      <c r="M47" t="s">
        <v>941</v>
      </c>
      <c r="N47" s="2">
        <v>46217</v>
      </c>
    </row>
    <row r="48" spans="1:14" ht="14.5" x14ac:dyDescent="0.35">
      <c r="A48" t="s">
        <v>154</v>
      </c>
      <c r="B48" t="s">
        <v>155</v>
      </c>
      <c r="C48" t="s">
        <v>36</v>
      </c>
      <c r="D48" t="s">
        <v>93</v>
      </c>
      <c r="E48" t="s">
        <v>23</v>
      </c>
      <c r="F48">
        <v>56</v>
      </c>
      <c r="G48">
        <v>101519</v>
      </c>
      <c r="H48">
        <v>3</v>
      </c>
      <c r="I48">
        <v>2</v>
      </c>
      <c r="J48">
        <v>5</v>
      </c>
      <c r="K48" t="s">
        <v>935</v>
      </c>
      <c r="L48" t="s">
        <v>934</v>
      </c>
    </row>
    <row r="49" spans="1:14" ht="14.5" x14ac:dyDescent="0.35">
      <c r="A49" t="s">
        <v>156</v>
      </c>
      <c r="B49" t="s">
        <v>157</v>
      </c>
      <c r="C49" t="s">
        <v>21</v>
      </c>
      <c r="D49" t="s">
        <v>133</v>
      </c>
      <c r="E49" t="s">
        <v>32</v>
      </c>
      <c r="F49">
        <v>44</v>
      </c>
      <c r="G49">
        <v>100420</v>
      </c>
      <c r="H49">
        <v>1.2</v>
      </c>
      <c r="I49">
        <v>2</v>
      </c>
      <c r="J49">
        <v>2</v>
      </c>
      <c r="K49" t="s">
        <v>933</v>
      </c>
      <c r="L49" t="s">
        <v>934</v>
      </c>
    </row>
    <row r="50" spans="1:14" ht="14.5" x14ac:dyDescent="0.35">
      <c r="A50" t="s">
        <v>158</v>
      </c>
      <c r="B50" t="s">
        <v>26</v>
      </c>
      <c r="C50" t="s">
        <v>159</v>
      </c>
      <c r="D50" t="s">
        <v>160</v>
      </c>
      <c r="E50" t="s">
        <v>23</v>
      </c>
      <c r="F50">
        <v>44</v>
      </c>
      <c r="G50">
        <v>74898</v>
      </c>
      <c r="H50">
        <v>7.3</v>
      </c>
      <c r="I50">
        <v>2</v>
      </c>
      <c r="J50">
        <v>1</v>
      </c>
      <c r="K50" t="s">
        <v>933</v>
      </c>
      <c r="L50" t="s">
        <v>934</v>
      </c>
    </row>
    <row r="51" spans="1:14" ht="14.5" x14ac:dyDescent="0.35">
      <c r="A51" t="s">
        <v>161</v>
      </c>
      <c r="B51" t="s">
        <v>162</v>
      </c>
      <c r="C51" t="s">
        <v>21</v>
      </c>
      <c r="D51" t="s">
        <v>163</v>
      </c>
      <c r="E51" t="s">
        <v>23</v>
      </c>
      <c r="F51">
        <v>30</v>
      </c>
      <c r="G51">
        <v>49299</v>
      </c>
      <c r="H51">
        <v>5.0999999999999996</v>
      </c>
      <c r="I51">
        <v>4</v>
      </c>
      <c r="J51">
        <v>1</v>
      </c>
      <c r="K51" t="s">
        <v>933</v>
      </c>
      <c r="L51" t="s">
        <v>934</v>
      </c>
    </row>
    <row r="52" spans="1:14" ht="14.5" x14ac:dyDescent="0.35">
      <c r="A52" t="s">
        <v>164</v>
      </c>
      <c r="B52" t="s">
        <v>165</v>
      </c>
      <c r="C52" t="s">
        <v>56</v>
      </c>
      <c r="D52" t="s">
        <v>79</v>
      </c>
      <c r="E52" t="s">
        <v>32</v>
      </c>
      <c r="F52">
        <v>42</v>
      </c>
      <c r="G52">
        <v>115806</v>
      </c>
      <c r="H52">
        <v>3.1</v>
      </c>
      <c r="I52">
        <v>2</v>
      </c>
      <c r="J52">
        <v>2</v>
      </c>
      <c r="K52" t="s">
        <v>933</v>
      </c>
      <c r="L52" t="s">
        <v>934</v>
      </c>
    </row>
    <row r="53" spans="1:14" ht="14.5" x14ac:dyDescent="0.35">
      <c r="A53" t="s">
        <v>166</v>
      </c>
      <c r="B53" t="s">
        <v>167</v>
      </c>
      <c r="C53" t="s">
        <v>36</v>
      </c>
      <c r="D53" t="s">
        <v>93</v>
      </c>
      <c r="E53" t="s">
        <v>32</v>
      </c>
      <c r="F53">
        <v>45</v>
      </c>
      <c r="G53">
        <v>89694</v>
      </c>
      <c r="H53">
        <v>7.3</v>
      </c>
      <c r="I53">
        <v>3</v>
      </c>
      <c r="J53">
        <v>1</v>
      </c>
      <c r="K53" t="s">
        <v>935</v>
      </c>
      <c r="L53" t="s">
        <v>934</v>
      </c>
    </row>
    <row r="54" spans="1:14" ht="14.5" x14ac:dyDescent="0.35">
      <c r="A54" t="s">
        <v>168</v>
      </c>
      <c r="B54" t="s">
        <v>169</v>
      </c>
      <c r="C54" t="s">
        <v>108</v>
      </c>
      <c r="D54" t="s">
        <v>126</v>
      </c>
      <c r="E54" t="s">
        <v>23</v>
      </c>
      <c r="F54">
        <v>35</v>
      </c>
      <c r="G54">
        <v>31101</v>
      </c>
      <c r="H54">
        <v>5.2</v>
      </c>
      <c r="I54">
        <v>4</v>
      </c>
      <c r="J54">
        <v>3</v>
      </c>
      <c r="K54" t="s">
        <v>935</v>
      </c>
      <c r="L54" t="s">
        <v>934</v>
      </c>
    </row>
    <row r="55" spans="1:14" ht="14.5" x14ac:dyDescent="0.35">
      <c r="A55" t="s">
        <v>170</v>
      </c>
      <c r="B55" t="s">
        <v>171</v>
      </c>
      <c r="C55" t="s">
        <v>56</v>
      </c>
      <c r="D55" t="s">
        <v>57</v>
      </c>
      <c r="E55" t="s">
        <v>23</v>
      </c>
      <c r="F55">
        <v>25</v>
      </c>
      <c r="G55">
        <v>74025</v>
      </c>
      <c r="H55">
        <v>4.5999999999999996</v>
      </c>
      <c r="I55">
        <v>1</v>
      </c>
      <c r="J55">
        <v>4</v>
      </c>
      <c r="K55" t="s">
        <v>935</v>
      </c>
      <c r="L55" t="s">
        <v>934</v>
      </c>
    </row>
    <row r="56" spans="1:14" ht="14.5" x14ac:dyDescent="0.35">
      <c r="A56" t="s">
        <v>172</v>
      </c>
      <c r="B56" t="s">
        <v>173</v>
      </c>
      <c r="C56" t="s">
        <v>56</v>
      </c>
      <c r="D56" t="s">
        <v>57</v>
      </c>
      <c r="E56" t="s">
        <v>32</v>
      </c>
      <c r="F56">
        <v>28</v>
      </c>
      <c r="G56">
        <v>51405</v>
      </c>
      <c r="H56">
        <v>4.8</v>
      </c>
      <c r="I56">
        <v>3</v>
      </c>
      <c r="J56">
        <v>4</v>
      </c>
      <c r="K56" t="s">
        <v>933</v>
      </c>
      <c r="L56" t="s">
        <v>934</v>
      </c>
    </row>
    <row r="57" spans="1:14" ht="14.5" x14ac:dyDescent="0.35">
      <c r="A57" t="s">
        <v>174</v>
      </c>
      <c r="B57" t="s">
        <v>175</v>
      </c>
      <c r="C57" t="s">
        <v>52</v>
      </c>
      <c r="D57" t="s">
        <v>176</v>
      </c>
      <c r="E57" t="s">
        <v>23</v>
      </c>
      <c r="F57">
        <v>43</v>
      </c>
      <c r="G57">
        <v>85199</v>
      </c>
      <c r="H57">
        <v>4.2</v>
      </c>
      <c r="I57">
        <v>5</v>
      </c>
      <c r="J57">
        <v>2</v>
      </c>
      <c r="K57" t="s">
        <v>935</v>
      </c>
      <c r="L57" t="s">
        <v>936</v>
      </c>
      <c r="M57" t="s">
        <v>942</v>
      </c>
      <c r="N57" s="2">
        <v>45660</v>
      </c>
    </row>
    <row r="58" spans="1:14" ht="14.5" x14ac:dyDescent="0.35">
      <c r="A58" t="s">
        <v>177</v>
      </c>
      <c r="B58" t="s">
        <v>178</v>
      </c>
      <c r="C58" t="s">
        <v>21</v>
      </c>
      <c r="D58" t="s">
        <v>153</v>
      </c>
      <c r="E58" t="s">
        <v>32</v>
      </c>
      <c r="F58">
        <v>37</v>
      </c>
      <c r="G58">
        <v>120901</v>
      </c>
      <c r="H58">
        <v>7.2</v>
      </c>
      <c r="I58">
        <v>5</v>
      </c>
      <c r="J58">
        <v>4</v>
      </c>
      <c r="K58" t="s">
        <v>933</v>
      </c>
      <c r="L58" t="s">
        <v>934</v>
      </c>
    </row>
    <row r="59" spans="1:14" ht="14.5" x14ac:dyDescent="0.35">
      <c r="A59" t="s">
        <v>179</v>
      </c>
      <c r="B59" t="s">
        <v>180</v>
      </c>
      <c r="C59" t="s">
        <v>27</v>
      </c>
      <c r="D59" t="s">
        <v>87</v>
      </c>
      <c r="E59" t="s">
        <v>23</v>
      </c>
      <c r="F59">
        <v>48</v>
      </c>
      <c r="G59">
        <v>115062</v>
      </c>
      <c r="H59">
        <v>7</v>
      </c>
      <c r="I59">
        <v>4</v>
      </c>
      <c r="J59">
        <v>2</v>
      </c>
      <c r="K59" t="s">
        <v>935</v>
      </c>
      <c r="L59" t="s">
        <v>934</v>
      </c>
    </row>
    <row r="60" spans="1:14" ht="14.5" x14ac:dyDescent="0.35">
      <c r="A60" t="s">
        <v>181</v>
      </c>
      <c r="B60" t="s">
        <v>182</v>
      </c>
      <c r="C60" t="s">
        <v>45</v>
      </c>
      <c r="D60" t="s">
        <v>46</v>
      </c>
      <c r="E60" t="s">
        <v>32</v>
      </c>
      <c r="F60">
        <v>40</v>
      </c>
      <c r="G60">
        <v>68538</v>
      </c>
      <c r="H60">
        <v>2.1</v>
      </c>
      <c r="I60">
        <v>1</v>
      </c>
      <c r="J60">
        <v>2</v>
      </c>
      <c r="K60" t="s">
        <v>933</v>
      </c>
      <c r="L60" t="s">
        <v>934</v>
      </c>
    </row>
    <row r="61" spans="1:14" ht="14.5" x14ac:dyDescent="0.35">
      <c r="A61" t="s">
        <v>183</v>
      </c>
      <c r="B61" t="s">
        <v>184</v>
      </c>
      <c r="C61" t="s">
        <v>40</v>
      </c>
      <c r="D61" t="s">
        <v>65</v>
      </c>
      <c r="E61" t="s">
        <v>23</v>
      </c>
      <c r="F61">
        <v>56</v>
      </c>
      <c r="G61">
        <v>53144</v>
      </c>
      <c r="H61">
        <v>6.3</v>
      </c>
      <c r="I61">
        <v>1</v>
      </c>
      <c r="J61">
        <v>5</v>
      </c>
      <c r="K61" t="s">
        <v>935</v>
      </c>
      <c r="L61" t="s">
        <v>934</v>
      </c>
    </row>
    <row r="62" spans="1:14" ht="14.5" x14ac:dyDescent="0.35">
      <c r="A62" t="s">
        <v>185</v>
      </c>
      <c r="B62" t="s">
        <v>186</v>
      </c>
      <c r="C62" t="s">
        <v>159</v>
      </c>
      <c r="D62" t="s">
        <v>187</v>
      </c>
      <c r="E62" t="s">
        <v>23</v>
      </c>
      <c r="F62">
        <v>46</v>
      </c>
      <c r="G62">
        <v>28053</v>
      </c>
      <c r="H62">
        <v>1.6</v>
      </c>
      <c r="I62">
        <v>5</v>
      </c>
      <c r="J62">
        <v>3</v>
      </c>
      <c r="K62" t="s">
        <v>935</v>
      </c>
      <c r="L62" t="s">
        <v>934</v>
      </c>
    </row>
    <row r="63" spans="1:14" ht="14.5" x14ac:dyDescent="0.35">
      <c r="A63" t="s">
        <v>188</v>
      </c>
      <c r="B63" t="s">
        <v>169</v>
      </c>
      <c r="C63" t="s">
        <v>69</v>
      </c>
      <c r="D63" t="s">
        <v>70</v>
      </c>
      <c r="E63" t="s">
        <v>23</v>
      </c>
      <c r="F63">
        <v>50</v>
      </c>
      <c r="G63">
        <v>85954</v>
      </c>
      <c r="H63">
        <v>2.8</v>
      </c>
      <c r="I63">
        <v>2</v>
      </c>
      <c r="J63">
        <v>2</v>
      </c>
      <c r="K63" t="s">
        <v>935</v>
      </c>
      <c r="L63" t="s">
        <v>934</v>
      </c>
    </row>
    <row r="64" spans="1:14" ht="14.5" x14ac:dyDescent="0.35">
      <c r="A64" t="s">
        <v>189</v>
      </c>
      <c r="B64" t="s">
        <v>190</v>
      </c>
      <c r="C64" t="s">
        <v>27</v>
      </c>
      <c r="D64" t="s">
        <v>76</v>
      </c>
      <c r="E64" t="s">
        <v>32</v>
      </c>
      <c r="F64">
        <v>26</v>
      </c>
      <c r="G64">
        <v>95561</v>
      </c>
      <c r="H64">
        <v>4.5999999999999996</v>
      </c>
      <c r="I64">
        <v>2</v>
      </c>
      <c r="J64">
        <v>4</v>
      </c>
      <c r="K64" t="s">
        <v>933</v>
      </c>
      <c r="L64" t="s">
        <v>934</v>
      </c>
    </row>
    <row r="65" spans="1:14" ht="14.5" x14ac:dyDescent="0.35">
      <c r="A65" t="s">
        <v>191</v>
      </c>
      <c r="B65" t="s">
        <v>192</v>
      </c>
      <c r="C65" t="s">
        <v>40</v>
      </c>
      <c r="D65" t="s">
        <v>41</v>
      </c>
      <c r="E65" t="s">
        <v>32</v>
      </c>
      <c r="F65">
        <v>40</v>
      </c>
      <c r="G65">
        <v>54100</v>
      </c>
      <c r="H65">
        <v>5.2</v>
      </c>
      <c r="I65">
        <v>1</v>
      </c>
      <c r="J65">
        <v>2</v>
      </c>
      <c r="K65" t="s">
        <v>933</v>
      </c>
      <c r="L65" t="s">
        <v>936</v>
      </c>
      <c r="M65" t="s">
        <v>937</v>
      </c>
      <c r="N65" s="2">
        <v>45340</v>
      </c>
    </row>
    <row r="66" spans="1:14" ht="14.5" x14ac:dyDescent="0.35">
      <c r="A66" t="s">
        <v>193</v>
      </c>
      <c r="B66" t="s">
        <v>194</v>
      </c>
      <c r="C66" t="s">
        <v>52</v>
      </c>
      <c r="D66" t="s">
        <v>195</v>
      </c>
      <c r="E66" t="s">
        <v>23</v>
      </c>
      <c r="F66">
        <v>25</v>
      </c>
      <c r="G66">
        <v>82321</v>
      </c>
      <c r="H66">
        <v>2.6</v>
      </c>
      <c r="I66">
        <v>5</v>
      </c>
      <c r="J66">
        <v>4</v>
      </c>
      <c r="K66" t="s">
        <v>933</v>
      </c>
      <c r="L66" t="s">
        <v>934</v>
      </c>
    </row>
    <row r="67" spans="1:14" ht="14.5" x14ac:dyDescent="0.35">
      <c r="A67" t="s">
        <v>196</v>
      </c>
      <c r="B67" t="s">
        <v>197</v>
      </c>
      <c r="C67" t="s">
        <v>69</v>
      </c>
      <c r="D67" t="s">
        <v>70</v>
      </c>
      <c r="E67" t="s">
        <v>23</v>
      </c>
      <c r="F67">
        <v>46</v>
      </c>
      <c r="G67">
        <v>47342</v>
      </c>
      <c r="H67">
        <v>5</v>
      </c>
      <c r="I67">
        <v>3</v>
      </c>
      <c r="J67">
        <v>5</v>
      </c>
      <c r="K67" t="s">
        <v>935</v>
      </c>
      <c r="L67" t="s">
        <v>934</v>
      </c>
    </row>
    <row r="68" spans="1:14" ht="14.5" x14ac:dyDescent="0.35">
      <c r="A68" t="s">
        <v>198</v>
      </c>
      <c r="B68" t="s">
        <v>199</v>
      </c>
      <c r="C68" t="s">
        <v>21</v>
      </c>
      <c r="D68" t="s">
        <v>153</v>
      </c>
      <c r="E68" t="s">
        <v>32</v>
      </c>
      <c r="F68">
        <v>32</v>
      </c>
      <c r="G68">
        <v>88889</v>
      </c>
      <c r="H68">
        <v>1.9</v>
      </c>
      <c r="I68">
        <v>5</v>
      </c>
      <c r="J68">
        <v>1</v>
      </c>
      <c r="K68" t="s">
        <v>933</v>
      </c>
      <c r="L68" t="s">
        <v>934</v>
      </c>
    </row>
    <row r="69" spans="1:14" ht="14.5" x14ac:dyDescent="0.35">
      <c r="A69" t="s">
        <v>200</v>
      </c>
      <c r="B69" t="s">
        <v>201</v>
      </c>
      <c r="C69" t="s">
        <v>69</v>
      </c>
      <c r="D69" t="s">
        <v>105</v>
      </c>
      <c r="E69" t="s">
        <v>23</v>
      </c>
      <c r="F69">
        <v>29</v>
      </c>
      <c r="G69">
        <v>115500</v>
      </c>
      <c r="H69">
        <v>2.5</v>
      </c>
      <c r="I69">
        <v>1</v>
      </c>
      <c r="J69">
        <v>4</v>
      </c>
      <c r="K69" t="s">
        <v>935</v>
      </c>
      <c r="L69" t="s">
        <v>934</v>
      </c>
    </row>
    <row r="70" spans="1:14" ht="14.5" x14ac:dyDescent="0.35">
      <c r="A70" t="s">
        <v>202</v>
      </c>
      <c r="B70" t="s">
        <v>203</v>
      </c>
      <c r="C70" t="s">
        <v>45</v>
      </c>
      <c r="D70" t="s">
        <v>46</v>
      </c>
      <c r="E70" t="s">
        <v>23</v>
      </c>
      <c r="F70">
        <v>53</v>
      </c>
      <c r="G70">
        <v>99810</v>
      </c>
      <c r="H70">
        <v>3</v>
      </c>
      <c r="I70">
        <v>2</v>
      </c>
      <c r="J70">
        <v>5</v>
      </c>
      <c r="K70" t="s">
        <v>933</v>
      </c>
      <c r="L70" t="s">
        <v>934</v>
      </c>
    </row>
    <row r="71" spans="1:14" ht="14.5" x14ac:dyDescent="0.35">
      <c r="A71" t="s">
        <v>204</v>
      </c>
      <c r="B71" t="s">
        <v>205</v>
      </c>
      <c r="C71" t="s">
        <v>108</v>
      </c>
      <c r="D71" t="s">
        <v>206</v>
      </c>
      <c r="E71" t="s">
        <v>23</v>
      </c>
      <c r="F71">
        <v>36</v>
      </c>
      <c r="G71">
        <v>96327</v>
      </c>
      <c r="H71">
        <v>4.5999999999999996</v>
      </c>
      <c r="I71">
        <v>5</v>
      </c>
      <c r="J71">
        <v>5</v>
      </c>
      <c r="K71" t="s">
        <v>935</v>
      </c>
      <c r="L71" t="s">
        <v>934</v>
      </c>
    </row>
    <row r="72" spans="1:14" ht="14.5" x14ac:dyDescent="0.35">
      <c r="A72" t="s">
        <v>207</v>
      </c>
      <c r="B72" t="s">
        <v>208</v>
      </c>
      <c r="C72" t="s">
        <v>36</v>
      </c>
      <c r="D72" t="s">
        <v>84</v>
      </c>
      <c r="E72" t="s">
        <v>32</v>
      </c>
      <c r="F72">
        <v>39</v>
      </c>
      <c r="G72">
        <v>63614</v>
      </c>
      <c r="H72">
        <v>5.0999999999999996</v>
      </c>
      <c r="I72">
        <v>2</v>
      </c>
      <c r="J72">
        <v>5</v>
      </c>
      <c r="K72" t="s">
        <v>935</v>
      </c>
      <c r="L72" t="s">
        <v>934</v>
      </c>
    </row>
    <row r="73" spans="1:14" ht="14.5" x14ac:dyDescent="0.35">
      <c r="A73" t="s">
        <v>209</v>
      </c>
      <c r="B73" t="s">
        <v>210</v>
      </c>
      <c r="C73" t="s">
        <v>27</v>
      </c>
      <c r="D73" t="s">
        <v>28</v>
      </c>
      <c r="E73" t="s">
        <v>32</v>
      </c>
      <c r="F73">
        <v>30</v>
      </c>
      <c r="G73">
        <v>78205</v>
      </c>
      <c r="H73">
        <v>5.2</v>
      </c>
      <c r="I73">
        <v>1</v>
      </c>
      <c r="J73">
        <v>4</v>
      </c>
      <c r="K73" t="s">
        <v>933</v>
      </c>
      <c r="L73" t="s">
        <v>934</v>
      </c>
    </row>
    <row r="74" spans="1:14" ht="14.5" x14ac:dyDescent="0.35">
      <c r="A74" t="s">
        <v>211</v>
      </c>
      <c r="B74" t="s">
        <v>212</v>
      </c>
      <c r="C74" t="s">
        <v>69</v>
      </c>
      <c r="D74" t="s">
        <v>105</v>
      </c>
      <c r="E74" t="s">
        <v>23</v>
      </c>
      <c r="F74">
        <v>47</v>
      </c>
      <c r="G74">
        <v>99121</v>
      </c>
      <c r="H74">
        <v>4</v>
      </c>
      <c r="I74">
        <v>2</v>
      </c>
      <c r="J74">
        <v>4</v>
      </c>
      <c r="K74" t="s">
        <v>935</v>
      </c>
      <c r="L74" t="s">
        <v>934</v>
      </c>
    </row>
    <row r="75" spans="1:14" ht="14.5" x14ac:dyDescent="0.35">
      <c r="A75" t="s">
        <v>213</v>
      </c>
      <c r="B75" t="s">
        <v>214</v>
      </c>
      <c r="C75" t="s">
        <v>52</v>
      </c>
      <c r="D75" t="s">
        <v>195</v>
      </c>
      <c r="E75" t="s">
        <v>23</v>
      </c>
      <c r="F75">
        <v>45</v>
      </c>
      <c r="G75">
        <v>119163</v>
      </c>
      <c r="H75">
        <v>1.2</v>
      </c>
      <c r="I75">
        <v>2</v>
      </c>
      <c r="J75">
        <v>2</v>
      </c>
      <c r="K75" t="s">
        <v>935</v>
      </c>
      <c r="L75" t="s">
        <v>934</v>
      </c>
    </row>
    <row r="76" spans="1:14" ht="14.5" x14ac:dyDescent="0.35">
      <c r="A76" t="s">
        <v>215</v>
      </c>
      <c r="B76" t="s">
        <v>216</v>
      </c>
      <c r="C76" t="s">
        <v>56</v>
      </c>
      <c r="D76" t="s">
        <v>217</v>
      </c>
      <c r="E76" t="s">
        <v>32</v>
      </c>
      <c r="F76">
        <v>43</v>
      </c>
      <c r="G76">
        <v>79116</v>
      </c>
      <c r="H76">
        <v>4.4000000000000004</v>
      </c>
      <c r="I76">
        <v>1</v>
      </c>
      <c r="J76">
        <v>3</v>
      </c>
      <c r="K76" t="s">
        <v>935</v>
      </c>
      <c r="L76" t="s">
        <v>934</v>
      </c>
    </row>
    <row r="77" spans="1:14" ht="14.5" x14ac:dyDescent="0.35">
      <c r="A77" t="s">
        <v>218</v>
      </c>
      <c r="B77" t="s">
        <v>219</v>
      </c>
      <c r="C77" t="s">
        <v>27</v>
      </c>
      <c r="D77" t="s">
        <v>87</v>
      </c>
      <c r="E77" t="s">
        <v>23</v>
      </c>
      <c r="F77">
        <v>35</v>
      </c>
      <c r="G77">
        <v>85125</v>
      </c>
      <c r="H77">
        <v>4.7</v>
      </c>
      <c r="I77">
        <v>1</v>
      </c>
      <c r="J77">
        <v>4</v>
      </c>
      <c r="K77" t="s">
        <v>933</v>
      </c>
      <c r="L77" t="s">
        <v>934</v>
      </c>
    </row>
    <row r="78" spans="1:14" ht="14.5" x14ac:dyDescent="0.35">
      <c r="A78" t="s">
        <v>220</v>
      </c>
      <c r="B78" t="s">
        <v>221</v>
      </c>
      <c r="C78" t="s">
        <v>56</v>
      </c>
      <c r="D78" t="s">
        <v>57</v>
      </c>
      <c r="E78" t="s">
        <v>23</v>
      </c>
      <c r="F78">
        <v>31</v>
      </c>
      <c r="G78">
        <v>44728</v>
      </c>
      <c r="H78">
        <v>2.5</v>
      </c>
      <c r="I78">
        <v>3</v>
      </c>
      <c r="J78">
        <v>3</v>
      </c>
      <c r="K78" t="s">
        <v>935</v>
      </c>
      <c r="L78" t="s">
        <v>934</v>
      </c>
    </row>
    <row r="79" spans="1:14" ht="14.5" x14ac:dyDescent="0.35">
      <c r="A79" t="s">
        <v>222</v>
      </c>
      <c r="B79" t="s">
        <v>223</v>
      </c>
      <c r="C79" t="s">
        <v>52</v>
      </c>
      <c r="D79" t="s">
        <v>224</v>
      </c>
      <c r="E79" t="s">
        <v>32</v>
      </c>
      <c r="F79">
        <v>26</v>
      </c>
      <c r="G79">
        <v>45786</v>
      </c>
      <c r="H79">
        <v>2.9</v>
      </c>
      <c r="I79">
        <v>2</v>
      </c>
      <c r="J79">
        <v>2</v>
      </c>
      <c r="K79" t="s">
        <v>933</v>
      </c>
      <c r="L79" t="s">
        <v>934</v>
      </c>
    </row>
    <row r="80" spans="1:14" ht="14.5" x14ac:dyDescent="0.35">
      <c r="A80" t="s">
        <v>225</v>
      </c>
      <c r="B80" t="s">
        <v>226</v>
      </c>
      <c r="C80" t="s">
        <v>159</v>
      </c>
      <c r="D80" t="s">
        <v>160</v>
      </c>
      <c r="E80" t="s">
        <v>23</v>
      </c>
      <c r="F80">
        <v>45</v>
      </c>
      <c r="G80">
        <v>55742</v>
      </c>
      <c r="H80">
        <v>4.0999999999999996</v>
      </c>
      <c r="I80">
        <v>2</v>
      </c>
      <c r="J80">
        <v>2</v>
      </c>
      <c r="K80" t="s">
        <v>935</v>
      </c>
      <c r="L80" t="s">
        <v>934</v>
      </c>
    </row>
    <row r="81" spans="1:14" ht="14.5" x14ac:dyDescent="0.35">
      <c r="A81" t="s">
        <v>227</v>
      </c>
      <c r="B81" t="s">
        <v>219</v>
      </c>
      <c r="C81" t="s">
        <v>40</v>
      </c>
      <c r="D81" t="s">
        <v>65</v>
      </c>
      <c r="E81" t="s">
        <v>23</v>
      </c>
      <c r="F81">
        <v>47</v>
      </c>
      <c r="G81">
        <v>38735</v>
      </c>
      <c r="H81">
        <v>4.9000000000000004</v>
      </c>
      <c r="I81">
        <v>4</v>
      </c>
      <c r="J81">
        <v>1</v>
      </c>
      <c r="K81" t="s">
        <v>935</v>
      </c>
      <c r="L81" t="s">
        <v>934</v>
      </c>
    </row>
    <row r="82" spans="1:14" ht="14.5" x14ac:dyDescent="0.35">
      <c r="A82" t="s">
        <v>228</v>
      </c>
      <c r="B82" t="s">
        <v>229</v>
      </c>
      <c r="C82" t="s">
        <v>27</v>
      </c>
      <c r="D82" t="s">
        <v>28</v>
      </c>
      <c r="E82" t="s">
        <v>23</v>
      </c>
      <c r="F82">
        <v>35</v>
      </c>
      <c r="G82">
        <v>113426</v>
      </c>
      <c r="H82">
        <v>7</v>
      </c>
      <c r="I82">
        <v>5</v>
      </c>
      <c r="J82">
        <v>4</v>
      </c>
      <c r="K82" t="s">
        <v>935</v>
      </c>
      <c r="L82" t="s">
        <v>936</v>
      </c>
      <c r="M82" t="s">
        <v>938</v>
      </c>
      <c r="N82" s="2">
        <v>45767</v>
      </c>
    </row>
    <row r="83" spans="1:14" ht="14.5" x14ac:dyDescent="0.35">
      <c r="A83" t="s">
        <v>230</v>
      </c>
      <c r="B83" t="s">
        <v>231</v>
      </c>
      <c r="C83" t="s">
        <v>69</v>
      </c>
      <c r="D83" t="s">
        <v>117</v>
      </c>
      <c r="E83" t="s">
        <v>32</v>
      </c>
      <c r="F83">
        <v>30</v>
      </c>
      <c r="G83">
        <v>44544</v>
      </c>
      <c r="H83">
        <v>5.0999999999999996</v>
      </c>
      <c r="I83">
        <v>2</v>
      </c>
      <c r="J83">
        <v>1</v>
      </c>
      <c r="K83" t="s">
        <v>935</v>
      </c>
      <c r="L83" t="s">
        <v>934</v>
      </c>
    </row>
    <row r="84" spans="1:14" ht="14.5" x14ac:dyDescent="0.35">
      <c r="A84" t="s">
        <v>232</v>
      </c>
      <c r="B84" t="s">
        <v>233</v>
      </c>
      <c r="C84" t="s">
        <v>45</v>
      </c>
      <c r="D84" t="s">
        <v>234</v>
      </c>
      <c r="E84" t="s">
        <v>23</v>
      </c>
      <c r="F84">
        <v>37</v>
      </c>
      <c r="G84">
        <v>49992</v>
      </c>
      <c r="H84">
        <v>3.6</v>
      </c>
      <c r="I84">
        <v>4</v>
      </c>
      <c r="J84">
        <v>5</v>
      </c>
      <c r="K84" t="s">
        <v>935</v>
      </c>
      <c r="L84" t="s">
        <v>934</v>
      </c>
    </row>
    <row r="85" spans="1:14" ht="14.5" x14ac:dyDescent="0.35">
      <c r="A85" t="s">
        <v>235</v>
      </c>
      <c r="B85" t="s">
        <v>236</v>
      </c>
      <c r="C85" t="s">
        <v>21</v>
      </c>
      <c r="D85" t="s">
        <v>133</v>
      </c>
      <c r="E85" t="s">
        <v>23</v>
      </c>
      <c r="F85">
        <v>27</v>
      </c>
      <c r="G85">
        <v>31365</v>
      </c>
      <c r="H85">
        <v>1.3</v>
      </c>
      <c r="I85">
        <v>3</v>
      </c>
      <c r="J85">
        <v>2</v>
      </c>
      <c r="K85" t="s">
        <v>935</v>
      </c>
      <c r="L85" t="s">
        <v>934</v>
      </c>
    </row>
    <row r="86" spans="1:14" ht="14.5" x14ac:dyDescent="0.35">
      <c r="A86" t="s">
        <v>237</v>
      </c>
      <c r="B86" t="s">
        <v>238</v>
      </c>
      <c r="C86" t="s">
        <v>45</v>
      </c>
      <c r="D86" t="s">
        <v>239</v>
      </c>
      <c r="E86" t="s">
        <v>23</v>
      </c>
      <c r="F86">
        <v>33</v>
      </c>
      <c r="G86">
        <v>105607</v>
      </c>
      <c r="H86">
        <v>6.9</v>
      </c>
      <c r="I86">
        <v>5</v>
      </c>
      <c r="J86">
        <v>2</v>
      </c>
      <c r="K86" t="s">
        <v>935</v>
      </c>
      <c r="L86" t="s">
        <v>934</v>
      </c>
    </row>
    <row r="87" spans="1:14" ht="14.5" x14ac:dyDescent="0.35">
      <c r="A87" t="s">
        <v>240</v>
      </c>
      <c r="B87" t="s">
        <v>241</v>
      </c>
      <c r="C87" t="s">
        <v>21</v>
      </c>
      <c r="D87" t="s">
        <v>163</v>
      </c>
      <c r="E87" t="s">
        <v>32</v>
      </c>
      <c r="F87">
        <v>57</v>
      </c>
      <c r="G87">
        <v>73508</v>
      </c>
      <c r="H87">
        <v>7.3</v>
      </c>
      <c r="I87">
        <v>2</v>
      </c>
      <c r="J87">
        <v>2</v>
      </c>
      <c r="K87" t="s">
        <v>935</v>
      </c>
      <c r="L87" t="s">
        <v>934</v>
      </c>
    </row>
    <row r="88" spans="1:14" ht="14.5" x14ac:dyDescent="0.35">
      <c r="A88" t="s">
        <v>242</v>
      </c>
      <c r="B88" t="s">
        <v>243</v>
      </c>
      <c r="C88" t="s">
        <v>40</v>
      </c>
      <c r="D88" t="s">
        <v>41</v>
      </c>
      <c r="E88" t="s">
        <v>23</v>
      </c>
      <c r="F88">
        <v>21</v>
      </c>
      <c r="G88">
        <v>92251</v>
      </c>
      <c r="H88">
        <v>3</v>
      </c>
      <c r="I88">
        <v>3</v>
      </c>
      <c r="J88">
        <v>2</v>
      </c>
      <c r="K88" t="s">
        <v>935</v>
      </c>
      <c r="L88" t="s">
        <v>934</v>
      </c>
    </row>
    <row r="89" spans="1:14" ht="14.5" x14ac:dyDescent="0.35">
      <c r="A89" t="s">
        <v>244</v>
      </c>
      <c r="B89" t="s">
        <v>78</v>
      </c>
      <c r="C89" t="s">
        <v>40</v>
      </c>
      <c r="D89" t="s">
        <v>65</v>
      </c>
      <c r="E89" t="s">
        <v>32</v>
      </c>
      <c r="F89">
        <v>48</v>
      </c>
      <c r="G89">
        <v>124180</v>
      </c>
      <c r="H89">
        <v>5.8</v>
      </c>
      <c r="I89">
        <v>4</v>
      </c>
      <c r="J89">
        <v>3</v>
      </c>
      <c r="K89" t="s">
        <v>933</v>
      </c>
      <c r="L89" t="s">
        <v>934</v>
      </c>
    </row>
    <row r="90" spans="1:14" ht="14.5" x14ac:dyDescent="0.35">
      <c r="A90" t="s">
        <v>245</v>
      </c>
      <c r="B90" t="s">
        <v>246</v>
      </c>
      <c r="C90" t="s">
        <v>45</v>
      </c>
      <c r="D90" t="s">
        <v>239</v>
      </c>
      <c r="E90" t="s">
        <v>23</v>
      </c>
      <c r="F90">
        <v>48</v>
      </c>
      <c r="G90">
        <v>63179</v>
      </c>
      <c r="H90">
        <v>1.1000000000000001</v>
      </c>
      <c r="I90">
        <v>3</v>
      </c>
      <c r="J90">
        <v>5</v>
      </c>
      <c r="K90" t="s">
        <v>933</v>
      </c>
      <c r="L90" t="s">
        <v>936</v>
      </c>
      <c r="M90" t="s">
        <v>943</v>
      </c>
      <c r="N90" s="2">
        <v>45374</v>
      </c>
    </row>
    <row r="91" spans="1:14" ht="14.5" x14ac:dyDescent="0.35">
      <c r="A91" t="s">
        <v>247</v>
      </c>
      <c r="B91" t="s">
        <v>248</v>
      </c>
      <c r="C91" t="s">
        <v>21</v>
      </c>
      <c r="D91" t="s">
        <v>163</v>
      </c>
      <c r="E91" t="s">
        <v>23</v>
      </c>
      <c r="F91">
        <v>36</v>
      </c>
      <c r="G91">
        <v>102691</v>
      </c>
      <c r="H91">
        <v>2.5</v>
      </c>
      <c r="I91">
        <v>3</v>
      </c>
      <c r="J91">
        <v>5</v>
      </c>
      <c r="K91" t="s">
        <v>933</v>
      </c>
      <c r="L91" t="s">
        <v>934</v>
      </c>
    </row>
    <row r="92" spans="1:14" ht="14.5" x14ac:dyDescent="0.35">
      <c r="A92" t="s">
        <v>249</v>
      </c>
      <c r="B92" t="s">
        <v>250</v>
      </c>
      <c r="C92" t="s">
        <v>40</v>
      </c>
      <c r="D92" t="s">
        <v>41</v>
      </c>
      <c r="E92" t="s">
        <v>23</v>
      </c>
      <c r="F92">
        <v>41</v>
      </c>
      <c r="G92">
        <v>91904</v>
      </c>
      <c r="H92">
        <v>5.7</v>
      </c>
      <c r="I92">
        <v>5</v>
      </c>
      <c r="J92">
        <v>2</v>
      </c>
      <c r="K92" t="s">
        <v>933</v>
      </c>
      <c r="L92" t="s">
        <v>934</v>
      </c>
    </row>
    <row r="93" spans="1:14" ht="14.5" x14ac:dyDescent="0.35">
      <c r="A93" t="s">
        <v>251</v>
      </c>
      <c r="B93" t="s">
        <v>252</v>
      </c>
      <c r="C93" t="s">
        <v>36</v>
      </c>
      <c r="D93" t="s">
        <v>253</v>
      </c>
      <c r="E93" t="s">
        <v>23</v>
      </c>
      <c r="F93">
        <v>38</v>
      </c>
      <c r="G93">
        <v>29330</v>
      </c>
      <c r="H93">
        <v>1.5</v>
      </c>
      <c r="I93">
        <v>5</v>
      </c>
      <c r="J93">
        <v>2</v>
      </c>
      <c r="K93" t="s">
        <v>933</v>
      </c>
      <c r="L93" t="s">
        <v>934</v>
      </c>
    </row>
    <row r="94" spans="1:14" ht="14.5" x14ac:dyDescent="0.35">
      <c r="A94" t="s">
        <v>254</v>
      </c>
      <c r="B94" t="s">
        <v>255</v>
      </c>
      <c r="C94" t="s">
        <v>21</v>
      </c>
      <c r="D94" t="s">
        <v>133</v>
      </c>
      <c r="E94" t="s">
        <v>23</v>
      </c>
      <c r="F94">
        <v>52</v>
      </c>
      <c r="G94">
        <v>59499</v>
      </c>
      <c r="H94">
        <v>1.5</v>
      </c>
      <c r="I94">
        <v>1</v>
      </c>
      <c r="J94">
        <v>1</v>
      </c>
      <c r="K94" t="s">
        <v>935</v>
      </c>
      <c r="L94" t="s">
        <v>934</v>
      </c>
    </row>
    <row r="95" spans="1:14" ht="14.5" x14ac:dyDescent="0.35">
      <c r="A95" t="s">
        <v>256</v>
      </c>
      <c r="B95" t="s">
        <v>257</v>
      </c>
      <c r="C95" t="s">
        <v>108</v>
      </c>
      <c r="D95" t="s">
        <v>206</v>
      </c>
      <c r="E95" t="s">
        <v>32</v>
      </c>
      <c r="F95">
        <v>26</v>
      </c>
      <c r="G95">
        <v>57045</v>
      </c>
      <c r="H95">
        <v>4.4000000000000004</v>
      </c>
      <c r="I95">
        <v>4</v>
      </c>
      <c r="J95">
        <v>2</v>
      </c>
      <c r="K95" t="s">
        <v>933</v>
      </c>
      <c r="L95" t="s">
        <v>934</v>
      </c>
    </row>
    <row r="96" spans="1:14" ht="14.5" x14ac:dyDescent="0.35">
      <c r="A96" t="s">
        <v>258</v>
      </c>
      <c r="B96" t="s">
        <v>259</v>
      </c>
      <c r="C96" t="s">
        <v>36</v>
      </c>
      <c r="D96" t="s">
        <v>62</v>
      </c>
      <c r="E96" t="s">
        <v>23</v>
      </c>
      <c r="F96">
        <v>51</v>
      </c>
      <c r="G96">
        <v>97588</v>
      </c>
      <c r="H96">
        <v>1.5</v>
      </c>
      <c r="I96">
        <v>3</v>
      </c>
      <c r="J96">
        <v>3</v>
      </c>
      <c r="K96" t="s">
        <v>935</v>
      </c>
      <c r="L96" t="s">
        <v>934</v>
      </c>
    </row>
    <row r="97" spans="1:14" ht="14.5" x14ac:dyDescent="0.35">
      <c r="A97" t="s">
        <v>260</v>
      </c>
      <c r="B97" t="s">
        <v>261</v>
      </c>
      <c r="C97" t="s">
        <v>27</v>
      </c>
      <c r="D97" t="s">
        <v>73</v>
      </c>
      <c r="E97" t="s">
        <v>23</v>
      </c>
      <c r="F97">
        <v>50</v>
      </c>
      <c r="G97">
        <v>68189</v>
      </c>
      <c r="H97">
        <v>4.7</v>
      </c>
      <c r="I97">
        <v>2</v>
      </c>
      <c r="J97">
        <v>4</v>
      </c>
      <c r="K97" t="s">
        <v>933</v>
      </c>
      <c r="L97" t="s">
        <v>934</v>
      </c>
    </row>
    <row r="98" spans="1:14" ht="14.5" x14ac:dyDescent="0.35">
      <c r="A98" t="s">
        <v>262</v>
      </c>
      <c r="B98" t="s">
        <v>263</v>
      </c>
      <c r="C98" t="s">
        <v>21</v>
      </c>
      <c r="D98" t="s">
        <v>133</v>
      </c>
      <c r="E98" t="s">
        <v>23</v>
      </c>
      <c r="F98">
        <v>28</v>
      </c>
      <c r="G98">
        <v>118461</v>
      </c>
      <c r="H98">
        <v>1.7</v>
      </c>
      <c r="I98">
        <v>2</v>
      </c>
      <c r="J98">
        <v>5</v>
      </c>
      <c r="K98" t="s">
        <v>935</v>
      </c>
      <c r="L98" t="s">
        <v>934</v>
      </c>
    </row>
    <row r="99" spans="1:14" ht="14.5" x14ac:dyDescent="0.35">
      <c r="A99" t="s">
        <v>264</v>
      </c>
      <c r="B99" t="s">
        <v>265</v>
      </c>
      <c r="C99" t="s">
        <v>69</v>
      </c>
      <c r="D99" t="s">
        <v>70</v>
      </c>
      <c r="E99" t="s">
        <v>23</v>
      </c>
      <c r="F99">
        <v>58</v>
      </c>
      <c r="G99">
        <v>106222</v>
      </c>
      <c r="H99">
        <v>1.9</v>
      </c>
      <c r="I99">
        <v>2</v>
      </c>
      <c r="J99">
        <v>1</v>
      </c>
      <c r="K99" t="s">
        <v>935</v>
      </c>
      <c r="L99" t="s">
        <v>934</v>
      </c>
    </row>
    <row r="100" spans="1:14" ht="14.5" x14ac:dyDescent="0.35">
      <c r="A100" t="s">
        <v>266</v>
      </c>
      <c r="B100" t="s">
        <v>267</v>
      </c>
      <c r="C100" t="s">
        <v>69</v>
      </c>
      <c r="D100" t="s">
        <v>150</v>
      </c>
      <c r="E100" t="s">
        <v>32</v>
      </c>
      <c r="F100">
        <v>44</v>
      </c>
      <c r="G100">
        <v>67618</v>
      </c>
      <c r="H100">
        <v>5.7</v>
      </c>
      <c r="I100">
        <v>3</v>
      </c>
      <c r="J100">
        <v>3</v>
      </c>
      <c r="K100" t="s">
        <v>933</v>
      </c>
      <c r="L100" t="s">
        <v>934</v>
      </c>
    </row>
    <row r="101" spans="1:14" ht="14.5" x14ac:dyDescent="0.35">
      <c r="A101" t="s">
        <v>268</v>
      </c>
      <c r="B101" t="s">
        <v>210</v>
      </c>
      <c r="C101" t="s">
        <v>159</v>
      </c>
      <c r="D101" t="s">
        <v>269</v>
      </c>
      <c r="E101" t="s">
        <v>32</v>
      </c>
      <c r="F101">
        <v>24</v>
      </c>
      <c r="G101">
        <v>66290</v>
      </c>
      <c r="H101">
        <v>1.5</v>
      </c>
      <c r="I101">
        <v>5</v>
      </c>
      <c r="J101">
        <v>3</v>
      </c>
      <c r="K101" t="s">
        <v>933</v>
      </c>
      <c r="L101" t="s">
        <v>934</v>
      </c>
    </row>
    <row r="102" spans="1:14" ht="14.5" x14ac:dyDescent="0.35">
      <c r="A102" t="s">
        <v>270</v>
      </c>
      <c r="B102" t="s">
        <v>271</v>
      </c>
      <c r="C102" t="s">
        <v>108</v>
      </c>
      <c r="D102" t="s">
        <v>114</v>
      </c>
      <c r="E102" t="s">
        <v>32</v>
      </c>
      <c r="F102">
        <v>57</v>
      </c>
      <c r="G102">
        <v>89524</v>
      </c>
      <c r="H102">
        <v>4.5999999999999996</v>
      </c>
      <c r="I102">
        <v>1</v>
      </c>
      <c r="J102">
        <v>2</v>
      </c>
      <c r="K102" t="s">
        <v>933</v>
      </c>
      <c r="L102" t="s">
        <v>936</v>
      </c>
      <c r="M102" t="s">
        <v>942</v>
      </c>
      <c r="N102" s="2">
        <v>45879</v>
      </c>
    </row>
    <row r="103" spans="1:14" ht="14.5" x14ac:dyDescent="0.35">
      <c r="A103" t="s">
        <v>272</v>
      </c>
      <c r="B103" t="s">
        <v>273</v>
      </c>
      <c r="C103" t="s">
        <v>40</v>
      </c>
      <c r="D103" t="s">
        <v>90</v>
      </c>
      <c r="E103" t="s">
        <v>32</v>
      </c>
      <c r="F103">
        <v>37</v>
      </c>
      <c r="G103">
        <v>42953</v>
      </c>
      <c r="H103">
        <v>2.4</v>
      </c>
      <c r="I103">
        <v>2</v>
      </c>
      <c r="J103">
        <v>1</v>
      </c>
      <c r="K103" t="s">
        <v>933</v>
      </c>
      <c r="L103" t="s">
        <v>934</v>
      </c>
    </row>
    <row r="104" spans="1:14" ht="14.5" x14ac:dyDescent="0.35">
      <c r="A104" t="s">
        <v>274</v>
      </c>
      <c r="B104" t="s">
        <v>275</v>
      </c>
      <c r="C104" t="s">
        <v>56</v>
      </c>
      <c r="D104" t="s">
        <v>217</v>
      </c>
      <c r="E104" t="s">
        <v>32</v>
      </c>
      <c r="F104">
        <v>57</v>
      </c>
      <c r="G104">
        <v>47887</v>
      </c>
      <c r="H104">
        <v>7.1</v>
      </c>
      <c r="I104">
        <v>2</v>
      </c>
      <c r="J104">
        <v>1</v>
      </c>
      <c r="K104" t="s">
        <v>933</v>
      </c>
      <c r="L104" t="s">
        <v>934</v>
      </c>
    </row>
    <row r="105" spans="1:14" ht="14.5" x14ac:dyDescent="0.35">
      <c r="A105" t="s">
        <v>276</v>
      </c>
      <c r="B105" t="s">
        <v>233</v>
      </c>
      <c r="C105" t="s">
        <v>36</v>
      </c>
      <c r="D105" t="s">
        <v>37</v>
      </c>
      <c r="E105" t="s">
        <v>32</v>
      </c>
      <c r="F105">
        <v>28</v>
      </c>
      <c r="G105">
        <v>82548</v>
      </c>
      <c r="H105">
        <v>1.5</v>
      </c>
      <c r="I105">
        <v>3</v>
      </c>
      <c r="J105">
        <v>3</v>
      </c>
      <c r="K105" t="s">
        <v>933</v>
      </c>
      <c r="L105" t="s">
        <v>934</v>
      </c>
    </row>
    <row r="106" spans="1:14" ht="14.5" x14ac:dyDescent="0.35">
      <c r="A106" t="s">
        <v>277</v>
      </c>
      <c r="B106" t="s">
        <v>278</v>
      </c>
      <c r="C106" t="s">
        <v>45</v>
      </c>
      <c r="D106" t="s">
        <v>234</v>
      </c>
      <c r="E106" t="s">
        <v>23</v>
      </c>
      <c r="F106">
        <v>49</v>
      </c>
      <c r="G106">
        <v>66974</v>
      </c>
      <c r="H106">
        <v>2.8</v>
      </c>
      <c r="I106">
        <v>5</v>
      </c>
      <c r="J106">
        <v>2</v>
      </c>
      <c r="K106" t="s">
        <v>935</v>
      </c>
      <c r="L106" t="s">
        <v>934</v>
      </c>
    </row>
    <row r="107" spans="1:14" ht="14.5" x14ac:dyDescent="0.35">
      <c r="A107" t="s">
        <v>279</v>
      </c>
      <c r="B107" t="s">
        <v>280</v>
      </c>
      <c r="C107" t="s">
        <v>56</v>
      </c>
      <c r="D107" t="s">
        <v>57</v>
      </c>
      <c r="E107" t="s">
        <v>32</v>
      </c>
      <c r="F107">
        <v>27</v>
      </c>
      <c r="G107">
        <v>109987</v>
      </c>
      <c r="H107">
        <v>5.4</v>
      </c>
      <c r="I107">
        <v>5</v>
      </c>
      <c r="J107">
        <v>4</v>
      </c>
      <c r="K107" t="s">
        <v>935</v>
      </c>
      <c r="L107" t="s">
        <v>934</v>
      </c>
    </row>
    <row r="108" spans="1:14" ht="14.5" x14ac:dyDescent="0.35">
      <c r="A108" t="s">
        <v>281</v>
      </c>
      <c r="B108" t="s">
        <v>282</v>
      </c>
      <c r="C108" t="s">
        <v>21</v>
      </c>
      <c r="D108" t="s">
        <v>133</v>
      </c>
      <c r="E108" t="s">
        <v>32</v>
      </c>
      <c r="F108">
        <v>32</v>
      </c>
      <c r="G108">
        <v>37838</v>
      </c>
      <c r="H108">
        <v>1.6</v>
      </c>
      <c r="I108">
        <v>1</v>
      </c>
      <c r="J108">
        <v>1</v>
      </c>
      <c r="K108" t="s">
        <v>933</v>
      </c>
      <c r="L108" t="s">
        <v>934</v>
      </c>
    </row>
    <row r="109" spans="1:14" ht="14.5" x14ac:dyDescent="0.35">
      <c r="A109" t="s">
        <v>283</v>
      </c>
      <c r="B109" t="s">
        <v>186</v>
      </c>
      <c r="C109" t="s">
        <v>56</v>
      </c>
      <c r="D109" t="s">
        <v>217</v>
      </c>
      <c r="E109" t="s">
        <v>23</v>
      </c>
      <c r="F109">
        <v>39</v>
      </c>
      <c r="G109">
        <v>58340</v>
      </c>
      <c r="H109">
        <v>7.4</v>
      </c>
      <c r="I109">
        <v>3</v>
      </c>
      <c r="J109">
        <v>5</v>
      </c>
      <c r="K109" t="s">
        <v>933</v>
      </c>
      <c r="L109" t="s">
        <v>934</v>
      </c>
    </row>
    <row r="110" spans="1:14" ht="14.5" x14ac:dyDescent="0.35">
      <c r="A110" t="s">
        <v>284</v>
      </c>
      <c r="B110" t="s">
        <v>285</v>
      </c>
      <c r="C110" t="s">
        <v>108</v>
      </c>
      <c r="D110" t="s">
        <v>114</v>
      </c>
      <c r="E110" t="s">
        <v>32</v>
      </c>
      <c r="F110">
        <v>37</v>
      </c>
      <c r="G110">
        <v>114662</v>
      </c>
      <c r="H110">
        <v>1.1000000000000001</v>
      </c>
      <c r="I110">
        <v>3</v>
      </c>
      <c r="J110">
        <v>2</v>
      </c>
      <c r="K110" t="s">
        <v>933</v>
      </c>
      <c r="L110" t="s">
        <v>936</v>
      </c>
      <c r="M110" t="s">
        <v>941</v>
      </c>
      <c r="N110" s="2">
        <v>45689</v>
      </c>
    </row>
    <row r="111" spans="1:14" ht="14.5" x14ac:dyDescent="0.35">
      <c r="A111" t="s">
        <v>286</v>
      </c>
      <c r="B111" t="s">
        <v>101</v>
      </c>
      <c r="C111" t="s">
        <v>56</v>
      </c>
      <c r="D111" t="s">
        <v>79</v>
      </c>
      <c r="E111" t="s">
        <v>32</v>
      </c>
      <c r="F111">
        <v>30</v>
      </c>
      <c r="G111">
        <v>46643</v>
      </c>
      <c r="H111">
        <v>4.8</v>
      </c>
      <c r="I111">
        <v>5</v>
      </c>
      <c r="J111">
        <v>5</v>
      </c>
      <c r="K111" t="s">
        <v>935</v>
      </c>
      <c r="L111" t="s">
        <v>934</v>
      </c>
    </row>
    <row r="112" spans="1:14" ht="14.5" x14ac:dyDescent="0.35">
      <c r="A112" t="s">
        <v>287</v>
      </c>
      <c r="B112" t="s">
        <v>288</v>
      </c>
      <c r="C112" t="s">
        <v>159</v>
      </c>
      <c r="D112" t="s">
        <v>269</v>
      </c>
      <c r="E112" t="s">
        <v>23</v>
      </c>
      <c r="F112">
        <v>49</v>
      </c>
      <c r="G112">
        <v>89433</v>
      </c>
      <c r="H112">
        <v>6.4</v>
      </c>
      <c r="I112">
        <v>5</v>
      </c>
      <c r="J112">
        <v>4</v>
      </c>
      <c r="K112" t="s">
        <v>933</v>
      </c>
      <c r="L112" t="s">
        <v>934</v>
      </c>
    </row>
    <row r="113" spans="1:14" ht="14.5" x14ac:dyDescent="0.35">
      <c r="A113" t="s">
        <v>289</v>
      </c>
      <c r="B113" t="s">
        <v>290</v>
      </c>
      <c r="C113" t="s">
        <v>56</v>
      </c>
      <c r="D113" t="s">
        <v>57</v>
      </c>
      <c r="E113" t="s">
        <v>23</v>
      </c>
      <c r="F113">
        <v>49</v>
      </c>
      <c r="G113">
        <v>106385</v>
      </c>
      <c r="H113">
        <v>6.8</v>
      </c>
      <c r="I113">
        <v>5</v>
      </c>
      <c r="J113">
        <v>3</v>
      </c>
      <c r="K113" t="s">
        <v>935</v>
      </c>
      <c r="L113" t="s">
        <v>934</v>
      </c>
    </row>
    <row r="114" spans="1:14" ht="14.5" x14ac:dyDescent="0.35">
      <c r="A114" t="s">
        <v>291</v>
      </c>
      <c r="B114" t="s">
        <v>292</v>
      </c>
      <c r="C114" t="s">
        <v>40</v>
      </c>
      <c r="D114" t="s">
        <v>293</v>
      </c>
      <c r="E114" t="s">
        <v>32</v>
      </c>
      <c r="F114">
        <v>26</v>
      </c>
      <c r="G114">
        <v>116381</v>
      </c>
      <c r="H114">
        <v>5.2</v>
      </c>
      <c r="I114">
        <v>3</v>
      </c>
      <c r="J114">
        <v>4</v>
      </c>
      <c r="K114" t="s">
        <v>935</v>
      </c>
      <c r="L114" t="s">
        <v>934</v>
      </c>
    </row>
    <row r="115" spans="1:14" ht="14.5" x14ac:dyDescent="0.35">
      <c r="A115" t="s">
        <v>294</v>
      </c>
      <c r="B115" t="s">
        <v>295</v>
      </c>
      <c r="C115" t="s">
        <v>45</v>
      </c>
      <c r="D115" t="s">
        <v>296</v>
      </c>
      <c r="E115" t="s">
        <v>23</v>
      </c>
      <c r="F115">
        <v>57</v>
      </c>
      <c r="G115">
        <v>50962</v>
      </c>
      <c r="H115">
        <v>7.3</v>
      </c>
      <c r="I115">
        <v>1</v>
      </c>
      <c r="J115">
        <v>5</v>
      </c>
      <c r="K115" t="s">
        <v>935</v>
      </c>
      <c r="L115" t="s">
        <v>934</v>
      </c>
    </row>
    <row r="116" spans="1:14" ht="14.5" x14ac:dyDescent="0.35">
      <c r="A116" t="s">
        <v>297</v>
      </c>
      <c r="B116" t="s">
        <v>298</v>
      </c>
      <c r="C116" t="s">
        <v>108</v>
      </c>
      <c r="D116" t="s">
        <v>126</v>
      </c>
      <c r="E116" t="s">
        <v>32</v>
      </c>
      <c r="F116">
        <v>58</v>
      </c>
      <c r="G116">
        <v>111202</v>
      </c>
      <c r="H116">
        <v>2.9</v>
      </c>
      <c r="I116">
        <v>2</v>
      </c>
      <c r="J116">
        <v>3</v>
      </c>
      <c r="K116" t="s">
        <v>933</v>
      </c>
      <c r="L116" t="s">
        <v>936</v>
      </c>
      <c r="M116" t="s">
        <v>943</v>
      </c>
      <c r="N116" s="2">
        <v>45436</v>
      </c>
    </row>
    <row r="117" spans="1:14" ht="14.5" x14ac:dyDescent="0.35">
      <c r="A117" t="s">
        <v>299</v>
      </c>
      <c r="B117" t="s">
        <v>300</v>
      </c>
      <c r="C117" t="s">
        <v>21</v>
      </c>
      <c r="D117" t="s">
        <v>153</v>
      </c>
      <c r="E117" t="s">
        <v>23</v>
      </c>
      <c r="F117">
        <v>47</v>
      </c>
      <c r="G117">
        <v>70081</v>
      </c>
      <c r="H117">
        <v>4</v>
      </c>
      <c r="I117">
        <v>2</v>
      </c>
      <c r="J117">
        <v>2</v>
      </c>
      <c r="K117" t="s">
        <v>933</v>
      </c>
      <c r="L117" t="s">
        <v>934</v>
      </c>
    </row>
    <row r="118" spans="1:14" ht="14.5" x14ac:dyDescent="0.35">
      <c r="A118" t="s">
        <v>301</v>
      </c>
      <c r="B118" t="s">
        <v>302</v>
      </c>
      <c r="C118" t="s">
        <v>159</v>
      </c>
      <c r="D118" t="s">
        <v>269</v>
      </c>
      <c r="E118" t="s">
        <v>23</v>
      </c>
      <c r="F118">
        <v>52</v>
      </c>
      <c r="G118">
        <v>114846</v>
      </c>
      <c r="H118">
        <v>4.5</v>
      </c>
      <c r="I118">
        <v>1</v>
      </c>
      <c r="J118">
        <v>3</v>
      </c>
      <c r="K118" t="s">
        <v>933</v>
      </c>
      <c r="L118" t="s">
        <v>936</v>
      </c>
      <c r="M118" t="s">
        <v>939</v>
      </c>
      <c r="N118" s="2">
        <v>45459</v>
      </c>
    </row>
    <row r="119" spans="1:14" ht="14.5" x14ac:dyDescent="0.35">
      <c r="A119" t="s">
        <v>303</v>
      </c>
      <c r="B119" t="s">
        <v>304</v>
      </c>
      <c r="C119" t="s">
        <v>52</v>
      </c>
      <c r="D119" t="s">
        <v>224</v>
      </c>
      <c r="E119" t="s">
        <v>32</v>
      </c>
      <c r="F119">
        <v>41</v>
      </c>
      <c r="G119">
        <v>70372</v>
      </c>
      <c r="H119">
        <v>4.9000000000000004</v>
      </c>
      <c r="I119">
        <v>5</v>
      </c>
      <c r="J119">
        <v>2</v>
      </c>
      <c r="K119" t="s">
        <v>933</v>
      </c>
      <c r="L119" t="s">
        <v>934</v>
      </c>
    </row>
    <row r="120" spans="1:14" ht="14.5" x14ac:dyDescent="0.35">
      <c r="A120" t="s">
        <v>305</v>
      </c>
      <c r="B120" t="s">
        <v>306</v>
      </c>
      <c r="C120" t="s">
        <v>27</v>
      </c>
      <c r="D120" t="s">
        <v>28</v>
      </c>
      <c r="E120" t="s">
        <v>23</v>
      </c>
      <c r="F120">
        <v>47</v>
      </c>
      <c r="G120">
        <v>52586</v>
      </c>
      <c r="H120">
        <v>7.1</v>
      </c>
      <c r="I120">
        <v>4</v>
      </c>
      <c r="J120">
        <v>5</v>
      </c>
      <c r="K120" t="s">
        <v>933</v>
      </c>
      <c r="L120" t="s">
        <v>934</v>
      </c>
    </row>
    <row r="121" spans="1:14" ht="14.5" x14ac:dyDescent="0.35">
      <c r="A121" t="s">
        <v>307</v>
      </c>
      <c r="B121" t="s">
        <v>308</v>
      </c>
      <c r="C121" t="s">
        <v>45</v>
      </c>
      <c r="D121" t="s">
        <v>239</v>
      </c>
      <c r="E121" t="s">
        <v>23</v>
      </c>
      <c r="F121">
        <v>24</v>
      </c>
      <c r="G121">
        <v>63003</v>
      </c>
      <c r="H121">
        <v>5.5</v>
      </c>
      <c r="I121">
        <v>5</v>
      </c>
      <c r="J121">
        <v>4</v>
      </c>
      <c r="K121" t="s">
        <v>933</v>
      </c>
      <c r="L121" t="s">
        <v>934</v>
      </c>
    </row>
    <row r="122" spans="1:14" ht="14.5" x14ac:dyDescent="0.35">
      <c r="A122" t="s">
        <v>309</v>
      </c>
      <c r="B122" t="s">
        <v>310</v>
      </c>
      <c r="C122" t="s">
        <v>36</v>
      </c>
      <c r="D122" t="s">
        <v>84</v>
      </c>
      <c r="E122" t="s">
        <v>23</v>
      </c>
      <c r="F122">
        <v>28</v>
      </c>
      <c r="G122">
        <v>110578</v>
      </c>
      <c r="H122">
        <v>7.4</v>
      </c>
      <c r="I122">
        <v>4</v>
      </c>
      <c r="J122">
        <v>5</v>
      </c>
      <c r="K122" t="s">
        <v>935</v>
      </c>
      <c r="L122" t="s">
        <v>934</v>
      </c>
    </row>
    <row r="123" spans="1:14" ht="14.5" x14ac:dyDescent="0.35">
      <c r="A123" t="s">
        <v>311</v>
      </c>
      <c r="B123" t="s">
        <v>312</v>
      </c>
      <c r="C123" t="s">
        <v>159</v>
      </c>
      <c r="D123" t="s">
        <v>269</v>
      </c>
      <c r="E123" t="s">
        <v>32</v>
      </c>
      <c r="F123">
        <v>56</v>
      </c>
      <c r="G123">
        <v>40217</v>
      </c>
      <c r="H123">
        <v>3.2</v>
      </c>
      <c r="I123">
        <v>5</v>
      </c>
      <c r="J123">
        <v>1</v>
      </c>
      <c r="K123" t="s">
        <v>933</v>
      </c>
      <c r="L123" t="s">
        <v>934</v>
      </c>
    </row>
    <row r="124" spans="1:14" ht="14.5" x14ac:dyDescent="0.35">
      <c r="A124" t="s">
        <v>313</v>
      </c>
      <c r="B124" t="s">
        <v>314</v>
      </c>
      <c r="C124" t="s">
        <v>108</v>
      </c>
      <c r="D124" t="s">
        <v>114</v>
      </c>
      <c r="E124" t="s">
        <v>32</v>
      </c>
      <c r="F124">
        <v>52</v>
      </c>
      <c r="G124">
        <v>94698</v>
      </c>
      <c r="H124">
        <v>4.5</v>
      </c>
      <c r="I124">
        <v>2</v>
      </c>
      <c r="J124">
        <v>1</v>
      </c>
      <c r="K124" t="s">
        <v>933</v>
      </c>
      <c r="L124" t="s">
        <v>936</v>
      </c>
      <c r="M124" t="s">
        <v>943</v>
      </c>
      <c r="N124" s="2">
        <v>46188</v>
      </c>
    </row>
    <row r="125" spans="1:14" ht="14.5" x14ac:dyDescent="0.35">
      <c r="A125" t="s">
        <v>315</v>
      </c>
      <c r="B125" t="s">
        <v>316</v>
      </c>
      <c r="C125" t="s">
        <v>56</v>
      </c>
      <c r="D125" t="s">
        <v>217</v>
      </c>
      <c r="E125" t="s">
        <v>23</v>
      </c>
      <c r="F125">
        <v>36</v>
      </c>
      <c r="G125">
        <v>100255</v>
      </c>
      <c r="H125">
        <v>2.6</v>
      </c>
      <c r="I125">
        <v>4</v>
      </c>
      <c r="J125">
        <v>4</v>
      </c>
      <c r="K125" t="s">
        <v>933</v>
      </c>
      <c r="L125" t="s">
        <v>934</v>
      </c>
    </row>
    <row r="126" spans="1:14" ht="14.5" x14ac:dyDescent="0.35">
      <c r="A126" t="s">
        <v>317</v>
      </c>
      <c r="B126" t="s">
        <v>318</v>
      </c>
      <c r="C126" t="s">
        <v>69</v>
      </c>
      <c r="D126" t="s">
        <v>319</v>
      </c>
      <c r="E126" t="s">
        <v>32</v>
      </c>
      <c r="F126">
        <v>25</v>
      </c>
      <c r="G126">
        <v>82387</v>
      </c>
      <c r="H126">
        <v>4.5999999999999996</v>
      </c>
      <c r="I126">
        <v>2</v>
      </c>
      <c r="J126">
        <v>1</v>
      </c>
      <c r="K126" t="s">
        <v>933</v>
      </c>
      <c r="L126" t="s">
        <v>936</v>
      </c>
      <c r="M126" t="s">
        <v>942</v>
      </c>
      <c r="N126" s="2">
        <v>46250</v>
      </c>
    </row>
    <row r="127" spans="1:14" ht="14.5" x14ac:dyDescent="0.35">
      <c r="A127" t="s">
        <v>320</v>
      </c>
      <c r="B127" t="s">
        <v>321</v>
      </c>
      <c r="C127" t="s">
        <v>36</v>
      </c>
      <c r="D127" t="s">
        <v>37</v>
      </c>
      <c r="E127" t="s">
        <v>23</v>
      </c>
      <c r="F127">
        <v>40</v>
      </c>
      <c r="G127">
        <v>104011</v>
      </c>
      <c r="H127">
        <v>1.2</v>
      </c>
      <c r="I127">
        <v>2</v>
      </c>
      <c r="J127">
        <v>5</v>
      </c>
      <c r="K127" t="s">
        <v>935</v>
      </c>
      <c r="L127" t="s">
        <v>934</v>
      </c>
    </row>
    <row r="128" spans="1:14" ht="14.5" x14ac:dyDescent="0.35">
      <c r="A128" t="s">
        <v>322</v>
      </c>
      <c r="B128" t="s">
        <v>323</v>
      </c>
      <c r="C128" t="s">
        <v>159</v>
      </c>
      <c r="D128" t="s">
        <v>324</v>
      </c>
      <c r="E128" t="s">
        <v>23</v>
      </c>
      <c r="F128">
        <v>43</v>
      </c>
      <c r="G128">
        <v>100340</v>
      </c>
      <c r="H128">
        <v>4</v>
      </c>
      <c r="I128">
        <v>4</v>
      </c>
      <c r="J128">
        <v>2</v>
      </c>
      <c r="K128" t="s">
        <v>933</v>
      </c>
      <c r="L128" t="s">
        <v>936</v>
      </c>
      <c r="M128" t="s">
        <v>938</v>
      </c>
      <c r="N128" s="2">
        <v>45938</v>
      </c>
    </row>
    <row r="129" spans="1:14" ht="14.5" x14ac:dyDescent="0.35">
      <c r="A129" t="s">
        <v>325</v>
      </c>
      <c r="B129" t="s">
        <v>257</v>
      </c>
      <c r="C129" t="s">
        <v>56</v>
      </c>
      <c r="D129" t="s">
        <v>217</v>
      </c>
      <c r="E129" t="s">
        <v>23</v>
      </c>
      <c r="F129">
        <v>33</v>
      </c>
      <c r="G129">
        <v>102946</v>
      </c>
      <c r="H129">
        <v>5.0999999999999996</v>
      </c>
      <c r="I129">
        <v>3</v>
      </c>
      <c r="J129">
        <v>2</v>
      </c>
      <c r="K129" t="s">
        <v>935</v>
      </c>
      <c r="L129" t="s">
        <v>934</v>
      </c>
    </row>
    <row r="130" spans="1:14" ht="14.5" x14ac:dyDescent="0.35">
      <c r="A130" t="s">
        <v>326</v>
      </c>
      <c r="B130" t="s">
        <v>327</v>
      </c>
      <c r="C130" t="s">
        <v>56</v>
      </c>
      <c r="D130" t="s">
        <v>79</v>
      </c>
      <c r="E130" t="s">
        <v>23</v>
      </c>
      <c r="F130">
        <v>51</v>
      </c>
      <c r="G130">
        <v>78604</v>
      </c>
      <c r="H130">
        <v>3.5</v>
      </c>
      <c r="I130">
        <v>5</v>
      </c>
      <c r="J130">
        <v>2</v>
      </c>
      <c r="K130" t="s">
        <v>933</v>
      </c>
      <c r="L130" t="s">
        <v>934</v>
      </c>
    </row>
    <row r="131" spans="1:14" ht="14.5" x14ac:dyDescent="0.35">
      <c r="A131" t="s">
        <v>328</v>
      </c>
      <c r="B131" t="s">
        <v>51</v>
      </c>
      <c r="C131" t="s">
        <v>108</v>
      </c>
      <c r="D131" t="s">
        <v>114</v>
      </c>
      <c r="E131" t="s">
        <v>32</v>
      </c>
      <c r="F131">
        <v>53</v>
      </c>
      <c r="G131">
        <v>71515</v>
      </c>
      <c r="H131">
        <v>1.1000000000000001</v>
      </c>
      <c r="I131">
        <v>5</v>
      </c>
      <c r="J131">
        <v>2</v>
      </c>
      <c r="K131" t="s">
        <v>935</v>
      </c>
      <c r="L131" t="s">
        <v>934</v>
      </c>
    </row>
    <row r="132" spans="1:14" ht="14.5" x14ac:dyDescent="0.35">
      <c r="A132" t="s">
        <v>329</v>
      </c>
      <c r="B132" t="s">
        <v>330</v>
      </c>
      <c r="C132" t="s">
        <v>108</v>
      </c>
      <c r="D132" t="s">
        <v>114</v>
      </c>
      <c r="E132" t="s">
        <v>23</v>
      </c>
      <c r="F132">
        <v>21</v>
      </c>
      <c r="G132">
        <v>81736</v>
      </c>
      <c r="H132">
        <v>6.1</v>
      </c>
      <c r="I132">
        <v>5</v>
      </c>
      <c r="J132">
        <v>2</v>
      </c>
      <c r="K132" t="s">
        <v>933</v>
      </c>
      <c r="L132" t="s">
        <v>936</v>
      </c>
      <c r="M132" t="s">
        <v>943</v>
      </c>
      <c r="N132" s="2">
        <v>45699</v>
      </c>
    </row>
    <row r="133" spans="1:14" ht="14.5" x14ac:dyDescent="0.35">
      <c r="A133" t="s">
        <v>331</v>
      </c>
      <c r="B133" t="s">
        <v>332</v>
      </c>
      <c r="C133" t="s">
        <v>21</v>
      </c>
      <c r="D133" t="s">
        <v>153</v>
      </c>
      <c r="E133" t="s">
        <v>23</v>
      </c>
      <c r="F133">
        <v>42</v>
      </c>
      <c r="G133">
        <v>118794</v>
      </c>
      <c r="H133">
        <v>0.8</v>
      </c>
      <c r="I133">
        <v>2</v>
      </c>
      <c r="J133">
        <v>4</v>
      </c>
      <c r="K133" t="s">
        <v>935</v>
      </c>
      <c r="L133" t="s">
        <v>934</v>
      </c>
    </row>
    <row r="134" spans="1:14" ht="14.5" x14ac:dyDescent="0.35">
      <c r="A134" t="s">
        <v>333</v>
      </c>
      <c r="B134" t="s">
        <v>334</v>
      </c>
      <c r="C134" t="s">
        <v>40</v>
      </c>
      <c r="D134" t="s">
        <v>65</v>
      </c>
      <c r="E134" t="s">
        <v>23</v>
      </c>
      <c r="F134">
        <v>52</v>
      </c>
      <c r="G134">
        <v>32705</v>
      </c>
      <c r="H134">
        <v>1.7</v>
      </c>
      <c r="I134">
        <v>2</v>
      </c>
      <c r="J134">
        <v>2</v>
      </c>
      <c r="K134" t="s">
        <v>933</v>
      </c>
      <c r="L134" t="s">
        <v>934</v>
      </c>
    </row>
    <row r="135" spans="1:14" ht="14.5" x14ac:dyDescent="0.35">
      <c r="A135" t="s">
        <v>335</v>
      </c>
      <c r="B135" t="s">
        <v>336</v>
      </c>
      <c r="C135" t="s">
        <v>69</v>
      </c>
      <c r="D135" t="s">
        <v>150</v>
      </c>
      <c r="E135" t="s">
        <v>32</v>
      </c>
      <c r="F135">
        <v>26</v>
      </c>
      <c r="G135">
        <v>40903</v>
      </c>
      <c r="H135">
        <v>2.9</v>
      </c>
      <c r="I135">
        <v>5</v>
      </c>
      <c r="J135">
        <v>5</v>
      </c>
      <c r="K135" t="s">
        <v>935</v>
      </c>
      <c r="L135" t="s">
        <v>934</v>
      </c>
    </row>
    <row r="136" spans="1:14" ht="14.5" x14ac:dyDescent="0.35">
      <c r="A136" t="s">
        <v>337</v>
      </c>
      <c r="B136" t="s">
        <v>338</v>
      </c>
      <c r="C136" t="s">
        <v>108</v>
      </c>
      <c r="D136" t="s">
        <v>109</v>
      </c>
      <c r="E136" t="s">
        <v>23</v>
      </c>
      <c r="F136">
        <v>22</v>
      </c>
      <c r="G136">
        <v>70516</v>
      </c>
      <c r="H136">
        <v>7.2</v>
      </c>
      <c r="I136">
        <v>2</v>
      </c>
      <c r="J136">
        <v>2</v>
      </c>
      <c r="K136" t="s">
        <v>935</v>
      </c>
      <c r="L136" t="s">
        <v>934</v>
      </c>
    </row>
    <row r="137" spans="1:14" ht="14.5" x14ac:dyDescent="0.35">
      <c r="A137" t="s">
        <v>339</v>
      </c>
      <c r="B137" t="s">
        <v>340</v>
      </c>
      <c r="C137" t="s">
        <v>36</v>
      </c>
      <c r="D137" t="s">
        <v>253</v>
      </c>
      <c r="E137" t="s">
        <v>23</v>
      </c>
      <c r="F137">
        <v>48</v>
      </c>
      <c r="G137">
        <v>60007</v>
      </c>
      <c r="H137">
        <v>6.1</v>
      </c>
      <c r="I137">
        <v>1</v>
      </c>
      <c r="J137">
        <v>5</v>
      </c>
      <c r="K137" t="s">
        <v>935</v>
      </c>
      <c r="L137" t="s">
        <v>934</v>
      </c>
    </row>
    <row r="138" spans="1:14" ht="14.5" x14ac:dyDescent="0.35">
      <c r="A138" t="s">
        <v>341</v>
      </c>
      <c r="B138" t="s">
        <v>342</v>
      </c>
      <c r="C138" t="s">
        <v>45</v>
      </c>
      <c r="D138" t="s">
        <v>234</v>
      </c>
      <c r="E138" t="s">
        <v>32</v>
      </c>
      <c r="F138">
        <v>32</v>
      </c>
      <c r="G138">
        <v>107887</v>
      </c>
      <c r="H138">
        <v>6.9</v>
      </c>
      <c r="I138">
        <v>5</v>
      </c>
      <c r="J138">
        <v>4</v>
      </c>
      <c r="K138" t="s">
        <v>933</v>
      </c>
      <c r="L138" t="s">
        <v>934</v>
      </c>
    </row>
    <row r="139" spans="1:14" ht="14.5" x14ac:dyDescent="0.35">
      <c r="A139" t="s">
        <v>343</v>
      </c>
      <c r="B139" t="s">
        <v>344</v>
      </c>
      <c r="C139" t="s">
        <v>45</v>
      </c>
      <c r="D139" t="s">
        <v>234</v>
      </c>
      <c r="E139" t="s">
        <v>23</v>
      </c>
      <c r="F139">
        <v>58</v>
      </c>
      <c r="G139">
        <v>58433</v>
      </c>
      <c r="H139">
        <v>6.1</v>
      </c>
      <c r="I139">
        <v>1</v>
      </c>
      <c r="J139">
        <v>2</v>
      </c>
      <c r="K139" t="s">
        <v>935</v>
      </c>
      <c r="L139" t="s">
        <v>934</v>
      </c>
    </row>
    <row r="140" spans="1:14" ht="14.5" x14ac:dyDescent="0.35">
      <c r="A140" t="s">
        <v>345</v>
      </c>
      <c r="B140" t="s">
        <v>346</v>
      </c>
      <c r="C140" t="s">
        <v>108</v>
      </c>
      <c r="D140" t="s">
        <v>126</v>
      </c>
      <c r="E140" t="s">
        <v>32</v>
      </c>
      <c r="F140">
        <v>50</v>
      </c>
      <c r="G140">
        <v>116815</v>
      </c>
      <c r="H140">
        <v>4.5</v>
      </c>
      <c r="I140">
        <v>1</v>
      </c>
      <c r="J140">
        <v>1</v>
      </c>
      <c r="K140" t="s">
        <v>933</v>
      </c>
      <c r="L140" t="s">
        <v>934</v>
      </c>
    </row>
    <row r="141" spans="1:14" ht="14.5" x14ac:dyDescent="0.35">
      <c r="A141" t="s">
        <v>347</v>
      </c>
      <c r="B141" t="s">
        <v>348</v>
      </c>
      <c r="C141" t="s">
        <v>21</v>
      </c>
      <c r="D141" t="s">
        <v>153</v>
      </c>
      <c r="E141" t="s">
        <v>23</v>
      </c>
      <c r="F141">
        <v>58</v>
      </c>
      <c r="G141">
        <v>111746</v>
      </c>
      <c r="H141">
        <v>4.4000000000000004</v>
      </c>
      <c r="I141">
        <v>5</v>
      </c>
      <c r="J141">
        <v>2</v>
      </c>
      <c r="K141" t="s">
        <v>933</v>
      </c>
      <c r="L141" t="s">
        <v>934</v>
      </c>
    </row>
    <row r="142" spans="1:14" ht="14.5" x14ac:dyDescent="0.35">
      <c r="A142" t="s">
        <v>349</v>
      </c>
      <c r="B142" t="s">
        <v>350</v>
      </c>
      <c r="C142" t="s">
        <v>108</v>
      </c>
      <c r="D142" t="s">
        <v>126</v>
      </c>
      <c r="E142" t="s">
        <v>32</v>
      </c>
      <c r="F142">
        <v>45</v>
      </c>
      <c r="G142">
        <v>41979</v>
      </c>
      <c r="H142">
        <v>2.2999999999999998</v>
      </c>
      <c r="I142">
        <v>5</v>
      </c>
      <c r="J142">
        <v>2</v>
      </c>
      <c r="K142" t="s">
        <v>933</v>
      </c>
      <c r="L142" t="s">
        <v>934</v>
      </c>
    </row>
    <row r="143" spans="1:14" ht="14.5" x14ac:dyDescent="0.35">
      <c r="A143" t="s">
        <v>351</v>
      </c>
      <c r="B143" t="s">
        <v>123</v>
      </c>
      <c r="C143" t="s">
        <v>45</v>
      </c>
      <c r="D143" t="s">
        <v>46</v>
      </c>
      <c r="E143" t="s">
        <v>23</v>
      </c>
      <c r="F143">
        <v>39</v>
      </c>
      <c r="G143">
        <v>114275</v>
      </c>
      <c r="H143">
        <v>7.5</v>
      </c>
      <c r="I143">
        <v>5</v>
      </c>
      <c r="J143">
        <v>2</v>
      </c>
      <c r="K143" t="s">
        <v>935</v>
      </c>
      <c r="L143" t="s">
        <v>934</v>
      </c>
    </row>
    <row r="144" spans="1:14" ht="14.5" x14ac:dyDescent="0.35">
      <c r="A144" t="s">
        <v>352</v>
      </c>
      <c r="B144" t="s">
        <v>353</v>
      </c>
      <c r="C144" t="s">
        <v>52</v>
      </c>
      <c r="D144" t="s">
        <v>102</v>
      </c>
      <c r="E144" t="s">
        <v>32</v>
      </c>
      <c r="F144">
        <v>52</v>
      </c>
      <c r="G144">
        <v>58162</v>
      </c>
      <c r="H144">
        <v>4.5</v>
      </c>
      <c r="I144">
        <v>4</v>
      </c>
      <c r="J144">
        <v>5</v>
      </c>
      <c r="K144" t="s">
        <v>933</v>
      </c>
      <c r="L144" t="s">
        <v>934</v>
      </c>
    </row>
    <row r="145" spans="1:12" ht="14.5" x14ac:dyDescent="0.35">
      <c r="A145" t="s">
        <v>354</v>
      </c>
      <c r="B145" t="s">
        <v>355</v>
      </c>
      <c r="C145" t="s">
        <v>69</v>
      </c>
      <c r="D145" t="s">
        <v>117</v>
      </c>
      <c r="E145" t="s">
        <v>23</v>
      </c>
      <c r="F145">
        <v>29</v>
      </c>
      <c r="G145">
        <v>110242</v>
      </c>
      <c r="H145">
        <v>6.7</v>
      </c>
      <c r="I145">
        <v>3</v>
      </c>
      <c r="J145">
        <v>1</v>
      </c>
      <c r="K145" t="s">
        <v>935</v>
      </c>
      <c r="L145" t="s">
        <v>934</v>
      </c>
    </row>
    <row r="146" spans="1:12" ht="14.5" x14ac:dyDescent="0.35">
      <c r="A146" t="s">
        <v>356</v>
      </c>
      <c r="B146" t="s">
        <v>357</v>
      </c>
      <c r="C146" t="s">
        <v>36</v>
      </c>
      <c r="D146" t="s">
        <v>84</v>
      </c>
      <c r="E146" t="s">
        <v>32</v>
      </c>
      <c r="F146">
        <v>58</v>
      </c>
      <c r="G146">
        <v>123991</v>
      </c>
      <c r="H146">
        <v>3.7</v>
      </c>
      <c r="I146">
        <v>4</v>
      </c>
      <c r="J146">
        <v>4</v>
      </c>
      <c r="K146" t="s">
        <v>935</v>
      </c>
      <c r="L146" t="s">
        <v>934</v>
      </c>
    </row>
    <row r="147" spans="1:12" ht="14.5" x14ac:dyDescent="0.35">
      <c r="A147" t="s">
        <v>358</v>
      </c>
      <c r="B147" t="s">
        <v>359</v>
      </c>
      <c r="C147" t="s">
        <v>36</v>
      </c>
      <c r="D147" t="s">
        <v>253</v>
      </c>
      <c r="E147" t="s">
        <v>23</v>
      </c>
      <c r="F147">
        <v>32</v>
      </c>
      <c r="G147">
        <v>45322</v>
      </c>
      <c r="H147">
        <v>5.5</v>
      </c>
      <c r="I147">
        <v>1</v>
      </c>
      <c r="J147">
        <v>4</v>
      </c>
      <c r="K147" t="s">
        <v>935</v>
      </c>
      <c r="L147" t="s">
        <v>934</v>
      </c>
    </row>
    <row r="148" spans="1:12" ht="14.5" x14ac:dyDescent="0.35">
      <c r="A148" t="s">
        <v>360</v>
      </c>
      <c r="B148" t="s">
        <v>361</v>
      </c>
      <c r="C148" t="s">
        <v>40</v>
      </c>
      <c r="D148" t="s">
        <v>293</v>
      </c>
      <c r="E148" t="s">
        <v>32</v>
      </c>
      <c r="F148">
        <v>37</v>
      </c>
      <c r="G148">
        <v>66684</v>
      </c>
      <c r="H148">
        <v>2.2999999999999998</v>
      </c>
      <c r="I148">
        <v>2</v>
      </c>
      <c r="J148">
        <v>1</v>
      </c>
      <c r="K148" t="s">
        <v>933</v>
      </c>
      <c r="L148" t="s">
        <v>934</v>
      </c>
    </row>
    <row r="149" spans="1:12" ht="14.5" x14ac:dyDescent="0.35">
      <c r="A149" t="s">
        <v>362</v>
      </c>
      <c r="B149" t="s">
        <v>363</v>
      </c>
      <c r="C149" t="s">
        <v>21</v>
      </c>
      <c r="D149" t="s">
        <v>153</v>
      </c>
      <c r="E149" t="s">
        <v>32</v>
      </c>
      <c r="F149">
        <v>30</v>
      </c>
      <c r="G149">
        <v>116647</v>
      </c>
      <c r="H149">
        <v>5.2</v>
      </c>
      <c r="I149">
        <v>3</v>
      </c>
      <c r="J149">
        <v>2</v>
      </c>
      <c r="K149" t="s">
        <v>933</v>
      </c>
      <c r="L149" t="s">
        <v>934</v>
      </c>
    </row>
    <row r="150" spans="1:12" ht="14.5" x14ac:dyDescent="0.35">
      <c r="A150" t="s">
        <v>364</v>
      </c>
      <c r="B150" t="s">
        <v>365</v>
      </c>
      <c r="C150" t="s">
        <v>27</v>
      </c>
      <c r="D150" t="s">
        <v>73</v>
      </c>
      <c r="E150" t="s">
        <v>32</v>
      </c>
      <c r="F150">
        <v>46</v>
      </c>
      <c r="G150">
        <v>62663</v>
      </c>
      <c r="H150">
        <v>7.6</v>
      </c>
      <c r="I150">
        <v>4</v>
      </c>
      <c r="J150">
        <v>5</v>
      </c>
      <c r="K150" t="s">
        <v>935</v>
      </c>
      <c r="L150" t="s">
        <v>934</v>
      </c>
    </row>
    <row r="151" spans="1:12" ht="14.5" x14ac:dyDescent="0.35">
      <c r="A151" t="s">
        <v>366</v>
      </c>
      <c r="B151" t="s">
        <v>367</v>
      </c>
      <c r="C151" t="s">
        <v>108</v>
      </c>
      <c r="D151" t="s">
        <v>126</v>
      </c>
      <c r="E151" t="s">
        <v>23</v>
      </c>
      <c r="F151">
        <v>58</v>
      </c>
      <c r="G151">
        <v>111695</v>
      </c>
      <c r="H151">
        <v>3.5</v>
      </c>
      <c r="I151">
        <v>1</v>
      </c>
      <c r="J151">
        <v>4</v>
      </c>
      <c r="K151" t="s">
        <v>933</v>
      </c>
      <c r="L151" t="s">
        <v>934</v>
      </c>
    </row>
    <row r="152" spans="1:12" ht="14.5" x14ac:dyDescent="0.35">
      <c r="A152" t="s">
        <v>368</v>
      </c>
      <c r="B152" t="s">
        <v>369</v>
      </c>
      <c r="C152" t="s">
        <v>69</v>
      </c>
      <c r="D152" t="s">
        <v>70</v>
      </c>
      <c r="E152" t="s">
        <v>32</v>
      </c>
      <c r="F152">
        <v>56</v>
      </c>
      <c r="G152">
        <v>107964</v>
      </c>
      <c r="H152">
        <v>4.0999999999999996</v>
      </c>
      <c r="I152">
        <v>5</v>
      </c>
      <c r="J152">
        <v>4</v>
      </c>
      <c r="K152" t="s">
        <v>933</v>
      </c>
      <c r="L152" t="s">
        <v>934</v>
      </c>
    </row>
    <row r="153" spans="1:12" ht="14.5" x14ac:dyDescent="0.35">
      <c r="A153" t="s">
        <v>370</v>
      </c>
      <c r="B153" t="s">
        <v>371</v>
      </c>
      <c r="C153" t="s">
        <v>108</v>
      </c>
      <c r="D153" t="s">
        <v>126</v>
      </c>
      <c r="E153" t="s">
        <v>23</v>
      </c>
      <c r="F153">
        <v>28</v>
      </c>
      <c r="G153">
        <v>33943</v>
      </c>
      <c r="H153">
        <v>6.2</v>
      </c>
      <c r="I153">
        <v>3</v>
      </c>
      <c r="J153">
        <v>3</v>
      </c>
      <c r="K153" t="s">
        <v>935</v>
      </c>
      <c r="L153" t="s">
        <v>934</v>
      </c>
    </row>
    <row r="154" spans="1:12" ht="14.5" x14ac:dyDescent="0.35">
      <c r="A154" t="s">
        <v>372</v>
      </c>
      <c r="B154" t="s">
        <v>373</v>
      </c>
      <c r="C154" t="s">
        <v>108</v>
      </c>
      <c r="D154" t="s">
        <v>114</v>
      </c>
      <c r="E154" t="s">
        <v>32</v>
      </c>
      <c r="F154">
        <v>36</v>
      </c>
      <c r="G154">
        <v>45781</v>
      </c>
      <c r="H154">
        <v>1.7</v>
      </c>
      <c r="I154">
        <v>1</v>
      </c>
      <c r="J154">
        <v>2</v>
      </c>
      <c r="K154" t="s">
        <v>935</v>
      </c>
      <c r="L154" t="s">
        <v>934</v>
      </c>
    </row>
    <row r="155" spans="1:12" ht="14.5" x14ac:dyDescent="0.35">
      <c r="A155" t="s">
        <v>374</v>
      </c>
      <c r="B155" t="s">
        <v>375</v>
      </c>
      <c r="C155" t="s">
        <v>40</v>
      </c>
      <c r="D155" t="s">
        <v>65</v>
      </c>
      <c r="E155" t="s">
        <v>32</v>
      </c>
      <c r="F155">
        <v>47</v>
      </c>
      <c r="G155">
        <v>92139</v>
      </c>
      <c r="H155">
        <v>6.6</v>
      </c>
      <c r="I155">
        <v>4</v>
      </c>
      <c r="J155">
        <v>5</v>
      </c>
      <c r="K155" t="s">
        <v>935</v>
      </c>
      <c r="L155" t="s">
        <v>934</v>
      </c>
    </row>
    <row r="156" spans="1:12" ht="14.5" x14ac:dyDescent="0.35">
      <c r="A156" t="s">
        <v>376</v>
      </c>
      <c r="B156" t="s">
        <v>377</v>
      </c>
      <c r="C156" t="s">
        <v>36</v>
      </c>
      <c r="D156" t="s">
        <v>37</v>
      </c>
      <c r="E156" t="s">
        <v>23</v>
      </c>
      <c r="F156">
        <v>34</v>
      </c>
      <c r="G156">
        <v>86287</v>
      </c>
      <c r="H156">
        <v>2.8</v>
      </c>
      <c r="I156">
        <v>5</v>
      </c>
      <c r="J156">
        <v>3</v>
      </c>
      <c r="K156" t="s">
        <v>933</v>
      </c>
      <c r="L156" t="s">
        <v>934</v>
      </c>
    </row>
    <row r="157" spans="1:12" ht="14.5" x14ac:dyDescent="0.35">
      <c r="A157" t="s">
        <v>378</v>
      </c>
      <c r="B157" t="s">
        <v>379</v>
      </c>
      <c r="C157" t="s">
        <v>21</v>
      </c>
      <c r="D157" t="s">
        <v>163</v>
      </c>
      <c r="E157" t="s">
        <v>23</v>
      </c>
      <c r="F157">
        <v>24</v>
      </c>
      <c r="G157">
        <v>64160</v>
      </c>
      <c r="H157">
        <v>3.3</v>
      </c>
      <c r="I157">
        <v>4</v>
      </c>
      <c r="J157">
        <v>2</v>
      </c>
      <c r="K157" t="s">
        <v>935</v>
      </c>
      <c r="L157" t="s">
        <v>934</v>
      </c>
    </row>
    <row r="158" spans="1:12" ht="14.5" x14ac:dyDescent="0.35">
      <c r="A158" t="s">
        <v>380</v>
      </c>
      <c r="B158" t="s">
        <v>72</v>
      </c>
      <c r="C158" t="s">
        <v>108</v>
      </c>
      <c r="D158" t="s">
        <v>114</v>
      </c>
      <c r="E158" t="s">
        <v>32</v>
      </c>
      <c r="F158">
        <v>22</v>
      </c>
      <c r="G158">
        <v>71713</v>
      </c>
      <c r="H158">
        <v>7.2</v>
      </c>
      <c r="I158">
        <v>5</v>
      </c>
      <c r="J158">
        <v>5</v>
      </c>
      <c r="K158" t="s">
        <v>933</v>
      </c>
      <c r="L158" t="s">
        <v>934</v>
      </c>
    </row>
    <row r="159" spans="1:12" ht="14.5" x14ac:dyDescent="0.35">
      <c r="A159" t="s">
        <v>381</v>
      </c>
      <c r="B159" t="s">
        <v>26</v>
      </c>
      <c r="C159" t="s">
        <v>45</v>
      </c>
      <c r="D159" t="s">
        <v>234</v>
      </c>
      <c r="E159" t="s">
        <v>32</v>
      </c>
      <c r="F159">
        <v>56</v>
      </c>
      <c r="G159">
        <v>104858</v>
      </c>
      <c r="H159">
        <v>5.4</v>
      </c>
      <c r="I159">
        <v>2</v>
      </c>
      <c r="J159">
        <v>5</v>
      </c>
      <c r="K159" t="s">
        <v>935</v>
      </c>
      <c r="L159" t="s">
        <v>934</v>
      </c>
    </row>
    <row r="160" spans="1:12" ht="14.5" x14ac:dyDescent="0.35">
      <c r="A160" t="s">
        <v>382</v>
      </c>
      <c r="B160" t="s">
        <v>383</v>
      </c>
      <c r="C160" t="s">
        <v>40</v>
      </c>
      <c r="D160" t="s">
        <v>90</v>
      </c>
      <c r="E160" t="s">
        <v>32</v>
      </c>
      <c r="F160">
        <v>38</v>
      </c>
      <c r="G160">
        <v>45038</v>
      </c>
      <c r="H160">
        <v>6.1</v>
      </c>
      <c r="I160">
        <v>1</v>
      </c>
      <c r="J160">
        <v>4</v>
      </c>
      <c r="K160" t="s">
        <v>935</v>
      </c>
      <c r="L160" t="s">
        <v>934</v>
      </c>
    </row>
    <row r="161" spans="1:12" ht="14.5" x14ac:dyDescent="0.35">
      <c r="A161" t="s">
        <v>384</v>
      </c>
      <c r="B161" t="s">
        <v>385</v>
      </c>
      <c r="C161" t="s">
        <v>159</v>
      </c>
      <c r="D161" t="s">
        <v>160</v>
      </c>
      <c r="E161" t="s">
        <v>32</v>
      </c>
      <c r="F161">
        <v>29</v>
      </c>
      <c r="G161">
        <v>74955</v>
      </c>
      <c r="H161">
        <v>7.6</v>
      </c>
      <c r="I161">
        <v>5</v>
      </c>
      <c r="J161">
        <v>5</v>
      </c>
      <c r="K161" t="s">
        <v>933</v>
      </c>
      <c r="L161" t="s">
        <v>934</v>
      </c>
    </row>
    <row r="162" spans="1:12" ht="14.5" x14ac:dyDescent="0.35">
      <c r="A162" t="s">
        <v>386</v>
      </c>
      <c r="B162" t="s">
        <v>157</v>
      </c>
      <c r="C162" t="s">
        <v>45</v>
      </c>
      <c r="D162" t="s">
        <v>46</v>
      </c>
      <c r="E162" t="s">
        <v>32</v>
      </c>
      <c r="F162">
        <v>32</v>
      </c>
      <c r="G162">
        <v>34868</v>
      </c>
      <c r="H162">
        <v>4.8</v>
      </c>
      <c r="I162">
        <v>4</v>
      </c>
      <c r="J162">
        <v>2</v>
      </c>
      <c r="K162" t="s">
        <v>935</v>
      </c>
      <c r="L162" t="s">
        <v>934</v>
      </c>
    </row>
    <row r="163" spans="1:12" ht="14.5" x14ac:dyDescent="0.35">
      <c r="A163" t="s">
        <v>387</v>
      </c>
      <c r="B163" t="s">
        <v>388</v>
      </c>
      <c r="C163" t="s">
        <v>27</v>
      </c>
      <c r="D163" t="s">
        <v>28</v>
      </c>
      <c r="E163" t="s">
        <v>32</v>
      </c>
      <c r="F163">
        <v>51</v>
      </c>
      <c r="G163">
        <v>75453</v>
      </c>
      <c r="H163">
        <v>2.7</v>
      </c>
      <c r="I163">
        <v>3</v>
      </c>
      <c r="J163">
        <v>1</v>
      </c>
      <c r="K163" t="s">
        <v>935</v>
      </c>
      <c r="L163" t="s">
        <v>934</v>
      </c>
    </row>
    <row r="164" spans="1:12" ht="14.5" x14ac:dyDescent="0.35">
      <c r="A164" t="s">
        <v>389</v>
      </c>
      <c r="B164" t="s">
        <v>390</v>
      </c>
      <c r="C164" t="s">
        <v>21</v>
      </c>
      <c r="D164" t="s">
        <v>153</v>
      </c>
      <c r="E164" t="s">
        <v>32</v>
      </c>
      <c r="F164">
        <v>23</v>
      </c>
      <c r="G164">
        <v>67535</v>
      </c>
      <c r="H164">
        <v>1.9</v>
      </c>
      <c r="I164">
        <v>4</v>
      </c>
      <c r="J164">
        <v>4</v>
      </c>
      <c r="K164" t="s">
        <v>933</v>
      </c>
      <c r="L164" t="s">
        <v>934</v>
      </c>
    </row>
    <row r="165" spans="1:12" ht="14.5" x14ac:dyDescent="0.35">
      <c r="A165" t="s">
        <v>391</v>
      </c>
      <c r="B165" t="s">
        <v>392</v>
      </c>
      <c r="C165" t="s">
        <v>52</v>
      </c>
      <c r="D165" t="s">
        <v>224</v>
      </c>
      <c r="E165" t="s">
        <v>23</v>
      </c>
      <c r="F165">
        <v>48</v>
      </c>
      <c r="G165">
        <v>92260</v>
      </c>
      <c r="H165">
        <v>6.5</v>
      </c>
      <c r="I165">
        <v>5</v>
      </c>
      <c r="J165">
        <v>5</v>
      </c>
      <c r="K165" t="s">
        <v>935</v>
      </c>
      <c r="L165" t="s">
        <v>934</v>
      </c>
    </row>
    <row r="166" spans="1:12" ht="14.5" x14ac:dyDescent="0.35">
      <c r="A166" t="s">
        <v>393</v>
      </c>
      <c r="B166" t="s">
        <v>394</v>
      </c>
      <c r="C166" t="s">
        <v>21</v>
      </c>
      <c r="D166" t="s">
        <v>22</v>
      </c>
      <c r="E166" t="s">
        <v>23</v>
      </c>
      <c r="F166">
        <v>30</v>
      </c>
      <c r="G166">
        <v>44540</v>
      </c>
      <c r="H166">
        <v>7</v>
      </c>
      <c r="I166">
        <v>4</v>
      </c>
      <c r="J166">
        <v>3</v>
      </c>
      <c r="K166" t="s">
        <v>935</v>
      </c>
      <c r="L166" t="s">
        <v>934</v>
      </c>
    </row>
    <row r="167" spans="1:12" ht="14.5" x14ac:dyDescent="0.35">
      <c r="A167" t="s">
        <v>395</v>
      </c>
      <c r="B167" t="s">
        <v>396</v>
      </c>
      <c r="C167" t="s">
        <v>45</v>
      </c>
      <c r="D167" t="s">
        <v>46</v>
      </c>
      <c r="E167" t="s">
        <v>23</v>
      </c>
      <c r="F167">
        <v>54</v>
      </c>
      <c r="G167">
        <v>87469</v>
      </c>
      <c r="H167">
        <v>4.4000000000000004</v>
      </c>
      <c r="I167">
        <v>5</v>
      </c>
      <c r="J167">
        <v>3</v>
      </c>
      <c r="K167" t="s">
        <v>935</v>
      </c>
      <c r="L167" t="s">
        <v>934</v>
      </c>
    </row>
    <row r="168" spans="1:12" ht="14.5" x14ac:dyDescent="0.35">
      <c r="A168" t="s">
        <v>397</v>
      </c>
      <c r="B168" t="s">
        <v>398</v>
      </c>
      <c r="C168" t="s">
        <v>56</v>
      </c>
      <c r="D168" t="s">
        <v>79</v>
      </c>
      <c r="E168" t="s">
        <v>32</v>
      </c>
      <c r="F168">
        <v>56</v>
      </c>
      <c r="G168">
        <v>84370</v>
      </c>
      <c r="H168">
        <v>5.3</v>
      </c>
      <c r="I168">
        <v>5</v>
      </c>
      <c r="J168">
        <v>2</v>
      </c>
      <c r="K168" t="s">
        <v>935</v>
      </c>
      <c r="L168" t="s">
        <v>934</v>
      </c>
    </row>
    <row r="169" spans="1:12" ht="14.5" x14ac:dyDescent="0.35">
      <c r="A169" t="s">
        <v>399</v>
      </c>
      <c r="B169" t="s">
        <v>400</v>
      </c>
      <c r="C169" t="s">
        <v>56</v>
      </c>
      <c r="D169" t="s">
        <v>57</v>
      </c>
      <c r="E169" t="s">
        <v>23</v>
      </c>
      <c r="F169">
        <v>46</v>
      </c>
      <c r="G169">
        <v>123631</v>
      </c>
      <c r="H169">
        <v>3.1</v>
      </c>
      <c r="I169">
        <v>4</v>
      </c>
      <c r="J169">
        <v>2</v>
      </c>
      <c r="K169" t="s">
        <v>935</v>
      </c>
      <c r="L169" t="s">
        <v>934</v>
      </c>
    </row>
    <row r="170" spans="1:12" ht="14.5" x14ac:dyDescent="0.35">
      <c r="A170" t="s">
        <v>401</v>
      </c>
      <c r="B170" t="s">
        <v>402</v>
      </c>
      <c r="C170" t="s">
        <v>56</v>
      </c>
      <c r="D170" t="s">
        <v>57</v>
      </c>
      <c r="E170" t="s">
        <v>23</v>
      </c>
      <c r="F170">
        <v>44</v>
      </c>
      <c r="G170">
        <v>118023</v>
      </c>
      <c r="H170">
        <v>6</v>
      </c>
      <c r="I170">
        <v>5</v>
      </c>
      <c r="J170">
        <v>3</v>
      </c>
      <c r="K170" t="s">
        <v>933</v>
      </c>
      <c r="L170" t="s">
        <v>934</v>
      </c>
    </row>
    <row r="171" spans="1:12" ht="14.5" x14ac:dyDescent="0.35">
      <c r="A171" t="s">
        <v>403</v>
      </c>
      <c r="B171" t="s">
        <v>404</v>
      </c>
      <c r="C171" t="s">
        <v>21</v>
      </c>
      <c r="D171" t="s">
        <v>22</v>
      </c>
      <c r="E171" t="s">
        <v>32</v>
      </c>
      <c r="F171">
        <v>26</v>
      </c>
      <c r="G171">
        <v>40656</v>
      </c>
      <c r="H171">
        <v>2.9</v>
      </c>
      <c r="I171">
        <v>5</v>
      </c>
      <c r="J171">
        <v>5</v>
      </c>
      <c r="K171" t="s">
        <v>933</v>
      </c>
      <c r="L171" t="s">
        <v>934</v>
      </c>
    </row>
    <row r="172" spans="1:12" ht="14.5" x14ac:dyDescent="0.35">
      <c r="A172" t="s">
        <v>405</v>
      </c>
      <c r="B172" t="s">
        <v>81</v>
      </c>
      <c r="C172" t="s">
        <v>159</v>
      </c>
      <c r="D172" t="s">
        <v>187</v>
      </c>
      <c r="E172" t="s">
        <v>32</v>
      </c>
      <c r="F172">
        <v>58</v>
      </c>
      <c r="G172">
        <v>101620</v>
      </c>
      <c r="H172">
        <v>1.4</v>
      </c>
      <c r="I172">
        <v>3</v>
      </c>
      <c r="J172">
        <v>5</v>
      </c>
      <c r="K172" t="s">
        <v>933</v>
      </c>
      <c r="L172" t="s">
        <v>934</v>
      </c>
    </row>
    <row r="173" spans="1:12" ht="14.5" x14ac:dyDescent="0.35">
      <c r="A173" t="s">
        <v>406</v>
      </c>
      <c r="B173" t="s">
        <v>407</v>
      </c>
      <c r="C173" t="s">
        <v>56</v>
      </c>
      <c r="D173" t="s">
        <v>57</v>
      </c>
      <c r="E173" t="s">
        <v>23</v>
      </c>
      <c r="F173">
        <v>24</v>
      </c>
      <c r="G173">
        <v>106696</v>
      </c>
      <c r="H173">
        <v>4.5</v>
      </c>
      <c r="I173">
        <v>3</v>
      </c>
      <c r="J173">
        <v>1</v>
      </c>
      <c r="K173" t="s">
        <v>933</v>
      </c>
      <c r="L173" t="s">
        <v>934</v>
      </c>
    </row>
    <row r="174" spans="1:12" ht="14.5" x14ac:dyDescent="0.35">
      <c r="A174" t="s">
        <v>408</v>
      </c>
      <c r="B174" t="s">
        <v>51</v>
      </c>
      <c r="C174" t="s">
        <v>21</v>
      </c>
      <c r="D174" t="s">
        <v>49</v>
      </c>
      <c r="E174" t="s">
        <v>32</v>
      </c>
      <c r="F174">
        <v>30</v>
      </c>
      <c r="G174">
        <v>57392</v>
      </c>
      <c r="H174">
        <v>2.2999999999999998</v>
      </c>
      <c r="I174">
        <v>5</v>
      </c>
      <c r="J174">
        <v>4</v>
      </c>
      <c r="K174" t="s">
        <v>933</v>
      </c>
      <c r="L174" t="s">
        <v>934</v>
      </c>
    </row>
    <row r="175" spans="1:12" ht="14.5" x14ac:dyDescent="0.35">
      <c r="A175" t="s">
        <v>409</v>
      </c>
      <c r="B175" t="s">
        <v>410</v>
      </c>
      <c r="C175" t="s">
        <v>40</v>
      </c>
      <c r="D175" t="s">
        <v>293</v>
      </c>
      <c r="E175" t="s">
        <v>32</v>
      </c>
      <c r="F175">
        <v>38</v>
      </c>
      <c r="G175">
        <v>57643</v>
      </c>
      <c r="H175">
        <v>1.3</v>
      </c>
      <c r="I175">
        <v>2</v>
      </c>
      <c r="J175">
        <v>1</v>
      </c>
      <c r="K175" t="s">
        <v>933</v>
      </c>
      <c r="L175" t="s">
        <v>934</v>
      </c>
    </row>
    <row r="176" spans="1:12" ht="14.5" x14ac:dyDescent="0.35">
      <c r="A176" t="s">
        <v>411</v>
      </c>
      <c r="B176" t="s">
        <v>288</v>
      </c>
      <c r="C176" t="s">
        <v>27</v>
      </c>
      <c r="D176" t="s">
        <v>28</v>
      </c>
      <c r="E176" t="s">
        <v>23</v>
      </c>
      <c r="F176">
        <v>22</v>
      </c>
      <c r="G176">
        <v>63818</v>
      </c>
      <c r="H176">
        <v>5.7</v>
      </c>
      <c r="I176">
        <v>2</v>
      </c>
      <c r="J176">
        <v>4</v>
      </c>
      <c r="K176" t="s">
        <v>933</v>
      </c>
      <c r="L176" t="s">
        <v>934</v>
      </c>
    </row>
    <row r="177" spans="1:14" ht="14.5" x14ac:dyDescent="0.35">
      <c r="A177" t="s">
        <v>412</v>
      </c>
      <c r="B177" t="s">
        <v>413</v>
      </c>
      <c r="C177" t="s">
        <v>40</v>
      </c>
      <c r="D177" t="s">
        <v>293</v>
      </c>
      <c r="E177" t="s">
        <v>32</v>
      </c>
      <c r="F177">
        <v>32</v>
      </c>
      <c r="G177">
        <v>102228</v>
      </c>
      <c r="H177">
        <v>6.1</v>
      </c>
      <c r="I177">
        <v>3</v>
      </c>
      <c r="J177">
        <v>5</v>
      </c>
      <c r="K177" t="s">
        <v>933</v>
      </c>
      <c r="L177" t="s">
        <v>936</v>
      </c>
      <c r="M177" t="s">
        <v>941</v>
      </c>
      <c r="N177" s="2">
        <v>45849</v>
      </c>
    </row>
    <row r="178" spans="1:14" ht="14.5" x14ac:dyDescent="0.35">
      <c r="A178" t="s">
        <v>414</v>
      </c>
      <c r="B178" t="s">
        <v>415</v>
      </c>
      <c r="C178" t="s">
        <v>21</v>
      </c>
      <c r="D178" t="s">
        <v>133</v>
      </c>
      <c r="E178" t="s">
        <v>32</v>
      </c>
      <c r="F178">
        <v>26</v>
      </c>
      <c r="G178">
        <v>56197</v>
      </c>
      <c r="H178">
        <v>1.8</v>
      </c>
      <c r="I178">
        <v>3</v>
      </c>
      <c r="J178">
        <v>5</v>
      </c>
      <c r="K178" t="s">
        <v>935</v>
      </c>
      <c r="L178" t="s">
        <v>934</v>
      </c>
    </row>
    <row r="179" spans="1:14" ht="14.5" x14ac:dyDescent="0.35">
      <c r="A179" t="s">
        <v>416</v>
      </c>
      <c r="B179" t="s">
        <v>417</v>
      </c>
      <c r="C179" t="s">
        <v>108</v>
      </c>
      <c r="D179" t="s">
        <v>126</v>
      </c>
      <c r="E179" t="s">
        <v>32</v>
      </c>
      <c r="F179">
        <v>44</v>
      </c>
      <c r="G179">
        <v>122581</v>
      </c>
      <c r="H179">
        <v>4.3</v>
      </c>
      <c r="I179">
        <v>1</v>
      </c>
      <c r="J179">
        <v>2</v>
      </c>
      <c r="K179" t="s">
        <v>933</v>
      </c>
      <c r="L179" t="s">
        <v>934</v>
      </c>
    </row>
    <row r="180" spans="1:14" ht="14.5" x14ac:dyDescent="0.35">
      <c r="A180" t="s">
        <v>418</v>
      </c>
      <c r="B180" t="s">
        <v>419</v>
      </c>
      <c r="C180" t="s">
        <v>45</v>
      </c>
      <c r="D180" t="s">
        <v>296</v>
      </c>
      <c r="E180" t="s">
        <v>32</v>
      </c>
      <c r="F180">
        <v>30</v>
      </c>
      <c r="G180">
        <v>108981</v>
      </c>
      <c r="H180">
        <v>6</v>
      </c>
      <c r="I180">
        <v>5</v>
      </c>
      <c r="J180">
        <v>5</v>
      </c>
      <c r="K180" t="s">
        <v>933</v>
      </c>
      <c r="L180" t="s">
        <v>934</v>
      </c>
    </row>
    <row r="181" spans="1:14" ht="14.5" x14ac:dyDescent="0.35">
      <c r="A181" t="s">
        <v>420</v>
      </c>
      <c r="B181" t="s">
        <v>348</v>
      </c>
      <c r="C181" t="s">
        <v>36</v>
      </c>
      <c r="D181" t="s">
        <v>84</v>
      </c>
      <c r="E181" t="s">
        <v>23</v>
      </c>
      <c r="F181">
        <v>52</v>
      </c>
      <c r="G181">
        <v>85939</v>
      </c>
      <c r="H181">
        <v>0.9</v>
      </c>
      <c r="I181">
        <v>1</v>
      </c>
      <c r="J181">
        <v>3</v>
      </c>
      <c r="K181" t="s">
        <v>935</v>
      </c>
      <c r="L181" t="s">
        <v>934</v>
      </c>
    </row>
    <row r="182" spans="1:14" ht="14.5" x14ac:dyDescent="0.35">
      <c r="A182" t="s">
        <v>421</v>
      </c>
      <c r="B182" t="s">
        <v>422</v>
      </c>
      <c r="C182" t="s">
        <v>69</v>
      </c>
      <c r="D182" t="s">
        <v>319</v>
      </c>
      <c r="E182" t="s">
        <v>32</v>
      </c>
      <c r="F182">
        <v>43</v>
      </c>
      <c r="G182">
        <v>42534</v>
      </c>
      <c r="H182">
        <v>2.9</v>
      </c>
      <c r="I182">
        <v>5</v>
      </c>
      <c r="J182">
        <v>5</v>
      </c>
      <c r="K182" t="s">
        <v>933</v>
      </c>
      <c r="L182" t="s">
        <v>934</v>
      </c>
    </row>
    <row r="183" spans="1:14" ht="14.5" x14ac:dyDescent="0.35">
      <c r="A183" t="s">
        <v>423</v>
      </c>
      <c r="B183" t="s">
        <v>229</v>
      </c>
      <c r="C183" t="s">
        <v>108</v>
      </c>
      <c r="D183" t="s">
        <v>126</v>
      </c>
      <c r="E183" t="s">
        <v>32</v>
      </c>
      <c r="F183">
        <v>35</v>
      </c>
      <c r="G183">
        <v>106554</v>
      </c>
      <c r="H183">
        <v>3.3</v>
      </c>
      <c r="I183">
        <v>4</v>
      </c>
      <c r="J183">
        <v>3</v>
      </c>
      <c r="K183" t="s">
        <v>933</v>
      </c>
      <c r="L183" t="s">
        <v>934</v>
      </c>
    </row>
    <row r="184" spans="1:14" ht="14.5" x14ac:dyDescent="0.35">
      <c r="A184" t="s">
        <v>424</v>
      </c>
      <c r="B184" t="s">
        <v>81</v>
      </c>
      <c r="C184" t="s">
        <v>69</v>
      </c>
      <c r="D184" t="s">
        <v>150</v>
      </c>
      <c r="E184" t="s">
        <v>32</v>
      </c>
      <c r="F184">
        <v>29</v>
      </c>
      <c r="G184">
        <v>65938</v>
      </c>
      <c r="H184">
        <v>4.9000000000000004</v>
      </c>
      <c r="I184">
        <v>4</v>
      </c>
      <c r="J184">
        <v>2</v>
      </c>
      <c r="K184" t="s">
        <v>933</v>
      </c>
      <c r="L184" t="s">
        <v>934</v>
      </c>
    </row>
    <row r="185" spans="1:14" ht="14.5" x14ac:dyDescent="0.35">
      <c r="A185" t="s">
        <v>425</v>
      </c>
      <c r="B185" t="s">
        <v>426</v>
      </c>
      <c r="C185" t="s">
        <v>52</v>
      </c>
      <c r="D185" t="s">
        <v>224</v>
      </c>
      <c r="E185" t="s">
        <v>23</v>
      </c>
      <c r="F185">
        <v>32</v>
      </c>
      <c r="G185">
        <v>77834</v>
      </c>
      <c r="H185">
        <v>6.3</v>
      </c>
      <c r="I185">
        <v>4</v>
      </c>
      <c r="J185">
        <v>3</v>
      </c>
      <c r="K185" t="s">
        <v>933</v>
      </c>
      <c r="L185" t="s">
        <v>936</v>
      </c>
      <c r="M185" t="s">
        <v>938</v>
      </c>
      <c r="N185" s="2">
        <v>45509</v>
      </c>
    </row>
    <row r="186" spans="1:14" ht="14.5" x14ac:dyDescent="0.35">
      <c r="A186" t="s">
        <v>427</v>
      </c>
      <c r="B186" t="s">
        <v>428</v>
      </c>
      <c r="C186" t="s">
        <v>27</v>
      </c>
      <c r="D186" t="s">
        <v>73</v>
      </c>
      <c r="E186" t="s">
        <v>32</v>
      </c>
      <c r="F186">
        <v>46</v>
      </c>
      <c r="G186">
        <v>85176</v>
      </c>
      <c r="H186">
        <v>7.3</v>
      </c>
      <c r="I186">
        <v>3</v>
      </c>
      <c r="J186">
        <v>4</v>
      </c>
      <c r="K186" t="s">
        <v>935</v>
      </c>
      <c r="L186" t="s">
        <v>934</v>
      </c>
    </row>
    <row r="187" spans="1:14" ht="14.5" x14ac:dyDescent="0.35">
      <c r="A187" t="s">
        <v>429</v>
      </c>
      <c r="B187" t="s">
        <v>430</v>
      </c>
      <c r="C187" t="s">
        <v>21</v>
      </c>
      <c r="D187" t="s">
        <v>163</v>
      </c>
      <c r="E187" t="s">
        <v>23</v>
      </c>
      <c r="F187">
        <v>57</v>
      </c>
      <c r="G187">
        <v>120995</v>
      </c>
      <c r="H187">
        <v>3.2</v>
      </c>
      <c r="I187">
        <v>5</v>
      </c>
      <c r="J187">
        <v>3</v>
      </c>
      <c r="K187" t="s">
        <v>933</v>
      </c>
      <c r="L187" t="s">
        <v>936</v>
      </c>
      <c r="M187" t="s">
        <v>940</v>
      </c>
      <c r="N187" s="2">
        <v>46283</v>
      </c>
    </row>
    <row r="188" spans="1:14" ht="14.5" x14ac:dyDescent="0.35">
      <c r="A188" t="s">
        <v>431</v>
      </c>
      <c r="B188" t="s">
        <v>432</v>
      </c>
      <c r="C188" t="s">
        <v>36</v>
      </c>
      <c r="D188" t="s">
        <v>37</v>
      </c>
      <c r="E188" t="s">
        <v>23</v>
      </c>
      <c r="F188">
        <v>22</v>
      </c>
      <c r="G188">
        <v>50527</v>
      </c>
      <c r="H188">
        <v>4.0999999999999996</v>
      </c>
      <c r="I188">
        <v>4</v>
      </c>
      <c r="J188">
        <v>3</v>
      </c>
      <c r="K188" t="s">
        <v>933</v>
      </c>
      <c r="L188" t="s">
        <v>934</v>
      </c>
    </row>
    <row r="189" spans="1:14" ht="14.5" x14ac:dyDescent="0.35">
      <c r="A189" t="s">
        <v>433</v>
      </c>
      <c r="B189" t="s">
        <v>434</v>
      </c>
      <c r="C189" t="s">
        <v>108</v>
      </c>
      <c r="D189" t="s">
        <v>126</v>
      </c>
      <c r="E189" t="s">
        <v>32</v>
      </c>
      <c r="F189">
        <v>48</v>
      </c>
      <c r="G189">
        <v>59891</v>
      </c>
      <c r="H189">
        <v>6.6</v>
      </c>
      <c r="I189">
        <v>5</v>
      </c>
      <c r="J189">
        <v>2</v>
      </c>
      <c r="K189" t="s">
        <v>935</v>
      </c>
      <c r="L189" t="s">
        <v>934</v>
      </c>
    </row>
    <row r="190" spans="1:14" ht="14.5" x14ac:dyDescent="0.35">
      <c r="A190" t="s">
        <v>435</v>
      </c>
      <c r="B190" t="s">
        <v>436</v>
      </c>
      <c r="C190" t="s">
        <v>56</v>
      </c>
      <c r="D190" t="s">
        <v>79</v>
      </c>
      <c r="E190" t="s">
        <v>23</v>
      </c>
      <c r="F190">
        <v>40</v>
      </c>
      <c r="G190">
        <v>57041</v>
      </c>
      <c r="H190">
        <v>3.9</v>
      </c>
      <c r="I190">
        <v>3</v>
      </c>
      <c r="J190">
        <v>4</v>
      </c>
      <c r="K190" t="s">
        <v>935</v>
      </c>
      <c r="L190" t="s">
        <v>934</v>
      </c>
    </row>
    <row r="191" spans="1:14" ht="14.5" x14ac:dyDescent="0.35">
      <c r="A191" t="s">
        <v>437</v>
      </c>
      <c r="B191" t="s">
        <v>438</v>
      </c>
      <c r="C191" t="s">
        <v>21</v>
      </c>
      <c r="D191" t="s">
        <v>49</v>
      </c>
      <c r="E191" t="s">
        <v>32</v>
      </c>
      <c r="F191">
        <v>54</v>
      </c>
      <c r="G191">
        <v>53415</v>
      </c>
      <c r="H191">
        <v>2</v>
      </c>
      <c r="I191">
        <v>5</v>
      </c>
      <c r="J191">
        <v>4</v>
      </c>
      <c r="K191" t="s">
        <v>933</v>
      </c>
      <c r="L191" t="s">
        <v>934</v>
      </c>
    </row>
    <row r="192" spans="1:14" ht="14.5" x14ac:dyDescent="0.35">
      <c r="A192" t="s">
        <v>439</v>
      </c>
      <c r="B192" t="s">
        <v>440</v>
      </c>
      <c r="C192" t="s">
        <v>40</v>
      </c>
      <c r="D192" t="s">
        <v>90</v>
      </c>
      <c r="E192" t="s">
        <v>32</v>
      </c>
      <c r="F192">
        <v>27</v>
      </c>
      <c r="G192">
        <v>61550</v>
      </c>
      <c r="H192">
        <v>6.1</v>
      </c>
      <c r="I192">
        <v>5</v>
      </c>
      <c r="J192">
        <v>4</v>
      </c>
      <c r="K192" t="s">
        <v>933</v>
      </c>
      <c r="L192" t="s">
        <v>934</v>
      </c>
    </row>
    <row r="193" spans="1:12" ht="14.5" x14ac:dyDescent="0.35">
      <c r="A193" t="s">
        <v>441</v>
      </c>
      <c r="B193" t="s">
        <v>442</v>
      </c>
      <c r="C193" t="s">
        <v>45</v>
      </c>
      <c r="D193" t="s">
        <v>234</v>
      </c>
      <c r="E193" t="s">
        <v>32</v>
      </c>
      <c r="F193">
        <v>32</v>
      </c>
      <c r="G193">
        <v>88811</v>
      </c>
      <c r="H193">
        <v>2.2000000000000002</v>
      </c>
      <c r="I193">
        <v>1</v>
      </c>
      <c r="J193">
        <v>1</v>
      </c>
      <c r="K193" t="s">
        <v>933</v>
      </c>
      <c r="L193" t="s">
        <v>934</v>
      </c>
    </row>
    <row r="194" spans="1:12" ht="14.5" x14ac:dyDescent="0.35">
      <c r="A194" t="s">
        <v>443</v>
      </c>
      <c r="B194" t="s">
        <v>92</v>
      </c>
      <c r="C194" t="s">
        <v>45</v>
      </c>
      <c r="D194" t="s">
        <v>239</v>
      </c>
      <c r="E194" t="s">
        <v>23</v>
      </c>
      <c r="F194">
        <v>41</v>
      </c>
      <c r="G194">
        <v>85640</v>
      </c>
      <c r="H194">
        <v>6.1</v>
      </c>
      <c r="I194">
        <v>2</v>
      </c>
      <c r="J194">
        <v>4</v>
      </c>
      <c r="K194" t="s">
        <v>935</v>
      </c>
      <c r="L194" t="s">
        <v>934</v>
      </c>
    </row>
    <row r="195" spans="1:12" ht="14.5" x14ac:dyDescent="0.35">
      <c r="A195" t="s">
        <v>444</v>
      </c>
      <c r="B195" t="s">
        <v>445</v>
      </c>
      <c r="C195" t="s">
        <v>108</v>
      </c>
      <c r="D195" t="s">
        <v>126</v>
      </c>
      <c r="E195" t="s">
        <v>23</v>
      </c>
      <c r="F195">
        <v>58</v>
      </c>
      <c r="G195">
        <v>74129</v>
      </c>
      <c r="H195">
        <v>7.1</v>
      </c>
      <c r="I195">
        <v>1</v>
      </c>
      <c r="J195">
        <v>1</v>
      </c>
      <c r="K195" t="s">
        <v>933</v>
      </c>
      <c r="L195" t="s">
        <v>934</v>
      </c>
    </row>
    <row r="196" spans="1:12" ht="14.5" x14ac:dyDescent="0.35">
      <c r="A196" t="s">
        <v>446</v>
      </c>
      <c r="B196" t="s">
        <v>447</v>
      </c>
      <c r="C196" t="s">
        <v>36</v>
      </c>
      <c r="D196" t="s">
        <v>84</v>
      </c>
      <c r="E196" t="s">
        <v>23</v>
      </c>
      <c r="F196">
        <v>23</v>
      </c>
      <c r="G196">
        <v>76331</v>
      </c>
      <c r="H196">
        <v>7.1</v>
      </c>
      <c r="I196">
        <v>3</v>
      </c>
      <c r="J196">
        <v>3</v>
      </c>
      <c r="K196" t="s">
        <v>935</v>
      </c>
      <c r="L196" t="s">
        <v>934</v>
      </c>
    </row>
    <row r="197" spans="1:12" ht="14.5" x14ac:dyDescent="0.35">
      <c r="A197" t="s">
        <v>448</v>
      </c>
      <c r="B197" t="s">
        <v>338</v>
      </c>
      <c r="C197" t="s">
        <v>21</v>
      </c>
      <c r="D197" t="s">
        <v>22</v>
      </c>
      <c r="E197" t="s">
        <v>23</v>
      </c>
      <c r="F197">
        <v>50</v>
      </c>
      <c r="G197">
        <v>100655</v>
      </c>
      <c r="H197">
        <v>1.2</v>
      </c>
      <c r="I197">
        <v>5</v>
      </c>
      <c r="J197">
        <v>1</v>
      </c>
      <c r="K197" t="s">
        <v>935</v>
      </c>
      <c r="L197" t="s">
        <v>934</v>
      </c>
    </row>
    <row r="198" spans="1:12" ht="14.5" x14ac:dyDescent="0.35">
      <c r="A198" t="s">
        <v>449</v>
      </c>
      <c r="B198" t="s">
        <v>450</v>
      </c>
      <c r="C198" t="s">
        <v>108</v>
      </c>
      <c r="D198" t="s">
        <v>109</v>
      </c>
      <c r="E198" t="s">
        <v>23</v>
      </c>
      <c r="F198">
        <v>51</v>
      </c>
      <c r="G198">
        <v>47773</v>
      </c>
      <c r="H198">
        <v>2.1</v>
      </c>
      <c r="I198">
        <v>3</v>
      </c>
      <c r="J198">
        <v>4</v>
      </c>
      <c r="K198" t="s">
        <v>935</v>
      </c>
      <c r="L198" t="s">
        <v>934</v>
      </c>
    </row>
    <row r="199" spans="1:12" ht="14.5" x14ac:dyDescent="0.35">
      <c r="A199" t="s">
        <v>451</v>
      </c>
      <c r="B199" t="s">
        <v>452</v>
      </c>
      <c r="C199" t="s">
        <v>21</v>
      </c>
      <c r="D199" t="s">
        <v>163</v>
      </c>
      <c r="E199" t="s">
        <v>32</v>
      </c>
      <c r="F199">
        <v>53</v>
      </c>
      <c r="G199">
        <v>33130</v>
      </c>
      <c r="H199">
        <v>5.8</v>
      </c>
      <c r="I199">
        <v>3</v>
      </c>
      <c r="J199">
        <v>2</v>
      </c>
      <c r="K199" t="s">
        <v>935</v>
      </c>
      <c r="L199" t="s">
        <v>934</v>
      </c>
    </row>
    <row r="200" spans="1:12" ht="14.5" x14ac:dyDescent="0.35">
      <c r="A200" t="s">
        <v>453</v>
      </c>
      <c r="B200" t="s">
        <v>454</v>
      </c>
      <c r="C200" t="s">
        <v>108</v>
      </c>
      <c r="D200" t="s">
        <v>109</v>
      </c>
      <c r="E200" t="s">
        <v>23</v>
      </c>
      <c r="F200">
        <v>44</v>
      </c>
      <c r="G200">
        <v>78779</v>
      </c>
      <c r="H200">
        <v>4.5999999999999996</v>
      </c>
      <c r="I200">
        <v>4</v>
      </c>
      <c r="J200">
        <v>2</v>
      </c>
      <c r="K200" t="s">
        <v>933</v>
      </c>
      <c r="L200" t="s">
        <v>934</v>
      </c>
    </row>
    <row r="201" spans="1:12" ht="14.5" x14ac:dyDescent="0.35">
      <c r="A201" t="s">
        <v>455</v>
      </c>
      <c r="B201" t="s">
        <v>456</v>
      </c>
      <c r="C201" t="s">
        <v>45</v>
      </c>
      <c r="D201" t="s">
        <v>296</v>
      </c>
      <c r="E201" t="s">
        <v>23</v>
      </c>
      <c r="F201">
        <v>25</v>
      </c>
      <c r="G201">
        <v>40387</v>
      </c>
      <c r="H201">
        <v>4</v>
      </c>
      <c r="I201">
        <v>3</v>
      </c>
      <c r="J201">
        <v>5</v>
      </c>
      <c r="K201" t="s">
        <v>935</v>
      </c>
      <c r="L201" t="s">
        <v>934</v>
      </c>
    </row>
    <row r="202" spans="1:12" ht="14.5" x14ac:dyDescent="0.35">
      <c r="A202" t="s">
        <v>457</v>
      </c>
      <c r="B202" t="s">
        <v>327</v>
      </c>
      <c r="C202" t="s">
        <v>36</v>
      </c>
      <c r="D202" t="s">
        <v>253</v>
      </c>
      <c r="E202" t="s">
        <v>32</v>
      </c>
      <c r="F202">
        <v>42</v>
      </c>
      <c r="G202">
        <v>104380</v>
      </c>
      <c r="H202">
        <v>6.8</v>
      </c>
      <c r="I202">
        <v>2</v>
      </c>
      <c r="J202">
        <v>3</v>
      </c>
      <c r="K202" t="s">
        <v>935</v>
      </c>
      <c r="L202" t="s">
        <v>934</v>
      </c>
    </row>
    <row r="203" spans="1:12" ht="14.5" x14ac:dyDescent="0.35">
      <c r="A203" t="s">
        <v>458</v>
      </c>
      <c r="B203" t="s">
        <v>459</v>
      </c>
      <c r="C203" t="s">
        <v>40</v>
      </c>
      <c r="D203" t="s">
        <v>293</v>
      </c>
      <c r="E203" t="s">
        <v>23</v>
      </c>
      <c r="F203">
        <v>29</v>
      </c>
      <c r="G203">
        <v>120908</v>
      </c>
      <c r="H203">
        <v>1.1000000000000001</v>
      </c>
      <c r="I203">
        <v>2</v>
      </c>
      <c r="J203">
        <v>2</v>
      </c>
      <c r="K203" t="s">
        <v>933</v>
      </c>
      <c r="L203" t="s">
        <v>934</v>
      </c>
    </row>
    <row r="204" spans="1:12" ht="14.5" x14ac:dyDescent="0.35">
      <c r="A204" t="s">
        <v>460</v>
      </c>
      <c r="B204" t="s">
        <v>430</v>
      </c>
      <c r="C204" t="s">
        <v>27</v>
      </c>
      <c r="D204" t="s">
        <v>76</v>
      </c>
      <c r="E204" t="s">
        <v>23</v>
      </c>
      <c r="F204">
        <v>29</v>
      </c>
      <c r="G204">
        <v>40249</v>
      </c>
      <c r="H204">
        <v>1.8</v>
      </c>
      <c r="I204">
        <v>3</v>
      </c>
      <c r="J204">
        <v>2</v>
      </c>
      <c r="K204" t="s">
        <v>933</v>
      </c>
      <c r="L204" t="s">
        <v>934</v>
      </c>
    </row>
    <row r="205" spans="1:12" ht="14.5" x14ac:dyDescent="0.35">
      <c r="A205" t="s">
        <v>461</v>
      </c>
      <c r="B205" t="s">
        <v>462</v>
      </c>
      <c r="C205" t="s">
        <v>27</v>
      </c>
      <c r="D205" t="s">
        <v>73</v>
      </c>
      <c r="E205" t="s">
        <v>32</v>
      </c>
      <c r="F205">
        <v>44</v>
      </c>
      <c r="G205">
        <v>51627</v>
      </c>
      <c r="H205">
        <v>4.3</v>
      </c>
      <c r="I205">
        <v>3</v>
      </c>
      <c r="J205">
        <v>4</v>
      </c>
      <c r="K205" t="s">
        <v>933</v>
      </c>
      <c r="L205" t="s">
        <v>934</v>
      </c>
    </row>
    <row r="206" spans="1:12" ht="14.5" x14ac:dyDescent="0.35">
      <c r="A206" t="s">
        <v>463</v>
      </c>
      <c r="B206" t="s">
        <v>265</v>
      </c>
      <c r="C206" t="s">
        <v>108</v>
      </c>
      <c r="D206" t="s">
        <v>109</v>
      </c>
      <c r="E206" t="s">
        <v>32</v>
      </c>
      <c r="F206">
        <v>29</v>
      </c>
      <c r="G206">
        <v>38114</v>
      </c>
      <c r="H206">
        <v>6</v>
      </c>
      <c r="I206">
        <v>3</v>
      </c>
      <c r="J206">
        <v>4</v>
      </c>
      <c r="K206" t="s">
        <v>935</v>
      </c>
      <c r="L206" t="s">
        <v>934</v>
      </c>
    </row>
    <row r="207" spans="1:12" ht="14.5" x14ac:dyDescent="0.35">
      <c r="A207" t="s">
        <v>464</v>
      </c>
      <c r="B207" t="s">
        <v>465</v>
      </c>
      <c r="C207" t="s">
        <v>27</v>
      </c>
      <c r="D207" t="s">
        <v>28</v>
      </c>
      <c r="E207" t="s">
        <v>23</v>
      </c>
      <c r="F207">
        <v>29</v>
      </c>
      <c r="G207">
        <v>77377</v>
      </c>
      <c r="H207">
        <v>1</v>
      </c>
      <c r="I207">
        <v>3</v>
      </c>
      <c r="J207">
        <v>3</v>
      </c>
      <c r="K207" t="s">
        <v>935</v>
      </c>
      <c r="L207" t="s">
        <v>934</v>
      </c>
    </row>
    <row r="208" spans="1:12" ht="14.5" x14ac:dyDescent="0.35">
      <c r="A208" t="s">
        <v>466</v>
      </c>
      <c r="B208" t="s">
        <v>467</v>
      </c>
      <c r="C208" t="s">
        <v>159</v>
      </c>
      <c r="D208" t="s">
        <v>187</v>
      </c>
      <c r="E208" t="s">
        <v>32</v>
      </c>
      <c r="F208">
        <v>49</v>
      </c>
      <c r="G208">
        <v>81852</v>
      </c>
      <c r="H208">
        <v>7.3</v>
      </c>
      <c r="I208">
        <v>5</v>
      </c>
      <c r="J208">
        <v>4</v>
      </c>
      <c r="K208" t="s">
        <v>935</v>
      </c>
      <c r="L208" t="s">
        <v>934</v>
      </c>
    </row>
    <row r="209" spans="1:12" ht="14.5" x14ac:dyDescent="0.35">
      <c r="A209" t="s">
        <v>468</v>
      </c>
      <c r="B209" t="s">
        <v>469</v>
      </c>
      <c r="C209" t="s">
        <v>108</v>
      </c>
      <c r="D209" t="s">
        <v>126</v>
      </c>
      <c r="E209" t="s">
        <v>23</v>
      </c>
      <c r="F209">
        <v>35</v>
      </c>
      <c r="G209">
        <v>59348</v>
      </c>
      <c r="H209">
        <v>1.8</v>
      </c>
      <c r="I209">
        <v>2</v>
      </c>
      <c r="J209">
        <v>5</v>
      </c>
      <c r="K209" t="s">
        <v>933</v>
      </c>
      <c r="L209" t="s">
        <v>934</v>
      </c>
    </row>
    <row r="210" spans="1:12" ht="14.5" x14ac:dyDescent="0.35">
      <c r="A210" t="s">
        <v>470</v>
      </c>
      <c r="B210" t="s">
        <v>471</v>
      </c>
      <c r="C210" t="s">
        <v>69</v>
      </c>
      <c r="D210" t="s">
        <v>150</v>
      </c>
      <c r="E210" t="s">
        <v>23</v>
      </c>
      <c r="F210">
        <v>50</v>
      </c>
      <c r="G210">
        <v>78052</v>
      </c>
      <c r="H210">
        <v>4.5999999999999996</v>
      </c>
      <c r="I210">
        <v>4</v>
      </c>
      <c r="J210">
        <v>1</v>
      </c>
      <c r="K210" t="s">
        <v>933</v>
      </c>
      <c r="L210" t="s">
        <v>934</v>
      </c>
    </row>
    <row r="211" spans="1:12" ht="14.5" x14ac:dyDescent="0.35">
      <c r="A211" t="s">
        <v>472</v>
      </c>
      <c r="B211" t="s">
        <v>473</v>
      </c>
      <c r="C211" t="s">
        <v>56</v>
      </c>
      <c r="D211" t="s">
        <v>112</v>
      </c>
      <c r="E211" t="s">
        <v>32</v>
      </c>
      <c r="F211">
        <v>29</v>
      </c>
      <c r="G211">
        <v>34839</v>
      </c>
      <c r="H211">
        <v>4.9000000000000004</v>
      </c>
      <c r="I211">
        <v>3</v>
      </c>
      <c r="J211">
        <v>2</v>
      </c>
      <c r="K211" t="s">
        <v>933</v>
      </c>
      <c r="L211" t="s">
        <v>934</v>
      </c>
    </row>
    <row r="212" spans="1:12" ht="14.5" x14ac:dyDescent="0.35">
      <c r="A212" t="s">
        <v>474</v>
      </c>
      <c r="B212" t="s">
        <v>475</v>
      </c>
      <c r="C212" t="s">
        <v>40</v>
      </c>
      <c r="D212" t="s">
        <v>41</v>
      </c>
      <c r="E212" t="s">
        <v>32</v>
      </c>
      <c r="F212">
        <v>39</v>
      </c>
      <c r="G212">
        <v>49012</v>
      </c>
      <c r="H212">
        <v>6.8</v>
      </c>
      <c r="I212">
        <v>5</v>
      </c>
      <c r="J212">
        <v>1</v>
      </c>
      <c r="K212" t="s">
        <v>933</v>
      </c>
      <c r="L212" t="s">
        <v>934</v>
      </c>
    </row>
    <row r="213" spans="1:12" ht="14.5" x14ac:dyDescent="0.35">
      <c r="A213" t="s">
        <v>476</v>
      </c>
      <c r="B213" t="s">
        <v>438</v>
      </c>
      <c r="C213" t="s">
        <v>27</v>
      </c>
      <c r="D213" t="s">
        <v>87</v>
      </c>
      <c r="E213" t="s">
        <v>23</v>
      </c>
      <c r="F213">
        <v>26</v>
      </c>
      <c r="G213">
        <v>87130</v>
      </c>
      <c r="H213">
        <v>5.3</v>
      </c>
      <c r="I213">
        <v>4</v>
      </c>
      <c r="J213">
        <v>2</v>
      </c>
      <c r="K213" t="s">
        <v>933</v>
      </c>
      <c r="L213" t="s">
        <v>934</v>
      </c>
    </row>
    <row r="214" spans="1:12" ht="14.5" x14ac:dyDescent="0.35">
      <c r="A214" t="s">
        <v>477</v>
      </c>
      <c r="B214" t="s">
        <v>350</v>
      </c>
      <c r="C214" t="s">
        <v>52</v>
      </c>
      <c r="D214" t="s">
        <v>224</v>
      </c>
      <c r="E214" t="s">
        <v>32</v>
      </c>
      <c r="F214">
        <v>46</v>
      </c>
      <c r="G214">
        <v>77015</v>
      </c>
      <c r="H214">
        <v>2.1</v>
      </c>
      <c r="I214">
        <v>1</v>
      </c>
      <c r="J214">
        <v>4</v>
      </c>
      <c r="K214" t="s">
        <v>933</v>
      </c>
      <c r="L214" t="s">
        <v>934</v>
      </c>
    </row>
    <row r="215" spans="1:12" ht="14.5" x14ac:dyDescent="0.35">
      <c r="A215" t="s">
        <v>478</v>
      </c>
      <c r="B215" t="s">
        <v>479</v>
      </c>
      <c r="C215" t="s">
        <v>21</v>
      </c>
      <c r="D215" t="s">
        <v>163</v>
      </c>
      <c r="E215" t="s">
        <v>32</v>
      </c>
      <c r="F215">
        <v>22</v>
      </c>
      <c r="G215">
        <v>40987</v>
      </c>
      <c r="H215">
        <v>4.2</v>
      </c>
      <c r="I215">
        <v>2</v>
      </c>
      <c r="J215">
        <v>4</v>
      </c>
      <c r="K215" t="s">
        <v>935</v>
      </c>
      <c r="L215" t="s">
        <v>934</v>
      </c>
    </row>
    <row r="216" spans="1:12" ht="14.5" x14ac:dyDescent="0.35">
      <c r="A216" t="s">
        <v>480</v>
      </c>
      <c r="B216" t="s">
        <v>481</v>
      </c>
      <c r="C216" t="s">
        <v>159</v>
      </c>
      <c r="D216" t="s">
        <v>482</v>
      </c>
      <c r="E216" t="s">
        <v>32</v>
      </c>
      <c r="F216">
        <v>39</v>
      </c>
      <c r="G216">
        <v>119235</v>
      </c>
      <c r="H216">
        <v>2.4</v>
      </c>
      <c r="I216">
        <v>3</v>
      </c>
      <c r="J216">
        <v>5</v>
      </c>
      <c r="K216" t="s">
        <v>933</v>
      </c>
      <c r="L216" t="s">
        <v>934</v>
      </c>
    </row>
    <row r="217" spans="1:12" ht="14.5" x14ac:dyDescent="0.35">
      <c r="A217" t="s">
        <v>483</v>
      </c>
      <c r="B217" t="s">
        <v>86</v>
      </c>
      <c r="C217" t="s">
        <v>108</v>
      </c>
      <c r="D217" t="s">
        <v>206</v>
      </c>
      <c r="E217" t="s">
        <v>32</v>
      </c>
      <c r="F217">
        <v>26</v>
      </c>
      <c r="G217">
        <v>61544</v>
      </c>
      <c r="H217">
        <v>7.5</v>
      </c>
      <c r="I217">
        <v>5</v>
      </c>
      <c r="J217">
        <v>3</v>
      </c>
      <c r="K217" t="s">
        <v>935</v>
      </c>
      <c r="L217" t="s">
        <v>934</v>
      </c>
    </row>
    <row r="218" spans="1:12" ht="14.5" x14ac:dyDescent="0.35">
      <c r="A218" t="s">
        <v>484</v>
      </c>
      <c r="B218" t="s">
        <v>119</v>
      </c>
      <c r="C218" t="s">
        <v>27</v>
      </c>
      <c r="D218" t="s">
        <v>76</v>
      </c>
      <c r="E218" t="s">
        <v>32</v>
      </c>
      <c r="F218">
        <v>39</v>
      </c>
      <c r="G218">
        <v>67472</v>
      </c>
      <c r="H218">
        <v>5.0999999999999996</v>
      </c>
      <c r="I218">
        <v>2</v>
      </c>
      <c r="J218">
        <v>2</v>
      </c>
      <c r="K218" t="s">
        <v>935</v>
      </c>
      <c r="L218" t="s">
        <v>934</v>
      </c>
    </row>
    <row r="219" spans="1:12" ht="14.5" x14ac:dyDescent="0.35">
      <c r="A219" t="s">
        <v>485</v>
      </c>
      <c r="B219" t="s">
        <v>221</v>
      </c>
      <c r="C219" t="s">
        <v>69</v>
      </c>
      <c r="D219" t="s">
        <v>70</v>
      </c>
      <c r="E219" t="s">
        <v>23</v>
      </c>
      <c r="F219">
        <v>25</v>
      </c>
      <c r="G219">
        <v>93513</v>
      </c>
      <c r="H219">
        <v>6.5</v>
      </c>
      <c r="I219">
        <v>3</v>
      </c>
      <c r="J219">
        <v>2</v>
      </c>
      <c r="K219" t="s">
        <v>935</v>
      </c>
      <c r="L219" t="s">
        <v>934</v>
      </c>
    </row>
    <row r="220" spans="1:12" ht="14.5" x14ac:dyDescent="0.35">
      <c r="A220" t="s">
        <v>486</v>
      </c>
      <c r="B220" t="s">
        <v>487</v>
      </c>
      <c r="C220" t="s">
        <v>52</v>
      </c>
      <c r="D220" t="s">
        <v>53</v>
      </c>
      <c r="E220" t="s">
        <v>32</v>
      </c>
      <c r="F220">
        <v>30</v>
      </c>
      <c r="G220">
        <v>84261</v>
      </c>
      <c r="H220">
        <v>4.5</v>
      </c>
      <c r="I220">
        <v>1</v>
      </c>
      <c r="J220">
        <v>5</v>
      </c>
      <c r="K220" t="s">
        <v>935</v>
      </c>
      <c r="L220" t="s">
        <v>934</v>
      </c>
    </row>
    <row r="221" spans="1:12" ht="14.5" x14ac:dyDescent="0.35">
      <c r="A221" t="s">
        <v>488</v>
      </c>
      <c r="B221" t="s">
        <v>489</v>
      </c>
      <c r="C221" t="s">
        <v>40</v>
      </c>
      <c r="D221" t="s">
        <v>90</v>
      </c>
      <c r="E221" t="s">
        <v>23</v>
      </c>
      <c r="F221">
        <v>32</v>
      </c>
      <c r="G221">
        <v>96614</v>
      </c>
      <c r="H221">
        <v>6.8</v>
      </c>
      <c r="I221">
        <v>5</v>
      </c>
      <c r="J221">
        <v>1</v>
      </c>
      <c r="K221" t="s">
        <v>935</v>
      </c>
      <c r="L221" t="s">
        <v>934</v>
      </c>
    </row>
    <row r="222" spans="1:12" ht="14.5" x14ac:dyDescent="0.35">
      <c r="A222" t="s">
        <v>490</v>
      </c>
      <c r="B222" t="s">
        <v>491</v>
      </c>
      <c r="C222" t="s">
        <v>27</v>
      </c>
      <c r="D222" t="s">
        <v>28</v>
      </c>
      <c r="E222" t="s">
        <v>23</v>
      </c>
      <c r="F222">
        <v>51</v>
      </c>
      <c r="G222">
        <v>111318</v>
      </c>
      <c r="H222">
        <v>7.3</v>
      </c>
      <c r="I222">
        <v>3</v>
      </c>
      <c r="J222">
        <v>1</v>
      </c>
      <c r="K222" t="s">
        <v>933</v>
      </c>
      <c r="L222" t="s">
        <v>934</v>
      </c>
    </row>
    <row r="223" spans="1:12" ht="14.5" x14ac:dyDescent="0.35">
      <c r="A223" t="s">
        <v>492</v>
      </c>
      <c r="B223" t="s">
        <v>20</v>
      </c>
      <c r="C223" t="s">
        <v>36</v>
      </c>
      <c r="D223" t="s">
        <v>37</v>
      </c>
      <c r="E223" t="s">
        <v>23</v>
      </c>
      <c r="F223">
        <v>25</v>
      </c>
      <c r="G223">
        <v>59604</v>
      </c>
      <c r="H223">
        <v>3.9</v>
      </c>
      <c r="I223">
        <v>5</v>
      </c>
      <c r="J223">
        <v>1</v>
      </c>
      <c r="K223" t="s">
        <v>935</v>
      </c>
      <c r="L223" t="s">
        <v>934</v>
      </c>
    </row>
    <row r="224" spans="1:12" ht="14.5" x14ac:dyDescent="0.35">
      <c r="A224" t="s">
        <v>493</v>
      </c>
      <c r="B224" t="s">
        <v>436</v>
      </c>
      <c r="C224" t="s">
        <v>45</v>
      </c>
      <c r="D224" t="s">
        <v>46</v>
      </c>
      <c r="E224" t="s">
        <v>32</v>
      </c>
      <c r="F224">
        <v>23</v>
      </c>
      <c r="G224">
        <v>99567</v>
      </c>
      <c r="H224">
        <v>3.8</v>
      </c>
      <c r="I224">
        <v>3</v>
      </c>
      <c r="J224">
        <v>3</v>
      </c>
      <c r="K224" t="s">
        <v>935</v>
      </c>
      <c r="L224" t="s">
        <v>934</v>
      </c>
    </row>
    <row r="225" spans="1:14" ht="14.5" x14ac:dyDescent="0.35">
      <c r="A225" t="s">
        <v>494</v>
      </c>
      <c r="B225" t="s">
        <v>495</v>
      </c>
      <c r="C225" t="s">
        <v>108</v>
      </c>
      <c r="D225" t="s">
        <v>206</v>
      </c>
      <c r="E225" t="s">
        <v>32</v>
      </c>
      <c r="F225">
        <v>29</v>
      </c>
      <c r="G225">
        <v>121853</v>
      </c>
      <c r="H225">
        <v>7</v>
      </c>
      <c r="I225">
        <v>3</v>
      </c>
      <c r="J225">
        <v>2</v>
      </c>
      <c r="K225" t="s">
        <v>935</v>
      </c>
      <c r="L225" t="s">
        <v>934</v>
      </c>
    </row>
    <row r="226" spans="1:14" ht="14.5" x14ac:dyDescent="0.35">
      <c r="A226" t="s">
        <v>496</v>
      </c>
      <c r="B226" t="s">
        <v>497</v>
      </c>
      <c r="C226" t="s">
        <v>52</v>
      </c>
      <c r="D226" t="s">
        <v>498</v>
      </c>
      <c r="E226" t="s">
        <v>32</v>
      </c>
      <c r="F226">
        <v>23</v>
      </c>
      <c r="G226">
        <v>33492</v>
      </c>
      <c r="H226">
        <v>5.5</v>
      </c>
      <c r="I226">
        <v>3</v>
      </c>
      <c r="J226">
        <v>4</v>
      </c>
      <c r="K226" t="s">
        <v>935</v>
      </c>
      <c r="L226" t="s">
        <v>934</v>
      </c>
    </row>
    <row r="227" spans="1:14" ht="14.5" x14ac:dyDescent="0.35">
      <c r="A227" t="s">
        <v>499</v>
      </c>
      <c r="B227" t="s">
        <v>125</v>
      </c>
      <c r="C227" t="s">
        <v>27</v>
      </c>
      <c r="D227" t="s">
        <v>76</v>
      </c>
      <c r="E227" t="s">
        <v>23</v>
      </c>
      <c r="F227">
        <v>37</v>
      </c>
      <c r="G227">
        <v>112790</v>
      </c>
      <c r="H227">
        <v>7.3</v>
      </c>
      <c r="I227">
        <v>4</v>
      </c>
      <c r="J227">
        <v>1</v>
      </c>
      <c r="K227" t="s">
        <v>935</v>
      </c>
      <c r="L227" t="s">
        <v>934</v>
      </c>
    </row>
    <row r="228" spans="1:14" ht="14.5" x14ac:dyDescent="0.35">
      <c r="A228" t="s">
        <v>500</v>
      </c>
      <c r="B228" t="s">
        <v>184</v>
      </c>
      <c r="C228" t="s">
        <v>40</v>
      </c>
      <c r="D228" t="s">
        <v>41</v>
      </c>
      <c r="E228" t="s">
        <v>23</v>
      </c>
      <c r="F228">
        <v>38</v>
      </c>
      <c r="G228">
        <v>76237</v>
      </c>
      <c r="H228">
        <v>6.4</v>
      </c>
      <c r="I228">
        <v>5</v>
      </c>
      <c r="J228">
        <v>4</v>
      </c>
      <c r="K228" t="s">
        <v>933</v>
      </c>
      <c r="L228" t="s">
        <v>934</v>
      </c>
    </row>
    <row r="229" spans="1:14" ht="14.5" x14ac:dyDescent="0.35">
      <c r="A229" t="s">
        <v>501</v>
      </c>
      <c r="B229" t="s">
        <v>502</v>
      </c>
      <c r="C229" t="s">
        <v>108</v>
      </c>
      <c r="D229" t="s">
        <v>206</v>
      </c>
      <c r="E229" t="s">
        <v>23</v>
      </c>
      <c r="F229">
        <v>32</v>
      </c>
      <c r="G229">
        <v>118710</v>
      </c>
      <c r="H229">
        <v>2.2000000000000002</v>
      </c>
      <c r="I229">
        <v>5</v>
      </c>
      <c r="J229">
        <v>2</v>
      </c>
      <c r="K229" t="s">
        <v>933</v>
      </c>
      <c r="L229" t="s">
        <v>934</v>
      </c>
    </row>
    <row r="230" spans="1:14" ht="14.5" x14ac:dyDescent="0.35">
      <c r="A230" t="s">
        <v>503</v>
      </c>
      <c r="B230" t="s">
        <v>504</v>
      </c>
      <c r="C230" t="s">
        <v>27</v>
      </c>
      <c r="D230" t="s">
        <v>73</v>
      </c>
      <c r="E230" t="s">
        <v>32</v>
      </c>
      <c r="F230">
        <v>48</v>
      </c>
      <c r="G230">
        <v>84440</v>
      </c>
      <c r="H230">
        <v>6.9</v>
      </c>
      <c r="I230">
        <v>4</v>
      </c>
      <c r="J230">
        <v>5</v>
      </c>
      <c r="K230" t="s">
        <v>933</v>
      </c>
      <c r="L230" t="s">
        <v>934</v>
      </c>
    </row>
    <row r="231" spans="1:14" ht="14.5" x14ac:dyDescent="0.35">
      <c r="A231" t="s">
        <v>505</v>
      </c>
      <c r="B231" t="s">
        <v>506</v>
      </c>
      <c r="C231" t="s">
        <v>27</v>
      </c>
      <c r="D231" t="s">
        <v>73</v>
      </c>
      <c r="E231" t="s">
        <v>23</v>
      </c>
      <c r="F231">
        <v>27</v>
      </c>
      <c r="G231">
        <v>70981</v>
      </c>
      <c r="H231">
        <v>6.9</v>
      </c>
      <c r="I231">
        <v>1</v>
      </c>
      <c r="J231">
        <v>5</v>
      </c>
      <c r="K231" t="s">
        <v>933</v>
      </c>
      <c r="L231" t="s">
        <v>934</v>
      </c>
    </row>
    <row r="232" spans="1:14" ht="14.5" x14ac:dyDescent="0.35">
      <c r="A232" t="s">
        <v>507</v>
      </c>
      <c r="B232" t="s">
        <v>508</v>
      </c>
      <c r="C232" t="s">
        <v>36</v>
      </c>
      <c r="D232" t="s">
        <v>84</v>
      </c>
      <c r="E232" t="s">
        <v>23</v>
      </c>
      <c r="F232">
        <v>31</v>
      </c>
      <c r="G232">
        <v>74077</v>
      </c>
      <c r="H232">
        <v>2.8</v>
      </c>
      <c r="I232">
        <v>1</v>
      </c>
      <c r="J232">
        <v>2</v>
      </c>
      <c r="K232" t="s">
        <v>933</v>
      </c>
      <c r="L232" t="s">
        <v>934</v>
      </c>
    </row>
    <row r="233" spans="1:14" ht="14.5" x14ac:dyDescent="0.35">
      <c r="A233" t="s">
        <v>509</v>
      </c>
      <c r="B233" t="s">
        <v>510</v>
      </c>
      <c r="C233" t="s">
        <v>40</v>
      </c>
      <c r="D233" t="s">
        <v>65</v>
      </c>
      <c r="E233" t="s">
        <v>23</v>
      </c>
      <c r="F233">
        <v>24</v>
      </c>
      <c r="G233">
        <v>115973</v>
      </c>
      <c r="H233">
        <v>6.9</v>
      </c>
      <c r="I233">
        <v>5</v>
      </c>
      <c r="J233">
        <v>5</v>
      </c>
      <c r="K233" t="s">
        <v>933</v>
      </c>
      <c r="L233" t="s">
        <v>934</v>
      </c>
    </row>
    <row r="234" spans="1:14" ht="14.5" x14ac:dyDescent="0.35">
      <c r="A234" t="s">
        <v>511</v>
      </c>
      <c r="B234" t="s">
        <v>512</v>
      </c>
      <c r="C234" t="s">
        <v>40</v>
      </c>
      <c r="D234" t="s">
        <v>90</v>
      </c>
      <c r="E234" t="s">
        <v>32</v>
      </c>
      <c r="F234">
        <v>30</v>
      </c>
      <c r="G234">
        <v>116878</v>
      </c>
      <c r="H234">
        <v>0.9</v>
      </c>
      <c r="I234">
        <v>1</v>
      </c>
      <c r="J234">
        <v>5</v>
      </c>
      <c r="K234" t="s">
        <v>935</v>
      </c>
      <c r="L234" t="s">
        <v>934</v>
      </c>
    </row>
    <row r="235" spans="1:14" ht="14.5" x14ac:dyDescent="0.35">
      <c r="A235" t="s">
        <v>513</v>
      </c>
      <c r="B235" t="s">
        <v>514</v>
      </c>
      <c r="C235" t="s">
        <v>52</v>
      </c>
      <c r="D235" t="s">
        <v>195</v>
      </c>
      <c r="E235" t="s">
        <v>32</v>
      </c>
      <c r="F235">
        <v>36</v>
      </c>
      <c r="G235">
        <v>75467</v>
      </c>
      <c r="H235">
        <v>3.6</v>
      </c>
      <c r="I235">
        <v>2</v>
      </c>
      <c r="J235">
        <v>5</v>
      </c>
      <c r="K235" t="s">
        <v>933</v>
      </c>
      <c r="L235" t="s">
        <v>934</v>
      </c>
    </row>
    <row r="236" spans="1:14" ht="14.5" x14ac:dyDescent="0.35">
      <c r="A236" t="s">
        <v>515</v>
      </c>
      <c r="B236" t="s">
        <v>516</v>
      </c>
      <c r="C236" t="s">
        <v>52</v>
      </c>
      <c r="D236" t="s">
        <v>102</v>
      </c>
      <c r="E236" t="s">
        <v>32</v>
      </c>
      <c r="F236">
        <v>49</v>
      </c>
      <c r="G236">
        <v>76760</v>
      </c>
      <c r="H236">
        <v>3.6</v>
      </c>
      <c r="I236">
        <v>2</v>
      </c>
      <c r="J236">
        <v>4</v>
      </c>
      <c r="K236" t="s">
        <v>935</v>
      </c>
      <c r="L236" t="s">
        <v>934</v>
      </c>
    </row>
    <row r="237" spans="1:14" ht="14.5" x14ac:dyDescent="0.35">
      <c r="A237" t="s">
        <v>517</v>
      </c>
      <c r="B237" t="s">
        <v>261</v>
      </c>
      <c r="C237" t="s">
        <v>45</v>
      </c>
      <c r="D237" t="s">
        <v>234</v>
      </c>
      <c r="E237" t="s">
        <v>23</v>
      </c>
      <c r="F237">
        <v>46</v>
      </c>
      <c r="G237">
        <v>113139</v>
      </c>
      <c r="H237">
        <v>4.2</v>
      </c>
      <c r="I237">
        <v>3</v>
      </c>
      <c r="J237">
        <v>5</v>
      </c>
      <c r="K237" t="s">
        <v>935</v>
      </c>
      <c r="L237" t="s">
        <v>934</v>
      </c>
    </row>
    <row r="238" spans="1:14" ht="14.5" x14ac:dyDescent="0.35">
      <c r="A238" t="s">
        <v>518</v>
      </c>
      <c r="B238" t="s">
        <v>519</v>
      </c>
      <c r="C238" t="s">
        <v>21</v>
      </c>
      <c r="D238" t="s">
        <v>22</v>
      </c>
      <c r="E238" t="s">
        <v>32</v>
      </c>
      <c r="F238">
        <v>52</v>
      </c>
      <c r="G238">
        <v>78723</v>
      </c>
      <c r="H238">
        <v>1.9</v>
      </c>
      <c r="I238">
        <v>1</v>
      </c>
      <c r="J238">
        <v>3</v>
      </c>
      <c r="K238" t="s">
        <v>933</v>
      </c>
      <c r="L238" t="s">
        <v>936</v>
      </c>
      <c r="M238" t="s">
        <v>939</v>
      </c>
      <c r="N238" s="2">
        <v>46000</v>
      </c>
    </row>
    <row r="239" spans="1:14" ht="14.5" x14ac:dyDescent="0.35">
      <c r="A239" t="s">
        <v>520</v>
      </c>
      <c r="B239" t="s">
        <v>469</v>
      </c>
      <c r="C239" t="s">
        <v>21</v>
      </c>
      <c r="D239" t="s">
        <v>163</v>
      </c>
      <c r="E239" t="s">
        <v>23</v>
      </c>
      <c r="F239">
        <v>49</v>
      </c>
      <c r="G239">
        <v>108199</v>
      </c>
      <c r="H239">
        <v>5.3</v>
      </c>
      <c r="I239">
        <v>4</v>
      </c>
      <c r="J239">
        <v>3</v>
      </c>
      <c r="K239" t="s">
        <v>933</v>
      </c>
      <c r="L239" t="s">
        <v>934</v>
      </c>
    </row>
    <row r="240" spans="1:14" ht="14.5" x14ac:dyDescent="0.35">
      <c r="A240" t="s">
        <v>521</v>
      </c>
      <c r="B240" t="s">
        <v>522</v>
      </c>
      <c r="C240" t="s">
        <v>69</v>
      </c>
      <c r="D240" t="s">
        <v>105</v>
      </c>
      <c r="E240" t="s">
        <v>32</v>
      </c>
      <c r="F240">
        <v>25</v>
      </c>
      <c r="G240">
        <v>50630</v>
      </c>
      <c r="H240">
        <v>2.7</v>
      </c>
      <c r="I240">
        <v>2</v>
      </c>
      <c r="J240">
        <v>4</v>
      </c>
      <c r="K240" t="s">
        <v>933</v>
      </c>
      <c r="L240" t="s">
        <v>936</v>
      </c>
      <c r="M240" t="s">
        <v>937</v>
      </c>
      <c r="N240" s="2">
        <v>45870</v>
      </c>
    </row>
    <row r="241" spans="1:14" ht="14.5" x14ac:dyDescent="0.35">
      <c r="A241" t="s">
        <v>523</v>
      </c>
      <c r="B241" t="s">
        <v>186</v>
      </c>
      <c r="C241" t="s">
        <v>21</v>
      </c>
      <c r="D241" t="s">
        <v>163</v>
      </c>
      <c r="E241" t="s">
        <v>23</v>
      </c>
      <c r="F241">
        <v>25</v>
      </c>
      <c r="G241">
        <v>99063</v>
      </c>
      <c r="H241">
        <v>1.6</v>
      </c>
      <c r="I241">
        <v>3</v>
      </c>
      <c r="J241">
        <v>4</v>
      </c>
      <c r="K241" t="s">
        <v>935</v>
      </c>
      <c r="L241" t="s">
        <v>934</v>
      </c>
    </row>
    <row r="242" spans="1:14" ht="14.5" x14ac:dyDescent="0.35">
      <c r="A242" t="s">
        <v>524</v>
      </c>
      <c r="B242" t="s">
        <v>86</v>
      </c>
      <c r="C242" t="s">
        <v>159</v>
      </c>
      <c r="D242" t="s">
        <v>482</v>
      </c>
      <c r="E242" t="s">
        <v>23</v>
      </c>
      <c r="F242">
        <v>53</v>
      </c>
      <c r="G242">
        <v>43907</v>
      </c>
      <c r="H242">
        <v>5.2</v>
      </c>
      <c r="I242">
        <v>3</v>
      </c>
      <c r="J242">
        <v>4</v>
      </c>
      <c r="K242" t="s">
        <v>935</v>
      </c>
      <c r="L242" t="s">
        <v>934</v>
      </c>
    </row>
    <row r="243" spans="1:14" ht="14.5" x14ac:dyDescent="0.35">
      <c r="A243" t="s">
        <v>525</v>
      </c>
      <c r="B243" t="s">
        <v>526</v>
      </c>
      <c r="C243" t="s">
        <v>69</v>
      </c>
      <c r="D243" t="s">
        <v>70</v>
      </c>
      <c r="E243" t="s">
        <v>32</v>
      </c>
      <c r="F243">
        <v>44</v>
      </c>
      <c r="G243">
        <v>103009</v>
      </c>
      <c r="H243">
        <v>1.5</v>
      </c>
      <c r="I243">
        <v>4</v>
      </c>
      <c r="J243">
        <v>4</v>
      </c>
      <c r="K243" t="s">
        <v>935</v>
      </c>
      <c r="L243" t="s">
        <v>934</v>
      </c>
    </row>
    <row r="244" spans="1:14" ht="14.5" x14ac:dyDescent="0.35">
      <c r="A244" t="s">
        <v>527</v>
      </c>
      <c r="B244" t="s">
        <v>255</v>
      </c>
      <c r="C244" t="s">
        <v>27</v>
      </c>
      <c r="D244" t="s">
        <v>87</v>
      </c>
      <c r="E244" t="s">
        <v>32</v>
      </c>
      <c r="F244">
        <v>25</v>
      </c>
      <c r="G244">
        <v>80187</v>
      </c>
      <c r="H244">
        <v>4.3</v>
      </c>
      <c r="I244">
        <v>5</v>
      </c>
      <c r="J244">
        <v>4</v>
      </c>
      <c r="K244" t="s">
        <v>933</v>
      </c>
      <c r="L244" t="s">
        <v>934</v>
      </c>
    </row>
    <row r="245" spans="1:14" ht="14.5" x14ac:dyDescent="0.35">
      <c r="A245" t="s">
        <v>528</v>
      </c>
      <c r="B245" t="s">
        <v>529</v>
      </c>
      <c r="C245" t="s">
        <v>27</v>
      </c>
      <c r="D245" t="s">
        <v>76</v>
      </c>
      <c r="E245" t="s">
        <v>23</v>
      </c>
      <c r="F245">
        <v>57</v>
      </c>
      <c r="G245">
        <v>44426</v>
      </c>
      <c r="H245">
        <v>6.9</v>
      </c>
      <c r="I245">
        <v>2</v>
      </c>
      <c r="J245">
        <v>2</v>
      </c>
      <c r="K245" t="s">
        <v>935</v>
      </c>
      <c r="L245" t="s">
        <v>934</v>
      </c>
    </row>
    <row r="246" spans="1:14" ht="14.5" x14ac:dyDescent="0.35">
      <c r="A246" t="s">
        <v>530</v>
      </c>
      <c r="B246" t="s">
        <v>531</v>
      </c>
      <c r="C246" t="s">
        <v>108</v>
      </c>
      <c r="D246" t="s">
        <v>206</v>
      </c>
      <c r="E246" t="s">
        <v>23</v>
      </c>
      <c r="F246">
        <v>29</v>
      </c>
      <c r="G246">
        <v>111859</v>
      </c>
      <c r="H246">
        <v>1.6</v>
      </c>
      <c r="I246">
        <v>5</v>
      </c>
      <c r="J246">
        <v>5</v>
      </c>
      <c r="K246" t="s">
        <v>935</v>
      </c>
      <c r="L246" t="s">
        <v>934</v>
      </c>
    </row>
    <row r="247" spans="1:14" ht="14.5" x14ac:dyDescent="0.35">
      <c r="A247" t="s">
        <v>532</v>
      </c>
      <c r="B247" t="s">
        <v>533</v>
      </c>
      <c r="C247" t="s">
        <v>159</v>
      </c>
      <c r="D247" t="s">
        <v>324</v>
      </c>
      <c r="E247" t="s">
        <v>32</v>
      </c>
      <c r="F247">
        <v>28</v>
      </c>
      <c r="G247">
        <v>48056</v>
      </c>
      <c r="H247">
        <v>1.9</v>
      </c>
      <c r="I247">
        <v>4</v>
      </c>
      <c r="J247">
        <v>3</v>
      </c>
      <c r="K247" t="s">
        <v>935</v>
      </c>
      <c r="L247" t="s">
        <v>936</v>
      </c>
      <c r="M247" t="s">
        <v>938</v>
      </c>
      <c r="N247" s="2">
        <v>45893</v>
      </c>
    </row>
    <row r="248" spans="1:14" ht="14.5" x14ac:dyDescent="0.35">
      <c r="A248" t="s">
        <v>534</v>
      </c>
      <c r="B248" t="s">
        <v>535</v>
      </c>
      <c r="C248" t="s">
        <v>159</v>
      </c>
      <c r="D248" t="s">
        <v>269</v>
      </c>
      <c r="E248" t="s">
        <v>32</v>
      </c>
      <c r="F248">
        <v>43</v>
      </c>
      <c r="G248">
        <v>65230</v>
      </c>
      <c r="H248">
        <v>1.9</v>
      </c>
      <c r="I248">
        <v>1</v>
      </c>
      <c r="J248">
        <v>1</v>
      </c>
      <c r="K248" t="s">
        <v>933</v>
      </c>
      <c r="L248" t="s">
        <v>934</v>
      </c>
    </row>
    <row r="249" spans="1:14" ht="14.5" x14ac:dyDescent="0.35">
      <c r="A249" t="s">
        <v>536</v>
      </c>
      <c r="B249" t="s">
        <v>537</v>
      </c>
      <c r="C249" t="s">
        <v>36</v>
      </c>
      <c r="D249" t="s">
        <v>93</v>
      </c>
      <c r="E249" t="s">
        <v>23</v>
      </c>
      <c r="F249">
        <v>29</v>
      </c>
      <c r="G249">
        <v>108534</v>
      </c>
      <c r="H249">
        <v>4.4000000000000004</v>
      </c>
      <c r="I249">
        <v>5</v>
      </c>
      <c r="J249">
        <v>3</v>
      </c>
      <c r="K249" t="s">
        <v>935</v>
      </c>
      <c r="L249" t="s">
        <v>934</v>
      </c>
    </row>
    <row r="250" spans="1:14" ht="14.5" x14ac:dyDescent="0.35">
      <c r="A250" t="s">
        <v>538</v>
      </c>
      <c r="B250" t="s">
        <v>292</v>
      </c>
      <c r="C250" t="s">
        <v>27</v>
      </c>
      <c r="D250" t="s">
        <v>87</v>
      </c>
      <c r="E250" t="s">
        <v>32</v>
      </c>
      <c r="F250">
        <v>31</v>
      </c>
      <c r="G250">
        <v>72252</v>
      </c>
      <c r="H250">
        <v>1</v>
      </c>
      <c r="I250">
        <v>1</v>
      </c>
      <c r="J250">
        <v>5</v>
      </c>
      <c r="K250" t="s">
        <v>933</v>
      </c>
      <c r="L250" t="s">
        <v>934</v>
      </c>
    </row>
    <row r="251" spans="1:14" ht="14.5" x14ac:dyDescent="0.35">
      <c r="A251" t="s">
        <v>539</v>
      </c>
      <c r="B251" t="s">
        <v>540</v>
      </c>
      <c r="C251" t="s">
        <v>52</v>
      </c>
      <c r="D251" t="s">
        <v>176</v>
      </c>
      <c r="E251" t="s">
        <v>32</v>
      </c>
      <c r="F251">
        <v>23</v>
      </c>
      <c r="G251">
        <v>62688</v>
      </c>
      <c r="H251">
        <v>1.3</v>
      </c>
      <c r="I251">
        <v>3</v>
      </c>
      <c r="J251">
        <v>2</v>
      </c>
      <c r="K251" t="s">
        <v>933</v>
      </c>
      <c r="L251" t="s">
        <v>934</v>
      </c>
    </row>
    <row r="252" spans="1:14" ht="14.5" x14ac:dyDescent="0.35">
      <c r="A252" t="s">
        <v>541</v>
      </c>
      <c r="B252" t="s">
        <v>542</v>
      </c>
      <c r="C252" t="s">
        <v>45</v>
      </c>
      <c r="D252" t="s">
        <v>239</v>
      </c>
      <c r="E252" t="s">
        <v>32</v>
      </c>
      <c r="F252">
        <v>52</v>
      </c>
      <c r="G252">
        <v>65967</v>
      </c>
      <c r="H252">
        <v>1.6</v>
      </c>
      <c r="I252">
        <v>5</v>
      </c>
      <c r="J252">
        <v>5</v>
      </c>
      <c r="K252" t="s">
        <v>935</v>
      </c>
      <c r="L252" t="s">
        <v>934</v>
      </c>
    </row>
    <row r="253" spans="1:14" ht="14.5" x14ac:dyDescent="0.35">
      <c r="A253" t="s">
        <v>543</v>
      </c>
      <c r="B253" t="s">
        <v>544</v>
      </c>
      <c r="C253" t="s">
        <v>108</v>
      </c>
      <c r="D253" t="s">
        <v>109</v>
      </c>
      <c r="E253" t="s">
        <v>23</v>
      </c>
      <c r="F253">
        <v>40</v>
      </c>
      <c r="G253">
        <v>37564</v>
      </c>
      <c r="H253">
        <v>2.7</v>
      </c>
      <c r="I253">
        <v>3</v>
      </c>
      <c r="J253">
        <v>3</v>
      </c>
      <c r="K253" t="s">
        <v>933</v>
      </c>
      <c r="L253" t="s">
        <v>934</v>
      </c>
    </row>
    <row r="254" spans="1:14" ht="14.5" x14ac:dyDescent="0.35">
      <c r="A254" t="s">
        <v>545</v>
      </c>
      <c r="B254" t="s">
        <v>546</v>
      </c>
      <c r="C254" t="s">
        <v>159</v>
      </c>
      <c r="D254" t="s">
        <v>324</v>
      </c>
      <c r="E254" t="s">
        <v>23</v>
      </c>
      <c r="F254">
        <v>51</v>
      </c>
      <c r="G254">
        <v>54741</v>
      </c>
      <c r="H254">
        <v>2.5</v>
      </c>
      <c r="I254">
        <v>4</v>
      </c>
      <c r="J254">
        <v>3</v>
      </c>
      <c r="K254" t="s">
        <v>935</v>
      </c>
      <c r="L254" t="s">
        <v>934</v>
      </c>
    </row>
    <row r="255" spans="1:14" ht="14.5" x14ac:dyDescent="0.35">
      <c r="A255" t="s">
        <v>547</v>
      </c>
      <c r="B255" t="s">
        <v>548</v>
      </c>
      <c r="C255" t="s">
        <v>159</v>
      </c>
      <c r="D255" t="s">
        <v>269</v>
      </c>
      <c r="E255" t="s">
        <v>23</v>
      </c>
      <c r="F255">
        <v>43</v>
      </c>
      <c r="G255">
        <v>45139</v>
      </c>
      <c r="H255">
        <v>3.3</v>
      </c>
      <c r="I255">
        <v>5</v>
      </c>
      <c r="J255">
        <v>4</v>
      </c>
      <c r="K255" t="s">
        <v>935</v>
      </c>
      <c r="L255" t="s">
        <v>934</v>
      </c>
    </row>
    <row r="256" spans="1:14" ht="14.5" x14ac:dyDescent="0.35">
      <c r="A256" t="s">
        <v>549</v>
      </c>
      <c r="B256" t="s">
        <v>475</v>
      </c>
      <c r="C256" t="s">
        <v>27</v>
      </c>
      <c r="D256" t="s">
        <v>28</v>
      </c>
      <c r="E256" t="s">
        <v>23</v>
      </c>
      <c r="F256">
        <v>36</v>
      </c>
      <c r="G256">
        <v>44059</v>
      </c>
      <c r="H256">
        <v>2.5</v>
      </c>
      <c r="I256">
        <v>5</v>
      </c>
      <c r="J256">
        <v>3</v>
      </c>
      <c r="K256" t="s">
        <v>935</v>
      </c>
      <c r="L256" t="s">
        <v>934</v>
      </c>
    </row>
    <row r="257" spans="1:12" ht="14.5" x14ac:dyDescent="0.35">
      <c r="A257" t="s">
        <v>550</v>
      </c>
      <c r="B257" t="s">
        <v>551</v>
      </c>
      <c r="C257" t="s">
        <v>69</v>
      </c>
      <c r="D257" t="s">
        <v>117</v>
      </c>
      <c r="E257" t="s">
        <v>32</v>
      </c>
      <c r="F257">
        <v>24</v>
      </c>
      <c r="G257">
        <v>78351</v>
      </c>
      <c r="H257">
        <v>4.5</v>
      </c>
      <c r="I257">
        <v>5</v>
      </c>
      <c r="J257">
        <v>3</v>
      </c>
      <c r="K257" t="s">
        <v>933</v>
      </c>
      <c r="L257" t="s">
        <v>934</v>
      </c>
    </row>
    <row r="258" spans="1:12" ht="14.5" x14ac:dyDescent="0.35">
      <c r="A258" t="s">
        <v>552</v>
      </c>
      <c r="B258" t="s">
        <v>553</v>
      </c>
      <c r="C258" t="s">
        <v>56</v>
      </c>
      <c r="D258" t="s">
        <v>112</v>
      </c>
      <c r="E258" t="s">
        <v>32</v>
      </c>
      <c r="F258">
        <v>41</v>
      </c>
      <c r="G258">
        <v>122519</v>
      </c>
      <c r="H258">
        <v>1.3</v>
      </c>
      <c r="I258">
        <v>1</v>
      </c>
      <c r="J258">
        <v>5</v>
      </c>
      <c r="K258" t="s">
        <v>933</v>
      </c>
      <c r="L258" t="s">
        <v>934</v>
      </c>
    </row>
    <row r="259" spans="1:12" ht="14.5" x14ac:dyDescent="0.35">
      <c r="A259" t="s">
        <v>554</v>
      </c>
      <c r="B259" t="s">
        <v>555</v>
      </c>
      <c r="C259" t="s">
        <v>159</v>
      </c>
      <c r="D259" t="s">
        <v>324</v>
      </c>
      <c r="E259" t="s">
        <v>23</v>
      </c>
      <c r="F259">
        <v>52</v>
      </c>
      <c r="G259">
        <v>93191</v>
      </c>
      <c r="H259">
        <v>4.3</v>
      </c>
      <c r="I259">
        <v>1</v>
      </c>
      <c r="J259">
        <v>4</v>
      </c>
      <c r="K259" t="s">
        <v>935</v>
      </c>
      <c r="L259" t="s">
        <v>934</v>
      </c>
    </row>
    <row r="260" spans="1:12" ht="14.5" x14ac:dyDescent="0.35">
      <c r="A260" t="s">
        <v>556</v>
      </c>
      <c r="B260" t="s">
        <v>557</v>
      </c>
      <c r="C260" t="s">
        <v>56</v>
      </c>
      <c r="D260" t="s">
        <v>217</v>
      </c>
      <c r="E260" t="s">
        <v>32</v>
      </c>
      <c r="F260">
        <v>34</v>
      </c>
      <c r="G260">
        <v>74254</v>
      </c>
      <c r="H260">
        <v>1.2</v>
      </c>
      <c r="I260">
        <v>5</v>
      </c>
      <c r="J260">
        <v>1</v>
      </c>
      <c r="K260" t="s">
        <v>933</v>
      </c>
      <c r="L260" t="s">
        <v>934</v>
      </c>
    </row>
    <row r="261" spans="1:12" ht="14.5" x14ac:dyDescent="0.35">
      <c r="A261" t="s">
        <v>558</v>
      </c>
      <c r="B261" t="s">
        <v>51</v>
      </c>
      <c r="C261" t="s">
        <v>36</v>
      </c>
      <c r="D261" t="s">
        <v>84</v>
      </c>
      <c r="E261" t="s">
        <v>23</v>
      </c>
      <c r="F261">
        <v>39</v>
      </c>
      <c r="G261">
        <v>29071</v>
      </c>
      <c r="H261">
        <v>1.7</v>
      </c>
      <c r="I261">
        <v>5</v>
      </c>
      <c r="J261">
        <v>2</v>
      </c>
      <c r="K261" t="s">
        <v>935</v>
      </c>
      <c r="L261" t="s">
        <v>934</v>
      </c>
    </row>
    <row r="262" spans="1:12" ht="14.5" x14ac:dyDescent="0.35">
      <c r="A262" t="s">
        <v>559</v>
      </c>
      <c r="B262" t="s">
        <v>560</v>
      </c>
      <c r="C262" t="s">
        <v>56</v>
      </c>
      <c r="D262" t="s">
        <v>112</v>
      </c>
      <c r="E262" t="s">
        <v>23</v>
      </c>
      <c r="F262">
        <v>44</v>
      </c>
      <c r="G262">
        <v>75964</v>
      </c>
      <c r="H262">
        <v>3.2</v>
      </c>
      <c r="I262">
        <v>4</v>
      </c>
      <c r="J262">
        <v>1</v>
      </c>
      <c r="K262" t="s">
        <v>935</v>
      </c>
      <c r="L262" t="s">
        <v>934</v>
      </c>
    </row>
    <row r="263" spans="1:12" ht="14.5" x14ac:dyDescent="0.35">
      <c r="A263" t="s">
        <v>561</v>
      </c>
      <c r="B263" t="s">
        <v>562</v>
      </c>
      <c r="C263" t="s">
        <v>52</v>
      </c>
      <c r="D263" t="s">
        <v>102</v>
      </c>
      <c r="E263" t="s">
        <v>32</v>
      </c>
      <c r="F263">
        <v>44</v>
      </c>
      <c r="G263">
        <v>65827</v>
      </c>
      <c r="H263">
        <v>1.5</v>
      </c>
      <c r="I263">
        <v>5</v>
      </c>
      <c r="J263">
        <v>3</v>
      </c>
      <c r="K263" t="s">
        <v>935</v>
      </c>
      <c r="L263" t="s">
        <v>934</v>
      </c>
    </row>
    <row r="264" spans="1:12" ht="14.5" x14ac:dyDescent="0.35">
      <c r="A264" t="s">
        <v>563</v>
      </c>
      <c r="B264" t="s">
        <v>491</v>
      </c>
      <c r="C264" t="s">
        <v>27</v>
      </c>
      <c r="D264" t="s">
        <v>76</v>
      </c>
      <c r="E264" t="s">
        <v>23</v>
      </c>
      <c r="F264">
        <v>28</v>
      </c>
      <c r="G264">
        <v>40672</v>
      </c>
      <c r="H264">
        <v>6.3</v>
      </c>
      <c r="I264">
        <v>1</v>
      </c>
      <c r="J264">
        <v>3</v>
      </c>
      <c r="K264" t="s">
        <v>933</v>
      </c>
      <c r="L264" t="s">
        <v>934</v>
      </c>
    </row>
    <row r="265" spans="1:12" ht="14.5" x14ac:dyDescent="0.35">
      <c r="A265" t="s">
        <v>564</v>
      </c>
      <c r="B265" t="s">
        <v>565</v>
      </c>
      <c r="C265" t="s">
        <v>40</v>
      </c>
      <c r="D265" t="s">
        <v>293</v>
      </c>
      <c r="E265" t="s">
        <v>32</v>
      </c>
      <c r="F265">
        <v>33</v>
      </c>
      <c r="G265">
        <v>94731</v>
      </c>
      <c r="H265">
        <v>1</v>
      </c>
      <c r="I265">
        <v>2</v>
      </c>
      <c r="J265">
        <v>5</v>
      </c>
      <c r="K265" t="s">
        <v>935</v>
      </c>
      <c r="L265" t="s">
        <v>934</v>
      </c>
    </row>
    <row r="266" spans="1:12" ht="14.5" x14ac:dyDescent="0.35">
      <c r="A266" t="s">
        <v>566</v>
      </c>
      <c r="B266" t="s">
        <v>567</v>
      </c>
      <c r="C266" t="s">
        <v>52</v>
      </c>
      <c r="D266" t="s">
        <v>176</v>
      </c>
      <c r="E266" t="s">
        <v>32</v>
      </c>
      <c r="F266">
        <v>29</v>
      </c>
      <c r="G266">
        <v>90094</v>
      </c>
      <c r="H266">
        <v>4</v>
      </c>
      <c r="I266">
        <v>1</v>
      </c>
      <c r="J266">
        <v>1</v>
      </c>
      <c r="K266" t="s">
        <v>933</v>
      </c>
      <c r="L266" t="s">
        <v>934</v>
      </c>
    </row>
    <row r="267" spans="1:12" ht="14.5" x14ac:dyDescent="0.35">
      <c r="A267" t="s">
        <v>568</v>
      </c>
      <c r="B267" t="s">
        <v>569</v>
      </c>
      <c r="C267" t="s">
        <v>159</v>
      </c>
      <c r="D267" t="s">
        <v>187</v>
      </c>
      <c r="E267" t="s">
        <v>32</v>
      </c>
      <c r="F267">
        <v>41</v>
      </c>
      <c r="G267">
        <v>69750</v>
      </c>
      <c r="H267">
        <v>0.9</v>
      </c>
      <c r="I267">
        <v>1</v>
      </c>
      <c r="J267">
        <v>2</v>
      </c>
      <c r="K267" t="s">
        <v>935</v>
      </c>
      <c r="L267" t="s">
        <v>934</v>
      </c>
    </row>
    <row r="268" spans="1:12" ht="14.5" x14ac:dyDescent="0.35">
      <c r="A268" t="s">
        <v>570</v>
      </c>
      <c r="B268" t="s">
        <v>571</v>
      </c>
      <c r="C268" t="s">
        <v>45</v>
      </c>
      <c r="D268" t="s">
        <v>46</v>
      </c>
      <c r="E268" t="s">
        <v>23</v>
      </c>
      <c r="F268">
        <v>53</v>
      </c>
      <c r="G268">
        <v>97774</v>
      </c>
      <c r="H268">
        <v>2</v>
      </c>
      <c r="I268">
        <v>5</v>
      </c>
      <c r="J268">
        <v>1</v>
      </c>
      <c r="K268" t="s">
        <v>933</v>
      </c>
      <c r="L268" t="s">
        <v>934</v>
      </c>
    </row>
    <row r="269" spans="1:12" ht="14.5" x14ac:dyDescent="0.35">
      <c r="A269" t="s">
        <v>572</v>
      </c>
      <c r="B269" t="s">
        <v>243</v>
      </c>
      <c r="C269" t="s">
        <v>36</v>
      </c>
      <c r="D269" t="s">
        <v>84</v>
      </c>
      <c r="E269" t="s">
        <v>32</v>
      </c>
      <c r="F269">
        <v>44</v>
      </c>
      <c r="G269">
        <v>116317</v>
      </c>
      <c r="H269">
        <v>4</v>
      </c>
      <c r="I269">
        <v>5</v>
      </c>
      <c r="J269">
        <v>4</v>
      </c>
      <c r="K269" t="s">
        <v>933</v>
      </c>
      <c r="L269" t="s">
        <v>934</v>
      </c>
    </row>
    <row r="270" spans="1:12" ht="14.5" x14ac:dyDescent="0.35">
      <c r="A270" t="s">
        <v>573</v>
      </c>
      <c r="B270" t="s">
        <v>574</v>
      </c>
      <c r="C270" t="s">
        <v>45</v>
      </c>
      <c r="D270" t="s">
        <v>46</v>
      </c>
      <c r="E270" t="s">
        <v>32</v>
      </c>
      <c r="F270">
        <v>51</v>
      </c>
      <c r="G270">
        <v>113929</v>
      </c>
      <c r="H270">
        <v>4.8</v>
      </c>
      <c r="I270">
        <v>3</v>
      </c>
      <c r="J270">
        <v>5</v>
      </c>
      <c r="K270" t="s">
        <v>933</v>
      </c>
      <c r="L270" t="s">
        <v>934</v>
      </c>
    </row>
    <row r="271" spans="1:12" ht="14.5" x14ac:dyDescent="0.35">
      <c r="A271" t="s">
        <v>575</v>
      </c>
      <c r="B271" t="s">
        <v>396</v>
      </c>
      <c r="C271" t="s">
        <v>45</v>
      </c>
      <c r="D271" t="s">
        <v>234</v>
      </c>
      <c r="E271" t="s">
        <v>32</v>
      </c>
      <c r="F271">
        <v>58</v>
      </c>
      <c r="G271">
        <v>50349</v>
      </c>
      <c r="H271">
        <v>2.4</v>
      </c>
      <c r="I271">
        <v>1</v>
      </c>
      <c r="J271">
        <v>5</v>
      </c>
      <c r="K271" t="s">
        <v>933</v>
      </c>
      <c r="L271" t="s">
        <v>934</v>
      </c>
    </row>
    <row r="272" spans="1:12" ht="14.5" x14ac:dyDescent="0.35">
      <c r="A272" t="s">
        <v>576</v>
      </c>
      <c r="B272" t="s">
        <v>577</v>
      </c>
      <c r="C272" t="s">
        <v>56</v>
      </c>
      <c r="D272" t="s">
        <v>112</v>
      </c>
      <c r="E272" t="s">
        <v>32</v>
      </c>
      <c r="F272">
        <v>23</v>
      </c>
      <c r="G272">
        <v>119818</v>
      </c>
      <c r="H272">
        <v>1.3</v>
      </c>
      <c r="I272">
        <v>4</v>
      </c>
      <c r="J272">
        <v>4</v>
      </c>
      <c r="K272" t="s">
        <v>933</v>
      </c>
      <c r="L272" t="s">
        <v>934</v>
      </c>
    </row>
    <row r="273" spans="1:14" ht="14.5" x14ac:dyDescent="0.35">
      <c r="A273" t="s">
        <v>578</v>
      </c>
      <c r="B273" t="s">
        <v>579</v>
      </c>
      <c r="C273" t="s">
        <v>52</v>
      </c>
      <c r="D273" t="s">
        <v>224</v>
      </c>
      <c r="E273" t="s">
        <v>23</v>
      </c>
      <c r="F273">
        <v>47</v>
      </c>
      <c r="G273">
        <v>82127</v>
      </c>
      <c r="H273">
        <v>6</v>
      </c>
      <c r="I273">
        <v>2</v>
      </c>
      <c r="J273">
        <v>5</v>
      </c>
      <c r="K273" t="s">
        <v>935</v>
      </c>
      <c r="L273" t="s">
        <v>934</v>
      </c>
    </row>
    <row r="274" spans="1:14" ht="14.5" x14ac:dyDescent="0.35">
      <c r="A274" t="s">
        <v>580</v>
      </c>
      <c r="B274" t="s">
        <v>581</v>
      </c>
      <c r="C274" t="s">
        <v>56</v>
      </c>
      <c r="D274" t="s">
        <v>217</v>
      </c>
      <c r="E274" t="s">
        <v>32</v>
      </c>
      <c r="F274">
        <v>29</v>
      </c>
      <c r="G274">
        <v>55176</v>
      </c>
      <c r="H274">
        <v>1.9</v>
      </c>
      <c r="I274">
        <v>5</v>
      </c>
      <c r="J274">
        <v>2</v>
      </c>
      <c r="K274" t="s">
        <v>933</v>
      </c>
      <c r="L274" t="s">
        <v>934</v>
      </c>
    </row>
    <row r="275" spans="1:14" ht="14.5" x14ac:dyDescent="0.35">
      <c r="A275" t="s">
        <v>582</v>
      </c>
      <c r="B275" t="s">
        <v>583</v>
      </c>
      <c r="C275" t="s">
        <v>108</v>
      </c>
      <c r="D275" t="s">
        <v>206</v>
      </c>
      <c r="E275" t="s">
        <v>23</v>
      </c>
      <c r="F275">
        <v>32</v>
      </c>
      <c r="G275">
        <v>97878</v>
      </c>
      <c r="H275">
        <v>2.6</v>
      </c>
      <c r="I275">
        <v>3</v>
      </c>
      <c r="J275">
        <v>1</v>
      </c>
      <c r="K275" t="s">
        <v>935</v>
      </c>
      <c r="L275" t="s">
        <v>934</v>
      </c>
    </row>
    <row r="276" spans="1:14" ht="14.5" x14ac:dyDescent="0.35">
      <c r="A276" t="s">
        <v>584</v>
      </c>
      <c r="B276" t="s">
        <v>585</v>
      </c>
      <c r="C276" t="s">
        <v>40</v>
      </c>
      <c r="D276" t="s">
        <v>293</v>
      </c>
      <c r="E276" t="s">
        <v>23</v>
      </c>
      <c r="F276">
        <v>33</v>
      </c>
      <c r="G276">
        <v>64569</v>
      </c>
      <c r="H276">
        <v>5</v>
      </c>
      <c r="I276">
        <v>5</v>
      </c>
      <c r="J276">
        <v>1</v>
      </c>
      <c r="K276" t="s">
        <v>935</v>
      </c>
      <c r="L276" t="s">
        <v>934</v>
      </c>
    </row>
    <row r="277" spans="1:14" ht="14.5" x14ac:dyDescent="0.35">
      <c r="A277" t="s">
        <v>586</v>
      </c>
      <c r="B277" t="s">
        <v>502</v>
      </c>
      <c r="C277" t="s">
        <v>69</v>
      </c>
      <c r="D277" t="s">
        <v>150</v>
      </c>
      <c r="E277" t="s">
        <v>23</v>
      </c>
      <c r="F277">
        <v>34</v>
      </c>
      <c r="G277">
        <v>69555</v>
      </c>
      <c r="H277">
        <v>2.2999999999999998</v>
      </c>
      <c r="I277">
        <v>1</v>
      </c>
      <c r="J277">
        <v>3</v>
      </c>
      <c r="K277" t="s">
        <v>933</v>
      </c>
      <c r="L277" t="s">
        <v>934</v>
      </c>
    </row>
    <row r="278" spans="1:14" ht="14.5" x14ac:dyDescent="0.35">
      <c r="A278" t="s">
        <v>587</v>
      </c>
      <c r="B278" t="s">
        <v>456</v>
      </c>
      <c r="C278" t="s">
        <v>27</v>
      </c>
      <c r="D278" t="s">
        <v>73</v>
      </c>
      <c r="E278" t="s">
        <v>23</v>
      </c>
      <c r="F278">
        <v>28</v>
      </c>
      <c r="G278">
        <v>116686</v>
      </c>
      <c r="H278">
        <v>1.3</v>
      </c>
      <c r="I278">
        <v>4</v>
      </c>
      <c r="J278">
        <v>1</v>
      </c>
      <c r="K278" t="s">
        <v>933</v>
      </c>
      <c r="L278" t="s">
        <v>934</v>
      </c>
    </row>
    <row r="279" spans="1:14" ht="14.5" x14ac:dyDescent="0.35">
      <c r="A279" t="s">
        <v>588</v>
      </c>
      <c r="B279" t="s">
        <v>48</v>
      </c>
      <c r="C279" t="s">
        <v>56</v>
      </c>
      <c r="D279" t="s">
        <v>57</v>
      </c>
      <c r="E279" t="s">
        <v>32</v>
      </c>
      <c r="F279">
        <v>39</v>
      </c>
      <c r="G279">
        <v>65700</v>
      </c>
      <c r="H279">
        <v>7.3</v>
      </c>
      <c r="I279">
        <v>2</v>
      </c>
      <c r="J279">
        <v>5</v>
      </c>
      <c r="K279" t="s">
        <v>933</v>
      </c>
      <c r="L279" t="s">
        <v>936</v>
      </c>
      <c r="M279" t="s">
        <v>941</v>
      </c>
      <c r="N279" s="2">
        <v>46273</v>
      </c>
    </row>
    <row r="280" spans="1:14" ht="14.5" x14ac:dyDescent="0.35">
      <c r="A280" t="s">
        <v>589</v>
      </c>
      <c r="B280" t="s">
        <v>143</v>
      </c>
      <c r="C280" t="s">
        <v>40</v>
      </c>
      <c r="D280" t="s">
        <v>65</v>
      </c>
      <c r="E280" t="s">
        <v>23</v>
      </c>
      <c r="F280">
        <v>51</v>
      </c>
      <c r="G280">
        <v>54485</v>
      </c>
      <c r="H280">
        <v>5.3</v>
      </c>
      <c r="I280">
        <v>5</v>
      </c>
      <c r="J280">
        <v>4</v>
      </c>
      <c r="K280" t="s">
        <v>935</v>
      </c>
      <c r="L280" t="s">
        <v>934</v>
      </c>
    </row>
    <row r="281" spans="1:14" ht="14.5" x14ac:dyDescent="0.35">
      <c r="A281" t="s">
        <v>590</v>
      </c>
      <c r="B281" t="s">
        <v>591</v>
      </c>
      <c r="C281" t="s">
        <v>36</v>
      </c>
      <c r="D281" t="s">
        <v>62</v>
      </c>
      <c r="E281" t="s">
        <v>23</v>
      </c>
      <c r="F281">
        <v>29</v>
      </c>
      <c r="G281">
        <v>108698</v>
      </c>
      <c r="H281">
        <v>6.5</v>
      </c>
      <c r="I281">
        <v>3</v>
      </c>
      <c r="J281">
        <v>3</v>
      </c>
      <c r="K281" t="s">
        <v>933</v>
      </c>
      <c r="L281" t="s">
        <v>934</v>
      </c>
    </row>
    <row r="282" spans="1:14" ht="14.5" x14ac:dyDescent="0.35">
      <c r="A282" t="s">
        <v>592</v>
      </c>
      <c r="B282" t="s">
        <v>593</v>
      </c>
      <c r="C282" t="s">
        <v>69</v>
      </c>
      <c r="D282" t="s">
        <v>117</v>
      </c>
      <c r="E282" t="s">
        <v>32</v>
      </c>
      <c r="F282">
        <v>54</v>
      </c>
      <c r="G282">
        <v>111616</v>
      </c>
      <c r="H282">
        <v>5.2</v>
      </c>
      <c r="I282">
        <v>4</v>
      </c>
      <c r="J282">
        <v>1</v>
      </c>
      <c r="K282" t="s">
        <v>933</v>
      </c>
      <c r="L282" t="s">
        <v>934</v>
      </c>
    </row>
    <row r="283" spans="1:14" ht="14.5" x14ac:dyDescent="0.35">
      <c r="A283" t="s">
        <v>594</v>
      </c>
      <c r="B283" t="s">
        <v>152</v>
      </c>
      <c r="C283" t="s">
        <v>21</v>
      </c>
      <c r="D283" t="s">
        <v>153</v>
      </c>
      <c r="E283" t="s">
        <v>23</v>
      </c>
      <c r="F283">
        <v>51</v>
      </c>
      <c r="G283">
        <v>117285</v>
      </c>
      <c r="H283">
        <v>6.6</v>
      </c>
      <c r="I283">
        <v>3</v>
      </c>
      <c r="J283">
        <v>5</v>
      </c>
      <c r="K283" t="s">
        <v>933</v>
      </c>
      <c r="L283" t="s">
        <v>934</v>
      </c>
    </row>
    <row r="284" spans="1:14" ht="14.5" x14ac:dyDescent="0.35">
      <c r="A284" t="s">
        <v>595</v>
      </c>
      <c r="B284" t="s">
        <v>540</v>
      </c>
      <c r="C284" t="s">
        <v>52</v>
      </c>
      <c r="D284" t="s">
        <v>102</v>
      </c>
      <c r="E284" t="s">
        <v>32</v>
      </c>
      <c r="F284">
        <v>47</v>
      </c>
      <c r="G284">
        <v>90580</v>
      </c>
      <c r="H284">
        <v>2.4</v>
      </c>
      <c r="I284">
        <v>1</v>
      </c>
      <c r="J284">
        <v>1</v>
      </c>
      <c r="K284" t="s">
        <v>935</v>
      </c>
      <c r="L284" t="s">
        <v>934</v>
      </c>
    </row>
    <row r="285" spans="1:14" ht="14.5" x14ac:dyDescent="0.35">
      <c r="A285" t="s">
        <v>596</v>
      </c>
      <c r="B285" t="s">
        <v>597</v>
      </c>
      <c r="C285" t="s">
        <v>36</v>
      </c>
      <c r="D285" t="s">
        <v>253</v>
      </c>
      <c r="E285" t="s">
        <v>23</v>
      </c>
      <c r="F285">
        <v>24</v>
      </c>
      <c r="G285">
        <v>113498</v>
      </c>
      <c r="H285">
        <v>6.7</v>
      </c>
      <c r="I285">
        <v>2</v>
      </c>
      <c r="J285">
        <v>3</v>
      </c>
      <c r="K285" t="s">
        <v>933</v>
      </c>
      <c r="L285" t="s">
        <v>934</v>
      </c>
    </row>
    <row r="286" spans="1:14" ht="14.5" x14ac:dyDescent="0.35">
      <c r="A286" t="s">
        <v>598</v>
      </c>
      <c r="B286" t="s">
        <v>599</v>
      </c>
      <c r="C286" t="s">
        <v>27</v>
      </c>
      <c r="D286" t="s">
        <v>28</v>
      </c>
      <c r="E286" t="s">
        <v>32</v>
      </c>
      <c r="F286">
        <v>47</v>
      </c>
      <c r="G286">
        <v>32763</v>
      </c>
      <c r="H286">
        <v>5.8</v>
      </c>
      <c r="I286">
        <v>2</v>
      </c>
      <c r="J286">
        <v>4</v>
      </c>
      <c r="K286" t="s">
        <v>933</v>
      </c>
      <c r="L286" t="s">
        <v>934</v>
      </c>
    </row>
    <row r="287" spans="1:14" ht="14.5" x14ac:dyDescent="0.35">
      <c r="A287" t="s">
        <v>600</v>
      </c>
      <c r="B287" t="s">
        <v>132</v>
      </c>
      <c r="C287" t="s">
        <v>108</v>
      </c>
      <c r="D287" t="s">
        <v>109</v>
      </c>
      <c r="E287" t="s">
        <v>23</v>
      </c>
      <c r="F287">
        <v>23</v>
      </c>
      <c r="G287">
        <v>67110</v>
      </c>
      <c r="H287">
        <v>7.6</v>
      </c>
      <c r="I287">
        <v>5</v>
      </c>
      <c r="J287">
        <v>4</v>
      </c>
      <c r="K287" t="s">
        <v>933</v>
      </c>
      <c r="L287" t="s">
        <v>934</v>
      </c>
    </row>
    <row r="288" spans="1:14" ht="14.5" x14ac:dyDescent="0.35">
      <c r="A288" t="s">
        <v>601</v>
      </c>
      <c r="B288" t="s">
        <v>602</v>
      </c>
      <c r="C288" t="s">
        <v>21</v>
      </c>
      <c r="D288" t="s">
        <v>163</v>
      </c>
      <c r="E288" t="s">
        <v>23</v>
      </c>
      <c r="F288">
        <v>50</v>
      </c>
      <c r="G288">
        <v>96723</v>
      </c>
      <c r="H288">
        <v>1.7</v>
      </c>
      <c r="I288">
        <v>4</v>
      </c>
      <c r="J288">
        <v>2</v>
      </c>
      <c r="K288" t="s">
        <v>935</v>
      </c>
      <c r="L288" t="s">
        <v>934</v>
      </c>
    </row>
    <row r="289" spans="1:14" ht="14.5" x14ac:dyDescent="0.35">
      <c r="A289" t="s">
        <v>603</v>
      </c>
      <c r="B289" t="s">
        <v>604</v>
      </c>
      <c r="C289" t="s">
        <v>27</v>
      </c>
      <c r="D289" t="s">
        <v>76</v>
      </c>
      <c r="E289" t="s">
        <v>23</v>
      </c>
      <c r="F289">
        <v>33</v>
      </c>
      <c r="G289">
        <v>71343</v>
      </c>
      <c r="H289">
        <v>6.5</v>
      </c>
      <c r="I289">
        <v>3</v>
      </c>
      <c r="J289">
        <v>5</v>
      </c>
      <c r="K289" t="s">
        <v>935</v>
      </c>
      <c r="L289" t="s">
        <v>934</v>
      </c>
    </row>
    <row r="290" spans="1:14" ht="14.5" x14ac:dyDescent="0.35">
      <c r="A290" t="s">
        <v>605</v>
      </c>
      <c r="B290" t="s">
        <v>169</v>
      </c>
      <c r="C290" t="s">
        <v>36</v>
      </c>
      <c r="D290" t="s">
        <v>93</v>
      </c>
      <c r="E290" t="s">
        <v>32</v>
      </c>
      <c r="F290">
        <v>42</v>
      </c>
      <c r="G290">
        <v>102420</v>
      </c>
      <c r="H290">
        <v>4.4000000000000004</v>
      </c>
      <c r="I290">
        <v>2</v>
      </c>
      <c r="J290">
        <v>3</v>
      </c>
      <c r="K290" t="s">
        <v>933</v>
      </c>
      <c r="L290" t="s">
        <v>934</v>
      </c>
    </row>
    <row r="291" spans="1:14" ht="14.5" x14ac:dyDescent="0.35">
      <c r="A291" t="s">
        <v>606</v>
      </c>
      <c r="B291" t="s">
        <v>562</v>
      </c>
      <c r="C291" t="s">
        <v>159</v>
      </c>
      <c r="D291" t="s">
        <v>187</v>
      </c>
      <c r="E291" t="s">
        <v>23</v>
      </c>
      <c r="F291">
        <v>48</v>
      </c>
      <c r="G291">
        <v>70982</v>
      </c>
      <c r="H291">
        <v>2</v>
      </c>
      <c r="I291">
        <v>1</v>
      </c>
      <c r="J291">
        <v>1</v>
      </c>
      <c r="K291" t="s">
        <v>935</v>
      </c>
      <c r="L291" t="s">
        <v>934</v>
      </c>
    </row>
    <row r="292" spans="1:14" ht="14.5" x14ac:dyDescent="0.35">
      <c r="A292" t="s">
        <v>607</v>
      </c>
      <c r="B292" t="s">
        <v>608</v>
      </c>
      <c r="C292" t="s">
        <v>21</v>
      </c>
      <c r="D292" t="s">
        <v>133</v>
      </c>
      <c r="E292" t="s">
        <v>32</v>
      </c>
      <c r="F292">
        <v>51</v>
      </c>
      <c r="G292">
        <v>60512</v>
      </c>
      <c r="H292">
        <v>4.0999999999999996</v>
      </c>
      <c r="I292">
        <v>4</v>
      </c>
      <c r="J292">
        <v>1</v>
      </c>
      <c r="K292" t="s">
        <v>935</v>
      </c>
      <c r="L292" t="s">
        <v>934</v>
      </c>
    </row>
    <row r="293" spans="1:14" ht="14.5" x14ac:dyDescent="0.35">
      <c r="A293" t="s">
        <v>609</v>
      </c>
      <c r="B293" t="s">
        <v>610</v>
      </c>
      <c r="C293" t="s">
        <v>56</v>
      </c>
      <c r="D293" t="s">
        <v>112</v>
      </c>
      <c r="E293" t="s">
        <v>23</v>
      </c>
      <c r="F293">
        <v>38</v>
      </c>
      <c r="G293">
        <v>67576</v>
      </c>
      <c r="H293">
        <v>4</v>
      </c>
      <c r="I293">
        <v>3</v>
      </c>
      <c r="J293">
        <v>4</v>
      </c>
      <c r="K293" t="s">
        <v>933</v>
      </c>
      <c r="L293" t="s">
        <v>934</v>
      </c>
    </row>
    <row r="294" spans="1:14" ht="14.5" x14ac:dyDescent="0.35">
      <c r="A294" t="s">
        <v>611</v>
      </c>
      <c r="B294" t="s">
        <v>612</v>
      </c>
      <c r="C294" t="s">
        <v>52</v>
      </c>
      <c r="D294" t="s">
        <v>498</v>
      </c>
      <c r="E294" t="s">
        <v>23</v>
      </c>
      <c r="F294">
        <v>36</v>
      </c>
      <c r="G294">
        <v>115528</v>
      </c>
      <c r="H294">
        <v>7</v>
      </c>
      <c r="I294">
        <v>3</v>
      </c>
      <c r="J294">
        <v>4</v>
      </c>
      <c r="K294" t="s">
        <v>935</v>
      </c>
      <c r="L294" t="s">
        <v>934</v>
      </c>
    </row>
    <row r="295" spans="1:14" ht="14.5" x14ac:dyDescent="0.35">
      <c r="A295" t="s">
        <v>613</v>
      </c>
      <c r="B295" t="s">
        <v>614</v>
      </c>
      <c r="C295" t="s">
        <v>36</v>
      </c>
      <c r="D295" t="s">
        <v>93</v>
      </c>
      <c r="E295" t="s">
        <v>23</v>
      </c>
      <c r="F295">
        <v>53</v>
      </c>
      <c r="G295">
        <v>118477</v>
      </c>
      <c r="H295">
        <v>4.3</v>
      </c>
      <c r="I295">
        <v>4</v>
      </c>
      <c r="J295">
        <v>5</v>
      </c>
      <c r="K295" t="s">
        <v>933</v>
      </c>
      <c r="L295" t="s">
        <v>934</v>
      </c>
    </row>
    <row r="296" spans="1:14" ht="14.5" x14ac:dyDescent="0.35">
      <c r="A296" t="s">
        <v>615</v>
      </c>
      <c r="B296" t="s">
        <v>616</v>
      </c>
      <c r="C296" t="s">
        <v>40</v>
      </c>
      <c r="D296" t="s">
        <v>90</v>
      </c>
      <c r="E296" t="s">
        <v>32</v>
      </c>
      <c r="F296">
        <v>29</v>
      </c>
      <c r="G296">
        <v>48078</v>
      </c>
      <c r="H296">
        <v>2.4</v>
      </c>
      <c r="I296">
        <v>1</v>
      </c>
      <c r="J296">
        <v>1</v>
      </c>
      <c r="K296" t="s">
        <v>935</v>
      </c>
      <c r="L296" t="s">
        <v>934</v>
      </c>
    </row>
    <row r="297" spans="1:14" ht="14.5" x14ac:dyDescent="0.35">
      <c r="A297" t="s">
        <v>617</v>
      </c>
      <c r="B297" t="s">
        <v>190</v>
      </c>
      <c r="C297" t="s">
        <v>40</v>
      </c>
      <c r="D297" t="s">
        <v>65</v>
      </c>
      <c r="E297" t="s">
        <v>23</v>
      </c>
      <c r="F297">
        <v>55</v>
      </c>
      <c r="G297">
        <v>60435</v>
      </c>
      <c r="H297">
        <v>5.3</v>
      </c>
      <c r="I297">
        <v>4</v>
      </c>
      <c r="J297">
        <v>5</v>
      </c>
      <c r="K297" t="s">
        <v>933</v>
      </c>
      <c r="L297" t="s">
        <v>934</v>
      </c>
    </row>
    <row r="298" spans="1:14" ht="14.5" x14ac:dyDescent="0.35">
      <c r="A298" t="s">
        <v>618</v>
      </c>
      <c r="B298" t="s">
        <v>619</v>
      </c>
      <c r="C298" t="s">
        <v>21</v>
      </c>
      <c r="D298" t="s">
        <v>49</v>
      </c>
      <c r="E298" t="s">
        <v>23</v>
      </c>
      <c r="F298">
        <v>54</v>
      </c>
      <c r="G298">
        <v>38237</v>
      </c>
      <c r="H298">
        <v>3.7</v>
      </c>
      <c r="I298">
        <v>5</v>
      </c>
      <c r="J298">
        <v>2</v>
      </c>
      <c r="K298" t="s">
        <v>935</v>
      </c>
      <c r="L298" t="s">
        <v>934</v>
      </c>
    </row>
    <row r="299" spans="1:14" ht="14.5" x14ac:dyDescent="0.35">
      <c r="A299" t="s">
        <v>620</v>
      </c>
      <c r="B299" t="s">
        <v>621</v>
      </c>
      <c r="C299" t="s">
        <v>21</v>
      </c>
      <c r="D299" t="s">
        <v>22</v>
      </c>
      <c r="E299" t="s">
        <v>32</v>
      </c>
      <c r="F299">
        <v>57</v>
      </c>
      <c r="G299">
        <v>47641</v>
      </c>
      <c r="H299">
        <v>1.7</v>
      </c>
      <c r="I299">
        <v>4</v>
      </c>
      <c r="J299">
        <v>1</v>
      </c>
      <c r="K299" t="s">
        <v>933</v>
      </c>
      <c r="L299" t="s">
        <v>934</v>
      </c>
    </row>
    <row r="300" spans="1:14" ht="14.5" x14ac:dyDescent="0.35">
      <c r="A300" t="s">
        <v>622</v>
      </c>
      <c r="B300" t="s">
        <v>623</v>
      </c>
      <c r="C300" t="s">
        <v>27</v>
      </c>
      <c r="D300" t="s">
        <v>76</v>
      </c>
      <c r="E300" t="s">
        <v>32</v>
      </c>
      <c r="F300">
        <v>34</v>
      </c>
      <c r="G300">
        <v>92071</v>
      </c>
      <c r="H300">
        <v>1.2</v>
      </c>
      <c r="I300">
        <v>4</v>
      </c>
      <c r="J300">
        <v>4</v>
      </c>
      <c r="K300" t="s">
        <v>935</v>
      </c>
      <c r="L300" t="s">
        <v>936</v>
      </c>
      <c r="M300" t="s">
        <v>942</v>
      </c>
      <c r="N300" s="2">
        <v>46228</v>
      </c>
    </row>
    <row r="301" spans="1:14" ht="14.5" x14ac:dyDescent="0.35">
      <c r="A301" t="s">
        <v>624</v>
      </c>
      <c r="B301" t="s">
        <v>31</v>
      </c>
      <c r="C301" t="s">
        <v>108</v>
      </c>
      <c r="D301" t="s">
        <v>114</v>
      </c>
      <c r="E301" t="s">
        <v>23</v>
      </c>
      <c r="F301">
        <v>29</v>
      </c>
      <c r="G301">
        <v>82450</v>
      </c>
      <c r="H301">
        <v>2</v>
      </c>
      <c r="I301">
        <v>3</v>
      </c>
      <c r="J301">
        <v>2</v>
      </c>
      <c r="K301" t="s">
        <v>933</v>
      </c>
      <c r="L301" t="s">
        <v>934</v>
      </c>
    </row>
    <row r="302" spans="1:14" ht="14.5" x14ac:dyDescent="0.35">
      <c r="A302" t="s">
        <v>625</v>
      </c>
      <c r="B302" t="s">
        <v>626</v>
      </c>
      <c r="C302" t="s">
        <v>52</v>
      </c>
      <c r="D302" t="s">
        <v>102</v>
      </c>
      <c r="E302" t="s">
        <v>23</v>
      </c>
      <c r="F302">
        <v>40</v>
      </c>
      <c r="G302">
        <v>79897</v>
      </c>
      <c r="H302">
        <v>7.5</v>
      </c>
      <c r="I302">
        <v>3</v>
      </c>
      <c r="J302">
        <v>3</v>
      </c>
      <c r="K302" t="s">
        <v>933</v>
      </c>
      <c r="L302" t="s">
        <v>934</v>
      </c>
    </row>
    <row r="303" spans="1:14" ht="14.5" x14ac:dyDescent="0.35">
      <c r="A303" t="s">
        <v>627</v>
      </c>
      <c r="B303" t="s">
        <v>48</v>
      </c>
      <c r="C303" t="s">
        <v>69</v>
      </c>
      <c r="D303" t="s">
        <v>319</v>
      </c>
      <c r="E303" t="s">
        <v>32</v>
      </c>
      <c r="F303">
        <v>23</v>
      </c>
      <c r="G303">
        <v>73158</v>
      </c>
      <c r="H303">
        <v>3</v>
      </c>
      <c r="I303">
        <v>4</v>
      </c>
      <c r="J303">
        <v>1</v>
      </c>
      <c r="K303" t="s">
        <v>933</v>
      </c>
      <c r="L303" t="s">
        <v>934</v>
      </c>
    </row>
    <row r="304" spans="1:14" ht="14.5" x14ac:dyDescent="0.35">
      <c r="A304" t="s">
        <v>628</v>
      </c>
      <c r="B304" t="s">
        <v>116</v>
      </c>
      <c r="C304" t="s">
        <v>27</v>
      </c>
      <c r="D304" t="s">
        <v>28</v>
      </c>
      <c r="E304" t="s">
        <v>32</v>
      </c>
      <c r="F304">
        <v>51</v>
      </c>
      <c r="G304">
        <v>65629</v>
      </c>
      <c r="H304">
        <v>7.4</v>
      </c>
      <c r="I304">
        <v>5</v>
      </c>
      <c r="J304">
        <v>4</v>
      </c>
      <c r="K304" t="s">
        <v>935</v>
      </c>
      <c r="L304" t="s">
        <v>934</v>
      </c>
    </row>
    <row r="305" spans="1:12" ht="14.5" x14ac:dyDescent="0.35">
      <c r="A305" t="s">
        <v>629</v>
      </c>
      <c r="B305" t="s">
        <v>332</v>
      </c>
      <c r="C305" t="s">
        <v>159</v>
      </c>
      <c r="D305" t="s">
        <v>324</v>
      </c>
      <c r="E305" t="s">
        <v>23</v>
      </c>
      <c r="F305">
        <v>45</v>
      </c>
      <c r="G305">
        <v>77479</v>
      </c>
      <c r="H305">
        <v>2.7</v>
      </c>
      <c r="I305">
        <v>2</v>
      </c>
      <c r="J305">
        <v>3</v>
      </c>
      <c r="K305" t="s">
        <v>935</v>
      </c>
      <c r="L305" t="s">
        <v>934</v>
      </c>
    </row>
    <row r="306" spans="1:12" ht="14.5" x14ac:dyDescent="0.35">
      <c r="A306" t="s">
        <v>630</v>
      </c>
      <c r="B306" t="s">
        <v>565</v>
      </c>
      <c r="C306" t="s">
        <v>27</v>
      </c>
      <c r="D306" t="s">
        <v>87</v>
      </c>
      <c r="E306" t="s">
        <v>23</v>
      </c>
      <c r="F306">
        <v>28</v>
      </c>
      <c r="G306">
        <v>98419</v>
      </c>
      <c r="H306">
        <v>5.7</v>
      </c>
      <c r="I306">
        <v>3</v>
      </c>
      <c r="J306">
        <v>1</v>
      </c>
      <c r="K306" t="s">
        <v>935</v>
      </c>
      <c r="L306" t="s">
        <v>934</v>
      </c>
    </row>
    <row r="307" spans="1:12" ht="14.5" x14ac:dyDescent="0.35">
      <c r="A307" t="s">
        <v>631</v>
      </c>
      <c r="B307" t="s">
        <v>632</v>
      </c>
      <c r="C307" t="s">
        <v>159</v>
      </c>
      <c r="D307" t="s">
        <v>482</v>
      </c>
      <c r="E307" t="s">
        <v>32</v>
      </c>
      <c r="F307">
        <v>22</v>
      </c>
      <c r="G307">
        <v>88686</v>
      </c>
      <c r="H307">
        <v>4.4000000000000004</v>
      </c>
      <c r="I307">
        <v>1</v>
      </c>
      <c r="J307">
        <v>2</v>
      </c>
      <c r="K307" t="s">
        <v>933</v>
      </c>
      <c r="L307" t="s">
        <v>934</v>
      </c>
    </row>
    <row r="308" spans="1:12" ht="14.5" x14ac:dyDescent="0.35">
      <c r="A308" t="s">
        <v>633</v>
      </c>
      <c r="B308" t="s">
        <v>634</v>
      </c>
      <c r="C308" t="s">
        <v>56</v>
      </c>
      <c r="D308" t="s">
        <v>217</v>
      </c>
      <c r="E308" t="s">
        <v>32</v>
      </c>
      <c r="F308">
        <v>36</v>
      </c>
      <c r="G308">
        <v>73371</v>
      </c>
      <c r="H308">
        <v>2.6</v>
      </c>
      <c r="I308">
        <v>2</v>
      </c>
      <c r="J308">
        <v>1</v>
      </c>
      <c r="K308" t="s">
        <v>935</v>
      </c>
      <c r="L308" t="s">
        <v>934</v>
      </c>
    </row>
    <row r="309" spans="1:12" ht="14.5" x14ac:dyDescent="0.35">
      <c r="A309" t="s">
        <v>635</v>
      </c>
      <c r="B309" t="s">
        <v>167</v>
      </c>
      <c r="C309" t="s">
        <v>69</v>
      </c>
      <c r="D309" t="s">
        <v>105</v>
      </c>
      <c r="E309" t="s">
        <v>32</v>
      </c>
      <c r="F309">
        <v>47</v>
      </c>
      <c r="G309">
        <v>30050</v>
      </c>
      <c r="H309">
        <v>0.9</v>
      </c>
      <c r="I309">
        <v>4</v>
      </c>
      <c r="J309">
        <v>2</v>
      </c>
      <c r="K309" t="s">
        <v>935</v>
      </c>
      <c r="L309" t="s">
        <v>934</v>
      </c>
    </row>
    <row r="310" spans="1:12" ht="14.5" x14ac:dyDescent="0.35">
      <c r="A310" t="s">
        <v>636</v>
      </c>
      <c r="B310" t="s">
        <v>544</v>
      </c>
      <c r="C310" t="s">
        <v>21</v>
      </c>
      <c r="D310" t="s">
        <v>22</v>
      </c>
      <c r="E310" t="s">
        <v>32</v>
      </c>
      <c r="F310">
        <v>49</v>
      </c>
      <c r="G310">
        <v>116083</v>
      </c>
      <c r="H310">
        <v>1</v>
      </c>
      <c r="I310">
        <v>5</v>
      </c>
      <c r="J310">
        <v>1</v>
      </c>
      <c r="K310" t="s">
        <v>935</v>
      </c>
      <c r="L310" t="s">
        <v>934</v>
      </c>
    </row>
    <row r="311" spans="1:12" ht="14.5" x14ac:dyDescent="0.35">
      <c r="A311" t="s">
        <v>637</v>
      </c>
      <c r="B311" t="s">
        <v>638</v>
      </c>
      <c r="C311" t="s">
        <v>69</v>
      </c>
      <c r="D311" t="s">
        <v>105</v>
      </c>
      <c r="E311" t="s">
        <v>23</v>
      </c>
      <c r="F311">
        <v>49</v>
      </c>
      <c r="G311">
        <v>98747</v>
      </c>
      <c r="H311">
        <v>5.0999999999999996</v>
      </c>
      <c r="I311">
        <v>3</v>
      </c>
      <c r="J311">
        <v>4</v>
      </c>
      <c r="K311" t="s">
        <v>933</v>
      </c>
      <c r="L311" t="s">
        <v>934</v>
      </c>
    </row>
    <row r="312" spans="1:12" ht="14.5" x14ac:dyDescent="0.35">
      <c r="A312" t="s">
        <v>639</v>
      </c>
      <c r="B312" t="s">
        <v>132</v>
      </c>
      <c r="C312" t="s">
        <v>159</v>
      </c>
      <c r="D312" t="s">
        <v>187</v>
      </c>
      <c r="E312" t="s">
        <v>23</v>
      </c>
      <c r="F312">
        <v>35</v>
      </c>
      <c r="G312">
        <v>69799</v>
      </c>
      <c r="H312">
        <v>1.3</v>
      </c>
      <c r="I312">
        <v>5</v>
      </c>
      <c r="J312">
        <v>2</v>
      </c>
      <c r="K312" t="s">
        <v>935</v>
      </c>
      <c r="L312" t="s">
        <v>934</v>
      </c>
    </row>
    <row r="313" spans="1:12" ht="14.5" x14ac:dyDescent="0.35">
      <c r="A313" t="s">
        <v>640</v>
      </c>
      <c r="B313" t="s">
        <v>641</v>
      </c>
      <c r="C313" t="s">
        <v>40</v>
      </c>
      <c r="D313" t="s">
        <v>90</v>
      </c>
      <c r="E313" t="s">
        <v>23</v>
      </c>
      <c r="F313">
        <v>30</v>
      </c>
      <c r="G313">
        <v>56972</v>
      </c>
      <c r="H313">
        <v>1.9</v>
      </c>
      <c r="I313">
        <v>1</v>
      </c>
      <c r="J313">
        <v>5</v>
      </c>
      <c r="K313" t="s">
        <v>935</v>
      </c>
      <c r="L313" t="s">
        <v>934</v>
      </c>
    </row>
    <row r="314" spans="1:12" ht="14.5" x14ac:dyDescent="0.35">
      <c r="A314" t="s">
        <v>642</v>
      </c>
      <c r="B314" t="s">
        <v>643</v>
      </c>
      <c r="C314" t="s">
        <v>36</v>
      </c>
      <c r="D314" t="s">
        <v>37</v>
      </c>
      <c r="E314" t="s">
        <v>32</v>
      </c>
      <c r="F314">
        <v>48</v>
      </c>
      <c r="G314">
        <v>92962</v>
      </c>
      <c r="H314">
        <v>1.5</v>
      </c>
      <c r="I314">
        <v>1</v>
      </c>
      <c r="J314">
        <v>4</v>
      </c>
      <c r="K314" t="s">
        <v>935</v>
      </c>
      <c r="L314" t="s">
        <v>934</v>
      </c>
    </row>
    <row r="315" spans="1:12" ht="14.5" x14ac:dyDescent="0.35">
      <c r="A315" t="s">
        <v>644</v>
      </c>
      <c r="B315" t="s">
        <v>645</v>
      </c>
      <c r="C315" t="s">
        <v>56</v>
      </c>
      <c r="D315" t="s">
        <v>57</v>
      </c>
      <c r="E315" t="s">
        <v>23</v>
      </c>
      <c r="F315">
        <v>47</v>
      </c>
      <c r="G315">
        <v>67306</v>
      </c>
      <c r="H315">
        <v>6.1</v>
      </c>
      <c r="I315">
        <v>5</v>
      </c>
      <c r="J315">
        <v>1</v>
      </c>
      <c r="K315" t="s">
        <v>933</v>
      </c>
      <c r="L315" t="s">
        <v>934</v>
      </c>
    </row>
    <row r="316" spans="1:12" ht="14.5" x14ac:dyDescent="0.35">
      <c r="A316" t="s">
        <v>646</v>
      </c>
      <c r="B316" t="s">
        <v>647</v>
      </c>
      <c r="C316" t="s">
        <v>27</v>
      </c>
      <c r="D316" t="s">
        <v>76</v>
      </c>
      <c r="E316" t="s">
        <v>32</v>
      </c>
      <c r="F316">
        <v>35</v>
      </c>
      <c r="G316">
        <v>120743</v>
      </c>
      <c r="H316">
        <v>4.4000000000000004</v>
      </c>
      <c r="I316">
        <v>5</v>
      </c>
      <c r="J316">
        <v>3</v>
      </c>
      <c r="K316" t="s">
        <v>935</v>
      </c>
      <c r="L316" t="s">
        <v>934</v>
      </c>
    </row>
    <row r="317" spans="1:12" ht="14.5" x14ac:dyDescent="0.35">
      <c r="A317" t="s">
        <v>648</v>
      </c>
      <c r="B317" t="s">
        <v>316</v>
      </c>
      <c r="C317" t="s">
        <v>52</v>
      </c>
      <c r="D317" t="s">
        <v>102</v>
      </c>
      <c r="E317" t="s">
        <v>23</v>
      </c>
      <c r="F317">
        <v>47</v>
      </c>
      <c r="G317">
        <v>97467</v>
      </c>
      <c r="H317">
        <v>1.5</v>
      </c>
      <c r="I317">
        <v>3</v>
      </c>
      <c r="J317">
        <v>3</v>
      </c>
      <c r="K317" t="s">
        <v>933</v>
      </c>
      <c r="L317" t="s">
        <v>934</v>
      </c>
    </row>
    <row r="318" spans="1:12" ht="14.5" x14ac:dyDescent="0.35">
      <c r="A318" t="s">
        <v>649</v>
      </c>
      <c r="B318" t="s">
        <v>39</v>
      </c>
      <c r="C318" t="s">
        <v>69</v>
      </c>
      <c r="D318" t="s">
        <v>150</v>
      </c>
      <c r="E318" t="s">
        <v>32</v>
      </c>
      <c r="F318">
        <v>42</v>
      </c>
      <c r="G318">
        <v>86954</v>
      </c>
      <c r="H318">
        <v>6.9</v>
      </c>
      <c r="I318">
        <v>2</v>
      </c>
      <c r="J318">
        <v>3</v>
      </c>
      <c r="K318" t="s">
        <v>935</v>
      </c>
      <c r="L318" t="s">
        <v>934</v>
      </c>
    </row>
    <row r="319" spans="1:12" ht="14.5" x14ac:dyDescent="0.35">
      <c r="A319" t="s">
        <v>650</v>
      </c>
      <c r="B319" t="s">
        <v>190</v>
      </c>
      <c r="C319" t="s">
        <v>21</v>
      </c>
      <c r="D319" t="s">
        <v>49</v>
      </c>
      <c r="E319" t="s">
        <v>32</v>
      </c>
      <c r="F319">
        <v>24</v>
      </c>
      <c r="G319">
        <v>77436</v>
      </c>
      <c r="H319">
        <v>4.7</v>
      </c>
      <c r="I319">
        <v>4</v>
      </c>
      <c r="J319">
        <v>1</v>
      </c>
      <c r="K319" t="s">
        <v>935</v>
      </c>
      <c r="L319" t="s">
        <v>934</v>
      </c>
    </row>
    <row r="320" spans="1:12" ht="14.5" x14ac:dyDescent="0.35">
      <c r="A320" t="s">
        <v>651</v>
      </c>
      <c r="B320" t="s">
        <v>632</v>
      </c>
      <c r="C320" t="s">
        <v>45</v>
      </c>
      <c r="D320" t="s">
        <v>296</v>
      </c>
      <c r="E320" t="s">
        <v>32</v>
      </c>
      <c r="F320">
        <v>33</v>
      </c>
      <c r="G320">
        <v>122936</v>
      </c>
      <c r="H320">
        <v>1.2</v>
      </c>
      <c r="I320">
        <v>2</v>
      </c>
      <c r="J320">
        <v>1</v>
      </c>
      <c r="K320" t="s">
        <v>935</v>
      </c>
      <c r="L320" t="s">
        <v>934</v>
      </c>
    </row>
    <row r="321" spans="1:14" ht="14.5" x14ac:dyDescent="0.35">
      <c r="A321" t="s">
        <v>652</v>
      </c>
      <c r="B321" t="s">
        <v>653</v>
      </c>
      <c r="C321" t="s">
        <v>69</v>
      </c>
      <c r="D321" t="s">
        <v>70</v>
      </c>
      <c r="E321" t="s">
        <v>32</v>
      </c>
      <c r="F321">
        <v>42</v>
      </c>
      <c r="G321">
        <v>30009</v>
      </c>
      <c r="H321">
        <v>4.3</v>
      </c>
      <c r="I321">
        <v>5</v>
      </c>
      <c r="J321">
        <v>1</v>
      </c>
      <c r="K321" t="s">
        <v>933</v>
      </c>
      <c r="L321" t="s">
        <v>934</v>
      </c>
    </row>
    <row r="322" spans="1:14" ht="14.5" x14ac:dyDescent="0.35">
      <c r="A322" t="s">
        <v>654</v>
      </c>
      <c r="B322" t="s">
        <v>581</v>
      </c>
      <c r="C322" t="s">
        <v>21</v>
      </c>
      <c r="D322" t="s">
        <v>153</v>
      </c>
      <c r="E322" t="s">
        <v>32</v>
      </c>
      <c r="F322">
        <v>34</v>
      </c>
      <c r="G322">
        <v>59369</v>
      </c>
      <c r="H322">
        <v>3.3</v>
      </c>
      <c r="I322">
        <v>3</v>
      </c>
      <c r="J322">
        <v>1</v>
      </c>
      <c r="K322" t="s">
        <v>933</v>
      </c>
      <c r="L322" t="s">
        <v>934</v>
      </c>
    </row>
    <row r="323" spans="1:14" ht="14.5" x14ac:dyDescent="0.35">
      <c r="A323" t="s">
        <v>655</v>
      </c>
      <c r="B323" t="s">
        <v>656</v>
      </c>
      <c r="C323" t="s">
        <v>36</v>
      </c>
      <c r="D323" t="s">
        <v>84</v>
      </c>
      <c r="E323" t="s">
        <v>23</v>
      </c>
      <c r="F323">
        <v>55</v>
      </c>
      <c r="G323">
        <v>68425</v>
      </c>
      <c r="H323">
        <v>3.7</v>
      </c>
      <c r="I323">
        <v>2</v>
      </c>
      <c r="J323">
        <v>5</v>
      </c>
      <c r="K323" t="s">
        <v>933</v>
      </c>
      <c r="L323" t="s">
        <v>934</v>
      </c>
    </row>
    <row r="324" spans="1:14" ht="14.5" x14ac:dyDescent="0.35">
      <c r="A324" t="s">
        <v>657</v>
      </c>
      <c r="B324" t="s">
        <v>658</v>
      </c>
      <c r="C324" t="s">
        <v>27</v>
      </c>
      <c r="D324" t="s">
        <v>76</v>
      </c>
      <c r="E324" t="s">
        <v>23</v>
      </c>
      <c r="F324">
        <v>27</v>
      </c>
      <c r="G324">
        <v>69973</v>
      </c>
      <c r="H324">
        <v>2.5</v>
      </c>
      <c r="I324">
        <v>2</v>
      </c>
      <c r="J324">
        <v>5</v>
      </c>
      <c r="K324" t="s">
        <v>935</v>
      </c>
      <c r="L324" t="s">
        <v>934</v>
      </c>
    </row>
    <row r="325" spans="1:14" ht="14.5" x14ac:dyDescent="0.35">
      <c r="A325" t="s">
        <v>659</v>
      </c>
      <c r="B325" t="s">
        <v>660</v>
      </c>
      <c r="C325" t="s">
        <v>40</v>
      </c>
      <c r="D325" t="s">
        <v>293</v>
      </c>
      <c r="E325" t="s">
        <v>23</v>
      </c>
      <c r="F325">
        <v>23</v>
      </c>
      <c r="G325">
        <v>57002</v>
      </c>
      <c r="H325">
        <v>1.4</v>
      </c>
      <c r="I325">
        <v>3</v>
      </c>
      <c r="J325">
        <v>5</v>
      </c>
      <c r="K325" t="s">
        <v>933</v>
      </c>
      <c r="L325" t="s">
        <v>934</v>
      </c>
    </row>
    <row r="326" spans="1:14" ht="14.5" x14ac:dyDescent="0.35">
      <c r="A326" t="s">
        <v>661</v>
      </c>
      <c r="B326" t="s">
        <v>246</v>
      </c>
      <c r="C326" t="s">
        <v>52</v>
      </c>
      <c r="D326" t="s">
        <v>498</v>
      </c>
      <c r="E326" t="s">
        <v>23</v>
      </c>
      <c r="F326">
        <v>39</v>
      </c>
      <c r="G326">
        <v>53715</v>
      </c>
      <c r="H326">
        <v>6</v>
      </c>
      <c r="I326">
        <v>2</v>
      </c>
      <c r="J326">
        <v>4</v>
      </c>
      <c r="K326" t="s">
        <v>935</v>
      </c>
      <c r="L326" t="s">
        <v>934</v>
      </c>
    </row>
    <row r="327" spans="1:14" ht="14.5" x14ac:dyDescent="0.35">
      <c r="A327" t="s">
        <v>662</v>
      </c>
      <c r="B327" t="s">
        <v>663</v>
      </c>
      <c r="C327" t="s">
        <v>56</v>
      </c>
      <c r="D327" t="s">
        <v>112</v>
      </c>
      <c r="E327" t="s">
        <v>23</v>
      </c>
      <c r="F327">
        <v>56</v>
      </c>
      <c r="G327">
        <v>61728</v>
      </c>
      <c r="H327">
        <v>4</v>
      </c>
      <c r="I327">
        <v>4</v>
      </c>
      <c r="J327">
        <v>1</v>
      </c>
      <c r="K327" t="s">
        <v>935</v>
      </c>
      <c r="L327" t="s">
        <v>934</v>
      </c>
    </row>
    <row r="328" spans="1:14" ht="14.5" x14ac:dyDescent="0.35">
      <c r="A328" t="s">
        <v>664</v>
      </c>
      <c r="B328" t="s">
        <v>665</v>
      </c>
      <c r="C328" t="s">
        <v>108</v>
      </c>
      <c r="D328" t="s">
        <v>206</v>
      </c>
      <c r="E328" t="s">
        <v>32</v>
      </c>
      <c r="F328">
        <v>43</v>
      </c>
      <c r="G328">
        <v>46344</v>
      </c>
      <c r="H328">
        <v>5.8</v>
      </c>
      <c r="I328">
        <v>1</v>
      </c>
      <c r="J328">
        <v>5</v>
      </c>
      <c r="K328" t="s">
        <v>933</v>
      </c>
      <c r="L328" t="s">
        <v>934</v>
      </c>
    </row>
    <row r="329" spans="1:14" ht="14.5" x14ac:dyDescent="0.35">
      <c r="A329" t="s">
        <v>666</v>
      </c>
      <c r="B329" t="s">
        <v>61</v>
      </c>
      <c r="C329" t="s">
        <v>108</v>
      </c>
      <c r="D329" t="s">
        <v>109</v>
      </c>
      <c r="E329" t="s">
        <v>32</v>
      </c>
      <c r="F329">
        <v>54</v>
      </c>
      <c r="G329">
        <v>37742</v>
      </c>
      <c r="H329">
        <v>7.4</v>
      </c>
      <c r="I329">
        <v>1</v>
      </c>
      <c r="J329">
        <v>3</v>
      </c>
      <c r="K329" t="s">
        <v>933</v>
      </c>
      <c r="L329" t="s">
        <v>934</v>
      </c>
    </row>
    <row r="330" spans="1:14" ht="14.5" x14ac:dyDescent="0.35">
      <c r="A330" t="s">
        <v>667</v>
      </c>
      <c r="B330" t="s">
        <v>192</v>
      </c>
      <c r="C330" t="s">
        <v>52</v>
      </c>
      <c r="D330" t="s">
        <v>224</v>
      </c>
      <c r="E330" t="s">
        <v>32</v>
      </c>
      <c r="F330">
        <v>35</v>
      </c>
      <c r="G330">
        <v>120690</v>
      </c>
      <c r="H330">
        <v>7</v>
      </c>
      <c r="I330">
        <v>4</v>
      </c>
      <c r="J330">
        <v>1</v>
      </c>
      <c r="K330" t="s">
        <v>933</v>
      </c>
      <c r="L330" t="s">
        <v>934</v>
      </c>
    </row>
    <row r="331" spans="1:14" ht="14.5" x14ac:dyDescent="0.35">
      <c r="A331" t="s">
        <v>668</v>
      </c>
      <c r="B331" t="s">
        <v>669</v>
      </c>
      <c r="C331" t="s">
        <v>69</v>
      </c>
      <c r="D331" t="s">
        <v>319</v>
      </c>
      <c r="E331" t="s">
        <v>23</v>
      </c>
      <c r="F331">
        <v>44</v>
      </c>
      <c r="G331">
        <v>108980</v>
      </c>
      <c r="H331">
        <v>7.1</v>
      </c>
      <c r="I331">
        <v>4</v>
      </c>
      <c r="J331">
        <v>2</v>
      </c>
      <c r="K331" t="s">
        <v>935</v>
      </c>
      <c r="L331" t="s">
        <v>934</v>
      </c>
    </row>
    <row r="332" spans="1:14" ht="14.5" x14ac:dyDescent="0.35">
      <c r="A332" t="s">
        <v>670</v>
      </c>
      <c r="B332" t="s">
        <v>178</v>
      </c>
      <c r="C332" t="s">
        <v>108</v>
      </c>
      <c r="D332" t="s">
        <v>206</v>
      </c>
      <c r="E332" t="s">
        <v>32</v>
      </c>
      <c r="F332">
        <v>21</v>
      </c>
      <c r="G332">
        <v>100305</v>
      </c>
      <c r="H332">
        <v>1.8</v>
      </c>
      <c r="I332">
        <v>2</v>
      </c>
      <c r="J332">
        <v>1</v>
      </c>
      <c r="K332" t="s">
        <v>935</v>
      </c>
      <c r="L332" t="s">
        <v>936</v>
      </c>
      <c r="M332" t="s">
        <v>941</v>
      </c>
      <c r="N332" s="2">
        <v>46159</v>
      </c>
    </row>
    <row r="333" spans="1:14" ht="14.5" x14ac:dyDescent="0.35">
      <c r="A333" t="s">
        <v>671</v>
      </c>
      <c r="B333" t="s">
        <v>340</v>
      </c>
      <c r="C333" t="s">
        <v>52</v>
      </c>
      <c r="D333" t="s">
        <v>102</v>
      </c>
      <c r="E333" t="s">
        <v>23</v>
      </c>
      <c r="F333">
        <v>55</v>
      </c>
      <c r="G333">
        <v>30246</v>
      </c>
      <c r="H333">
        <v>4.5</v>
      </c>
      <c r="I333">
        <v>2</v>
      </c>
      <c r="J333">
        <v>1</v>
      </c>
      <c r="K333" t="s">
        <v>933</v>
      </c>
      <c r="L333" t="s">
        <v>934</v>
      </c>
    </row>
    <row r="334" spans="1:14" ht="14.5" x14ac:dyDescent="0.35">
      <c r="A334" t="s">
        <v>672</v>
      </c>
      <c r="B334" t="s">
        <v>673</v>
      </c>
      <c r="C334" t="s">
        <v>159</v>
      </c>
      <c r="D334" t="s">
        <v>160</v>
      </c>
      <c r="E334" t="s">
        <v>32</v>
      </c>
      <c r="F334">
        <v>54</v>
      </c>
      <c r="G334">
        <v>59584</v>
      </c>
      <c r="H334">
        <v>6.1</v>
      </c>
      <c r="I334">
        <v>3</v>
      </c>
      <c r="J334">
        <v>4</v>
      </c>
      <c r="K334" t="s">
        <v>935</v>
      </c>
      <c r="L334" t="s">
        <v>934</v>
      </c>
    </row>
    <row r="335" spans="1:14" ht="14.5" x14ac:dyDescent="0.35">
      <c r="A335" t="s">
        <v>674</v>
      </c>
      <c r="B335" t="s">
        <v>675</v>
      </c>
      <c r="C335" t="s">
        <v>27</v>
      </c>
      <c r="D335" t="s">
        <v>73</v>
      </c>
      <c r="E335" t="s">
        <v>23</v>
      </c>
      <c r="F335">
        <v>38</v>
      </c>
      <c r="G335">
        <v>38357</v>
      </c>
      <c r="H335">
        <v>3.3</v>
      </c>
      <c r="I335">
        <v>3</v>
      </c>
      <c r="J335">
        <v>3</v>
      </c>
      <c r="K335" t="s">
        <v>933</v>
      </c>
      <c r="L335" t="s">
        <v>936</v>
      </c>
      <c r="M335" t="s">
        <v>944</v>
      </c>
      <c r="N335" s="2">
        <v>46016</v>
      </c>
    </row>
    <row r="336" spans="1:14" ht="14.5" x14ac:dyDescent="0.35">
      <c r="A336" t="s">
        <v>676</v>
      </c>
      <c r="B336" t="s">
        <v>677</v>
      </c>
      <c r="C336" t="s">
        <v>108</v>
      </c>
      <c r="D336" t="s">
        <v>109</v>
      </c>
      <c r="E336" t="s">
        <v>32</v>
      </c>
      <c r="F336">
        <v>40</v>
      </c>
      <c r="G336">
        <v>113686</v>
      </c>
      <c r="H336">
        <v>6.8</v>
      </c>
      <c r="I336">
        <v>5</v>
      </c>
      <c r="J336">
        <v>3</v>
      </c>
      <c r="K336" t="s">
        <v>933</v>
      </c>
      <c r="L336" t="s">
        <v>934</v>
      </c>
    </row>
    <row r="337" spans="1:14" ht="14.5" x14ac:dyDescent="0.35">
      <c r="A337" t="s">
        <v>678</v>
      </c>
      <c r="B337" t="s">
        <v>229</v>
      </c>
      <c r="C337" t="s">
        <v>21</v>
      </c>
      <c r="D337" t="s">
        <v>153</v>
      </c>
      <c r="E337" t="s">
        <v>23</v>
      </c>
      <c r="F337">
        <v>45</v>
      </c>
      <c r="G337">
        <v>90390</v>
      </c>
      <c r="H337">
        <v>1.5</v>
      </c>
      <c r="I337">
        <v>2</v>
      </c>
      <c r="J337">
        <v>3</v>
      </c>
      <c r="K337" t="s">
        <v>935</v>
      </c>
      <c r="L337" t="s">
        <v>934</v>
      </c>
    </row>
    <row r="338" spans="1:14" ht="14.5" x14ac:dyDescent="0.35">
      <c r="A338" t="s">
        <v>679</v>
      </c>
      <c r="B338" t="s">
        <v>51</v>
      </c>
      <c r="C338" t="s">
        <v>159</v>
      </c>
      <c r="D338" t="s">
        <v>160</v>
      </c>
      <c r="E338" t="s">
        <v>23</v>
      </c>
      <c r="F338">
        <v>48</v>
      </c>
      <c r="G338">
        <v>102167</v>
      </c>
      <c r="H338">
        <v>4</v>
      </c>
      <c r="I338">
        <v>2</v>
      </c>
      <c r="J338">
        <v>5</v>
      </c>
      <c r="K338" t="s">
        <v>933</v>
      </c>
      <c r="L338" t="s">
        <v>936</v>
      </c>
      <c r="M338" t="s">
        <v>939</v>
      </c>
      <c r="N338" s="2">
        <v>45786</v>
      </c>
    </row>
    <row r="339" spans="1:14" ht="14.5" x14ac:dyDescent="0.35">
      <c r="A339" t="s">
        <v>680</v>
      </c>
      <c r="B339" t="s">
        <v>149</v>
      </c>
      <c r="C339" t="s">
        <v>27</v>
      </c>
      <c r="D339" t="s">
        <v>28</v>
      </c>
      <c r="E339" t="s">
        <v>32</v>
      </c>
      <c r="F339">
        <v>34</v>
      </c>
      <c r="G339">
        <v>90324</v>
      </c>
      <c r="H339">
        <v>1.4</v>
      </c>
      <c r="I339">
        <v>1</v>
      </c>
      <c r="J339">
        <v>2</v>
      </c>
      <c r="K339" t="s">
        <v>933</v>
      </c>
      <c r="L339" t="s">
        <v>934</v>
      </c>
    </row>
    <row r="340" spans="1:14" ht="14.5" x14ac:dyDescent="0.35">
      <c r="A340" t="s">
        <v>681</v>
      </c>
      <c r="B340" t="s">
        <v>682</v>
      </c>
      <c r="C340" t="s">
        <v>21</v>
      </c>
      <c r="D340" t="s">
        <v>163</v>
      </c>
      <c r="E340" t="s">
        <v>32</v>
      </c>
      <c r="F340">
        <v>32</v>
      </c>
      <c r="G340">
        <v>30052</v>
      </c>
      <c r="H340">
        <v>4.2</v>
      </c>
      <c r="I340">
        <v>5</v>
      </c>
      <c r="J340">
        <v>4</v>
      </c>
      <c r="K340" t="s">
        <v>933</v>
      </c>
      <c r="L340" t="s">
        <v>934</v>
      </c>
    </row>
    <row r="341" spans="1:14" ht="14.5" x14ac:dyDescent="0.35">
      <c r="A341" t="s">
        <v>683</v>
      </c>
      <c r="B341" t="s">
        <v>684</v>
      </c>
      <c r="C341" t="s">
        <v>159</v>
      </c>
      <c r="D341" t="s">
        <v>324</v>
      </c>
      <c r="E341" t="s">
        <v>32</v>
      </c>
      <c r="F341">
        <v>40</v>
      </c>
      <c r="G341">
        <v>101919</v>
      </c>
      <c r="H341">
        <v>5.9</v>
      </c>
      <c r="I341">
        <v>5</v>
      </c>
      <c r="J341">
        <v>4</v>
      </c>
      <c r="K341" t="s">
        <v>933</v>
      </c>
      <c r="L341" t="s">
        <v>934</v>
      </c>
    </row>
    <row r="342" spans="1:14" ht="14.5" x14ac:dyDescent="0.35">
      <c r="A342" t="s">
        <v>685</v>
      </c>
      <c r="B342" t="s">
        <v>404</v>
      </c>
      <c r="C342" t="s">
        <v>56</v>
      </c>
      <c r="D342" t="s">
        <v>57</v>
      </c>
      <c r="E342" t="s">
        <v>23</v>
      </c>
      <c r="F342">
        <v>29</v>
      </c>
      <c r="G342">
        <v>93639</v>
      </c>
      <c r="H342">
        <v>6.9</v>
      </c>
      <c r="I342">
        <v>3</v>
      </c>
      <c r="J342">
        <v>5</v>
      </c>
      <c r="K342" t="s">
        <v>935</v>
      </c>
      <c r="L342" t="s">
        <v>934</v>
      </c>
    </row>
    <row r="343" spans="1:14" ht="14.5" x14ac:dyDescent="0.35">
      <c r="A343" t="s">
        <v>686</v>
      </c>
      <c r="B343" t="s">
        <v>233</v>
      </c>
      <c r="C343" t="s">
        <v>52</v>
      </c>
      <c r="D343" t="s">
        <v>176</v>
      </c>
      <c r="E343" t="s">
        <v>23</v>
      </c>
      <c r="F343">
        <v>35</v>
      </c>
      <c r="G343">
        <v>72642</v>
      </c>
      <c r="H343">
        <v>6.9</v>
      </c>
      <c r="I343">
        <v>2</v>
      </c>
      <c r="J343">
        <v>3</v>
      </c>
      <c r="K343" t="s">
        <v>933</v>
      </c>
      <c r="L343" t="s">
        <v>934</v>
      </c>
    </row>
    <row r="344" spans="1:14" ht="14.5" x14ac:dyDescent="0.35">
      <c r="A344" t="s">
        <v>687</v>
      </c>
      <c r="B344" t="s">
        <v>205</v>
      </c>
      <c r="C344" t="s">
        <v>45</v>
      </c>
      <c r="D344" t="s">
        <v>239</v>
      </c>
      <c r="E344" t="s">
        <v>23</v>
      </c>
      <c r="F344">
        <v>22</v>
      </c>
      <c r="G344">
        <v>87054</v>
      </c>
      <c r="H344">
        <v>4.7</v>
      </c>
      <c r="I344">
        <v>3</v>
      </c>
      <c r="J344">
        <v>2</v>
      </c>
      <c r="K344" t="s">
        <v>933</v>
      </c>
      <c r="L344" t="s">
        <v>934</v>
      </c>
    </row>
    <row r="345" spans="1:14" ht="14.5" x14ac:dyDescent="0.35">
      <c r="A345" t="s">
        <v>688</v>
      </c>
      <c r="B345" t="s">
        <v>332</v>
      </c>
      <c r="C345" t="s">
        <v>40</v>
      </c>
      <c r="D345" t="s">
        <v>65</v>
      </c>
      <c r="E345" t="s">
        <v>23</v>
      </c>
      <c r="F345">
        <v>32</v>
      </c>
      <c r="G345">
        <v>114595</v>
      </c>
      <c r="H345">
        <v>1.2</v>
      </c>
      <c r="I345">
        <v>3</v>
      </c>
      <c r="J345">
        <v>2</v>
      </c>
      <c r="K345" t="s">
        <v>933</v>
      </c>
      <c r="L345" t="s">
        <v>934</v>
      </c>
    </row>
    <row r="346" spans="1:14" ht="14.5" x14ac:dyDescent="0.35">
      <c r="A346" t="s">
        <v>689</v>
      </c>
      <c r="B346" t="s">
        <v>316</v>
      </c>
      <c r="C346" t="s">
        <v>45</v>
      </c>
      <c r="D346" t="s">
        <v>46</v>
      </c>
      <c r="E346" t="s">
        <v>32</v>
      </c>
      <c r="F346">
        <v>25</v>
      </c>
      <c r="G346">
        <v>63123</v>
      </c>
      <c r="H346">
        <v>6.8</v>
      </c>
      <c r="I346">
        <v>1</v>
      </c>
      <c r="J346">
        <v>5</v>
      </c>
      <c r="K346" t="s">
        <v>933</v>
      </c>
      <c r="L346" t="s">
        <v>936</v>
      </c>
      <c r="M346" t="s">
        <v>943</v>
      </c>
      <c r="N346" s="2">
        <v>45604</v>
      </c>
    </row>
    <row r="347" spans="1:14" ht="14.5" x14ac:dyDescent="0.35">
      <c r="A347" t="s">
        <v>690</v>
      </c>
      <c r="B347" t="s">
        <v>691</v>
      </c>
      <c r="C347" t="s">
        <v>159</v>
      </c>
      <c r="D347" t="s">
        <v>324</v>
      </c>
      <c r="E347" t="s">
        <v>23</v>
      </c>
      <c r="F347">
        <v>44</v>
      </c>
      <c r="G347">
        <v>39995</v>
      </c>
      <c r="H347">
        <v>6.6</v>
      </c>
      <c r="I347">
        <v>5</v>
      </c>
      <c r="J347">
        <v>4</v>
      </c>
      <c r="K347" t="s">
        <v>933</v>
      </c>
      <c r="L347" t="s">
        <v>934</v>
      </c>
    </row>
    <row r="348" spans="1:14" ht="14.5" x14ac:dyDescent="0.35">
      <c r="A348" t="s">
        <v>692</v>
      </c>
      <c r="B348" t="s">
        <v>693</v>
      </c>
      <c r="C348" t="s">
        <v>108</v>
      </c>
      <c r="D348" t="s">
        <v>126</v>
      </c>
      <c r="E348" t="s">
        <v>23</v>
      </c>
      <c r="F348">
        <v>27</v>
      </c>
      <c r="G348">
        <v>39442</v>
      </c>
      <c r="H348">
        <v>6.3</v>
      </c>
      <c r="I348">
        <v>2</v>
      </c>
      <c r="J348">
        <v>1</v>
      </c>
      <c r="K348" t="s">
        <v>935</v>
      </c>
      <c r="L348" t="s">
        <v>936</v>
      </c>
      <c r="M348" t="s">
        <v>943</v>
      </c>
      <c r="N348" s="2">
        <v>45851</v>
      </c>
    </row>
    <row r="349" spans="1:14" ht="14.5" x14ac:dyDescent="0.35">
      <c r="A349" t="s">
        <v>694</v>
      </c>
      <c r="B349" t="s">
        <v>537</v>
      </c>
      <c r="C349" t="s">
        <v>108</v>
      </c>
      <c r="D349" t="s">
        <v>206</v>
      </c>
      <c r="E349" t="s">
        <v>32</v>
      </c>
      <c r="F349">
        <v>22</v>
      </c>
      <c r="G349">
        <v>74388</v>
      </c>
      <c r="H349">
        <v>6.7</v>
      </c>
      <c r="I349">
        <v>4</v>
      </c>
      <c r="J349">
        <v>2</v>
      </c>
      <c r="K349" t="s">
        <v>933</v>
      </c>
      <c r="L349" t="s">
        <v>934</v>
      </c>
    </row>
    <row r="350" spans="1:14" ht="14.5" x14ac:dyDescent="0.35">
      <c r="A350" t="s">
        <v>695</v>
      </c>
      <c r="B350" t="s">
        <v>332</v>
      </c>
      <c r="C350" t="s">
        <v>45</v>
      </c>
      <c r="D350" t="s">
        <v>46</v>
      </c>
      <c r="E350" t="s">
        <v>23</v>
      </c>
      <c r="F350">
        <v>21</v>
      </c>
      <c r="G350">
        <v>82238</v>
      </c>
      <c r="H350">
        <v>4.5</v>
      </c>
      <c r="I350">
        <v>2</v>
      </c>
      <c r="J350">
        <v>1</v>
      </c>
      <c r="K350" t="s">
        <v>933</v>
      </c>
      <c r="L350" t="s">
        <v>934</v>
      </c>
    </row>
    <row r="351" spans="1:14" ht="14.5" x14ac:dyDescent="0.35">
      <c r="A351" t="s">
        <v>696</v>
      </c>
      <c r="B351" t="s">
        <v>697</v>
      </c>
      <c r="C351" t="s">
        <v>27</v>
      </c>
      <c r="D351" t="s">
        <v>87</v>
      </c>
      <c r="E351" t="s">
        <v>32</v>
      </c>
      <c r="F351">
        <v>45</v>
      </c>
      <c r="G351">
        <v>46198</v>
      </c>
      <c r="H351">
        <v>5.8</v>
      </c>
      <c r="I351">
        <v>2</v>
      </c>
      <c r="J351">
        <v>4</v>
      </c>
      <c r="K351" t="s">
        <v>935</v>
      </c>
      <c r="L351" t="s">
        <v>934</v>
      </c>
    </row>
    <row r="352" spans="1:14" ht="14.5" x14ac:dyDescent="0.35">
      <c r="A352" t="s">
        <v>698</v>
      </c>
      <c r="B352" t="s">
        <v>699</v>
      </c>
      <c r="C352" t="s">
        <v>36</v>
      </c>
      <c r="D352" t="s">
        <v>84</v>
      </c>
      <c r="E352" t="s">
        <v>32</v>
      </c>
      <c r="F352">
        <v>25</v>
      </c>
      <c r="G352">
        <v>84973</v>
      </c>
      <c r="H352">
        <v>5.9</v>
      </c>
      <c r="I352">
        <v>1</v>
      </c>
      <c r="J352">
        <v>5</v>
      </c>
      <c r="K352" t="s">
        <v>935</v>
      </c>
      <c r="L352" t="s">
        <v>934</v>
      </c>
    </row>
    <row r="353" spans="1:14" ht="14.5" x14ac:dyDescent="0.35">
      <c r="A353" t="s">
        <v>700</v>
      </c>
      <c r="B353" t="s">
        <v>701</v>
      </c>
      <c r="C353" t="s">
        <v>36</v>
      </c>
      <c r="D353" t="s">
        <v>84</v>
      </c>
      <c r="E353" t="s">
        <v>32</v>
      </c>
      <c r="F353">
        <v>44</v>
      </c>
      <c r="G353">
        <v>60321</v>
      </c>
      <c r="H353">
        <v>4.9000000000000004</v>
      </c>
      <c r="I353">
        <v>5</v>
      </c>
      <c r="J353">
        <v>5</v>
      </c>
      <c r="K353" t="s">
        <v>933</v>
      </c>
      <c r="L353" t="s">
        <v>936</v>
      </c>
      <c r="M353" t="s">
        <v>944</v>
      </c>
      <c r="N353" s="2">
        <v>45768</v>
      </c>
    </row>
    <row r="354" spans="1:14" ht="14.5" x14ac:dyDescent="0.35">
      <c r="A354" t="s">
        <v>702</v>
      </c>
      <c r="B354" t="s">
        <v>703</v>
      </c>
      <c r="C354" t="s">
        <v>45</v>
      </c>
      <c r="D354" t="s">
        <v>234</v>
      </c>
      <c r="E354" t="s">
        <v>23</v>
      </c>
      <c r="F354">
        <v>27</v>
      </c>
      <c r="G354">
        <v>67932</v>
      </c>
      <c r="H354">
        <v>6.2</v>
      </c>
      <c r="I354">
        <v>5</v>
      </c>
      <c r="J354">
        <v>3</v>
      </c>
      <c r="K354" t="s">
        <v>933</v>
      </c>
      <c r="L354" t="s">
        <v>936</v>
      </c>
      <c r="M354" t="s">
        <v>942</v>
      </c>
      <c r="N354" s="2">
        <v>45798</v>
      </c>
    </row>
    <row r="355" spans="1:14" ht="14.5" x14ac:dyDescent="0.35">
      <c r="A355" t="s">
        <v>704</v>
      </c>
      <c r="B355" t="s">
        <v>705</v>
      </c>
      <c r="C355" t="s">
        <v>40</v>
      </c>
      <c r="D355" t="s">
        <v>65</v>
      </c>
      <c r="E355" t="s">
        <v>23</v>
      </c>
      <c r="F355">
        <v>49</v>
      </c>
      <c r="G355">
        <v>84441</v>
      </c>
      <c r="H355">
        <v>4</v>
      </c>
      <c r="I355">
        <v>2</v>
      </c>
      <c r="J355">
        <v>3</v>
      </c>
      <c r="K355" t="s">
        <v>933</v>
      </c>
      <c r="L355" t="s">
        <v>936</v>
      </c>
      <c r="M355" t="s">
        <v>942</v>
      </c>
      <c r="N355" s="2">
        <v>45764</v>
      </c>
    </row>
    <row r="356" spans="1:14" ht="14.5" x14ac:dyDescent="0.35">
      <c r="A356" t="s">
        <v>706</v>
      </c>
      <c r="B356" t="s">
        <v>569</v>
      </c>
      <c r="C356" t="s">
        <v>159</v>
      </c>
      <c r="D356" t="s">
        <v>269</v>
      </c>
      <c r="E356" t="s">
        <v>23</v>
      </c>
      <c r="F356">
        <v>33</v>
      </c>
      <c r="G356">
        <v>69180</v>
      </c>
      <c r="H356">
        <v>2.4</v>
      </c>
      <c r="I356">
        <v>5</v>
      </c>
      <c r="J356">
        <v>4</v>
      </c>
      <c r="K356" t="s">
        <v>933</v>
      </c>
      <c r="L356" t="s">
        <v>934</v>
      </c>
    </row>
    <row r="357" spans="1:14" ht="14.5" x14ac:dyDescent="0.35">
      <c r="A357" t="s">
        <v>707</v>
      </c>
      <c r="B357" t="s">
        <v>123</v>
      </c>
      <c r="C357" t="s">
        <v>40</v>
      </c>
      <c r="D357" t="s">
        <v>293</v>
      </c>
      <c r="E357" t="s">
        <v>23</v>
      </c>
      <c r="F357">
        <v>57</v>
      </c>
      <c r="G357">
        <v>70714</v>
      </c>
      <c r="H357">
        <v>5</v>
      </c>
      <c r="I357">
        <v>1</v>
      </c>
      <c r="J357">
        <v>4</v>
      </c>
      <c r="K357" t="s">
        <v>933</v>
      </c>
      <c r="L357" t="s">
        <v>934</v>
      </c>
    </row>
    <row r="358" spans="1:14" ht="14.5" x14ac:dyDescent="0.35">
      <c r="A358" t="s">
        <v>708</v>
      </c>
      <c r="B358" t="s">
        <v>346</v>
      </c>
      <c r="C358" t="s">
        <v>56</v>
      </c>
      <c r="D358" t="s">
        <v>57</v>
      </c>
      <c r="E358" t="s">
        <v>32</v>
      </c>
      <c r="F358">
        <v>57</v>
      </c>
      <c r="G358">
        <v>105624</v>
      </c>
      <c r="H358">
        <v>5.5</v>
      </c>
      <c r="I358">
        <v>1</v>
      </c>
      <c r="J358">
        <v>2</v>
      </c>
      <c r="K358" t="s">
        <v>935</v>
      </c>
      <c r="L358" t="s">
        <v>934</v>
      </c>
    </row>
    <row r="359" spans="1:14" ht="14.5" x14ac:dyDescent="0.35">
      <c r="A359" t="s">
        <v>709</v>
      </c>
      <c r="B359" t="s">
        <v>273</v>
      </c>
      <c r="C359" t="s">
        <v>27</v>
      </c>
      <c r="D359" t="s">
        <v>28</v>
      </c>
      <c r="E359" t="s">
        <v>23</v>
      </c>
      <c r="F359">
        <v>34</v>
      </c>
      <c r="G359">
        <v>66185</v>
      </c>
      <c r="H359">
        <v>2.8</v>
      </c>
      <c r="I359">
        <v>5</v>
      </c>
      <c r="J359">
        <v>4</v>
      </c>
      <c r="K359" t="s">
        <v>933</v>
      </c>
      <c r="L359" t="s">
        <v>934</v>
      </c>
    </row>
    <row r="360" spans="1:14" ht="14.5" x14ac:dyDescent="0.35">
      <c r="A360" t="s">
        <v>710</v>
      </c>
      <c r="B360" t="s">
        <v>327</v>
      </c>
      <c r="C360" t="s">
        <v>56</v>
      </c>
      <c r="D360" t="s">
        <v>217</v>
      </c>
      <c r="E360" t="s">
        <v>32</v>
      </c>
      <c r="F360">
        <v>40</v>
      </c>
      <c r="G360">
        <v>61119</v>
      </c>
      <c r="H360">
        <v>5</v>
      </c>
      <c r="I360">
        <v>4</v>
      </c>
      <c r="J360">
        <v>2</v>
      </c>
      <c r="K360" t="s">
        <v>933</v>
      </c>
      <c r="L360" t="s">
        <v>934</v>
      </c>
    </row>
    <row r="361" spans="1:14" ht="14.5" x14ac:dyDescent="0.35">
      <c r="A361" t="s">
        <v>711</v>
      </c>
      <c r="B361" t="s">
        <v>712</v>
      </c>
      <c r="C361" t="s">
        <v>56</v>
      </c>
      <c r="D361" t="s">
        <v>217</v>
      </c>
      <c r="E361" t="s">
        <v>32</v>
      </c>
      <c r="F361">
        <v>49</v>
      </c>
      <c r="G361">
        <v>90814</v>
      </c>
      <c r="H361">
        <v>1</v>
      </c>
      <c r="I361">
        <v>3</v>
      </c>
      <c r="J361">
        <v>3</v>
      </c>
      <c r="K361" t="s">
        <v>935</v>
      </c>
      <c r="L361" t="s">
        <v>934</v>
      </c>
    </row>
    <row r="362" spans="1:14" ht="14.5" x14ac:dyDescent="0.35">
      <c r="A362" t="s">
        <v>713</v>
      </c>
      <c r="B362" t="s">
        <v>714</v>
      </c>
      <c r="C362" t="s">
        <v>27</v>
      </c>
      <c r="D362" t="s">
        <v>76</v>
      </c>
      <c r="E362" t="s">
        <v>32</v>
      </c>
      <c r="F362">
        <v>44</v>
      </c>
      <c r="G362">
        <v>105833</v>
      </c>
      <c r="H362">
        <v>1.7</v>
      </c>
      <c r="I362">
        <v>1</v>
      </c>
      <c r="J362">
        <v>4</v>
      </c>
      <c r="K362" t="s">
        <v>933</v>
      </c>
      <c r="L362" t="s">
        <v>934</v>
      </c>
    </row>
    <row r="363" spans="1:14" ht="14.5" x14ac:dyDescent="0.35">
      <c r="A363" t="s">
        <v>715</v>
      </c>
      <c r="B363" t="s">
        <v>712</v>
      </c>
      <c r="C363" t="s">
        <v>21</v>
      </c>
      <c r="D363" t="s">
        <v>133</v>
      </c>
      <c r="E363" t="s">
        <v>23</v>
      </c>
      <c r="F363">
        <v>31</v>
      </c>
      <c r="G363">
        <v>33806</v>
      </c>
      <c r="H363">
        <v>0.9</v>
      </c>
      <c r="I363">
        <v>5</v>
      </c>
      <c r="J363">
        <v>1</v>
      </c>
      <c r="K363" t="s">
        <v>935</v>
      </c>
      <c r="L363" t="s">
        <v>934</v>
      </c>
    </row>
    <row r="364" spans="1:14" ht="14.5" x14ac:dyDescent="0.35">
      <c r="A364" t="s">
        <v>716</v>
      </c>
      <c r="B364" t="s">
        <v>717</v>
      </c>
      <c r="C364" t="s">
        <v>40</v>
      </c>
      <c r="D364" t="s">
        <v>65</v>
      </c>
      <c r="E364" t="s">
        <v>32</v>
      </c>
      <c r="F364">
        <v>21</v>
      </c>
      <c r="G364">
        <v>61913</v>
      </c>
      <c r="H364">
        <v>6.6</v>
      </c>
      <c r="I364">
        <v>4</v>
      </c>
      <c r="J364">
        <v>3</v>
      </c>
      <c r="K364" t="s">
        <v>935</v>
      </c>
      <c r="L364" t="s">
        <v>934</v>
      </c>
    </row>
    <row r="365" spans="1:14" ht="14.5" x14ac:dyDescent="0.35">
      <c r="A365" t="s">
        <v>718</v>
      </c>
      <c r="B365" t="s">
        <v>442</v>
      </c>
      <c r="C365" t="s">
        <v>27</v>
      </c>
      <c r="D365" t="s">
        <v>87</v>
      </c>
      <c r="E365" t="s">
        <v>23</v>
      </c>
      <c r="F365">
        <v>44</v>
      </c>
      <c r="G365">
        <v>88694</v>
      </c>
      <c r="H365">
        <v>3.4</v>
      </c>
      <c r="I365">
        <v>1</v>
      </c>
      <c r="J365">
        <v>2</v>
      </c>
      <c r="K365" t="s">
        <v>933</v>
      </c>
      <c r="L365" t="s">
        <v>934</v>
      </c>
    </row>
    <row r="366" spans="1:14" ht="14.5" x14ac:dyDescent="0.35">
      <c r="A366" t="s">
        <v>719</v>
      </c>
      <c r="B366" t="s">
        <v>720</v>
      </c>
      <c r="C366" t="s">
        <v>27</v>
      </c>
      <c r="D366" t="s">
        <v>87</v>
      </c>
      <c r="E366" t="s">
        <v>23</v>
      </c>
      <c r="F366">
        <v>22</v>
      </c>
      <c r="G366">
        <v>41703</v>
      </c>
      <c r="H366">
        <v>2.2999999999999998</v>
      </c>
      <c r="I366">
        <v>3</v>
      </c>
      <c r="J366">
        <v>2</v>
      </c>
      <c r="K366" t="s">
        <v>933</v>
      </c>
      <c r="L366" t="s">
        <v>934</v>
      </c>
    </row>
    <row r="367" spans="1:14" ht="14.5" x14ac:dyDescent="0.35">
      <c r="A367" t="s">
        <v>721</v>
      </c>
      <c r="B367" t="s">
        <v>722</v>
      </c>
      <c r="C367" t="s">
        <v>21</v>
      </c>
      <c r="D367" t="s">
        <v>22</v>
      </c>
      <c r="E367" t="s">
        <v>32</v>
      </c>
      <c r="F367">
        <v>43</v>
      </c>
      <c r="G367">
        <v>72966</v>
      </c>
      <c r="H367">
        <v>4.2</v>
      </c>
      <c r="I367">
        <v>1</v>
      </c>
      <c r="J367">
        <v>4</v>
      </c>
      <c r="K367" t="s">
        <v>933</v>
      </c>
      <c r="L367" t="s">
        <v>934</v>
      </c>
    </row>
    <row r="368" spans="1:14" ht="14.5" x14ac:dyDescent="0.35">
      <c r="A368" t="s">
        <v>723</v>
      </c>
      <c r="B368" t="s">
        <v>724</v>
      </c>
      <c r="C368" t="s">
        <v>27</v>
      </c>
      <c r="D368" t="s">
        <v>76</v>
      </c>
      <c r="E368" t="s">
        <v>23</v>
      </c>
      <c r="F368">
        <v>51</v>
      </c>
      <c r="G368">
        <v>85431</v>
      </c>
      <c r="H368">
        <v>6.7</v>
      </c>
      <c r="I368">
        <v>2</v>
      </c>
      <c r="J368">
        <v>2</v>
      </c>
      <c r="K368" t="s">
        <v>935</v>
      </c>
      <c r="L368" t="s">
        <v>934</v>
      </c>
    </row>
    <row r="369" spans="1:14" ht="14.5" x14ac:dyDescent="0.35">
      <c r="A369" t="s">
        <v>725</v>
      </c>
      <c r="B369" t="s">
        <v>726</v>
      </c>
      <c r="C369" t="s">
        <v>40</v>
      </c>
      <c r="D369" t="s">
        <v>41</v>
      </c>
      <c r="E369" t="s">
        <v>23</v>
      </c>
      <c r="F369">
        <v>23</v>
      </c>
      <c r="G369">
        <v>30960</v>
      </c>
      <c r="H369">
        <v>6.5</v>
      </c>
      <c r="I369">
        <v>2</v>
      </c>
      <c r="J369">
        <v>1</v>
      </c>
      <c r="K369" t="s">
        <v>935</v>
      </c>
      <c r="L369" t="s">
        <v>934</v>
      </c>
    </row>
    <row r="370" spans="1:14" ht="14.5" x14ac:dyDescent="0.35">
      <c r="A370" t="s">
        <v>727</v>
      </c>
      <c r="B370" t="s">
        <v>621</v>
      </c>
      <c r="C370" t="s">
        <v>21</v>
      </c>
      <c r="D370" t="s">
        <v>133</v>
      </c>
      <c r="E370" t="s">
        <v>32</v>
      </c>
      <c r="F370">
        <v>54</v>
      </c>
      <c r="G370">
        <v>100339</v>
      </c>
      <c r="H370">
        <v>5.8</v>
      </c>
      <c r="I370">
        <v>4</v>
      </c>
      <c r="J370">
        <v>4</v>
      </c>
      <c r="K370" t="s">
        <v>933</v>
      </c>
      <c r="L370" t="s">
        <v>934</v>
      </c>
    </row>
    <row r="371" spans="1:14" ht="14.5" x14ac:dyDescent="0.35">
      <c r="A371" t="s">
        <v>728</v>
      </c>
      <c r="B371" t="s">
        <v>729</v>
      </c>
      <c r="C371" t="s">
        <v>27</v>
      </c>
      <c r="D371" t="s">
        <v>76</v>
      </c>
      <c r="E371" t="s">
        <v>23</v>
      </c>
      <c r="F371">
        <v>35</v>
      </c>
      <c r="G371">
        <v>110543</v>
      </c>
      <c r="H371">
        <v>3.2</v>
      </c>
      <c r="I371">
        <v>1</v>
      </c>
      <c r="J371">
        <v>2</v>
      </c>
      <c r="K371" t="s">
        <v>933</v>
      </c>
      <c r="L371" t="s">
        <v>934</v>
      </c>
    </row>
    <row r="372" spans="1:14" ht="14.5" x14ac:dyDescent="0.35">
      <c r="A372" t="s">
        <v>730</v>
      </c>
      <c r="B372" t="s">
        <v>184</v>
      </c>
      <c r="C372" t="s">
        <v>56</v>
      </c>
      <c r="D372" t="s">
        <v>217</v>
      </c>
      <c r="E372" t="s">
        <v>32</v>
      </c>
      <c r="F372">
        <v>33</v>
      </c>
      <c r="G372">
        <v>105621</v>
      </c>
      <c r="H372">
        <v>2.7</v>
      </c>
      <c r="I372">
        <v>3</v>
      </c>
      <c r="J372">
        <v>3</v>
      </c>
      <c r="K372" t="s">
        <v>933</v>
      </c>
      <c r="L372" t="s">
        <v>934</v>
      </c>
    </row>
    <row r="373" spans="1:14" ht="14.5" x14ac:dyDescent="0.35">
      <c r="A373" t="s">
        <v>731</v>
      </c>
      <c r="B373" t="s">
        <v>732</v>
      </c>
      <c r="C373" t="s">
        <v>52</v>
      </c>
      <c r="D373" t="s">
        <v>53</v>
      </c>
      <c r="E373" t="s">
        <v>32</v>
      </c>
      <c r="F373">
        <v>34</v>
      </c>
      <c r="G373">
        <v>120243</v>
      </c>
      <c r="H373">
        <v>4.5999999999999996</v>
      </c>
      <c r="I373">
        <v>2</v>
      </c>
      <c r="J373">
        <v>4</v>
      </c>
      <c r="K373" t="s">
        <v>935</v>
      </c>
      <c r="L373" t="s">
        <v>936</v>
      </c>
      <c r="M373" t="s">
        <v>939</v>
      </c>
      <c r="N373" s="2">
        <v>45768</v>
      </c>
    </row>
    <row r="374" spans="1:14" ht="14.5" x14ac:dyDescent="0.35">
      <c r="A374" t="s">
        <v>733</v>
      </c>
      <c r="B374" t="s">
        <v>734</v>
      </c>
      <c r="C374" t="s">
        <v>45</v>
      </c>
      <c r="D374" t="s">
        <v>296</v>
      </c>
      <c r="E374" t="s">
        <v>32</v>
      </c>
      <c r="F374">
        <v>44</v>
      </c>
      <c r="G374">
        <v>53830</v>
      </c>
      <c r="H374">
        <v>4.0999999999999996</v>
      </c>
      <c r="I374">
        <v>5</v>
      </c>
      <c r="J374">
        <v>1</v>
      </c>
      <c r="K374" t="s">
        <v>933</v>
      </c>
      <c r="L374" t="s">
        <v>934</v>
      </c>
    </row>
    <row r="375" spans="1:14" ht="14.5" x14ac:dyDescent="0.35">
      <c r="A375" t="s">
        <v>735</v>
      </c>
      <c r="B375" t="s">
        <v>139</v>
      </c>
      <c r="C375" t="s">
        <v>36</v>
      </c>
      <c r="D375" t="s">
        <v>84</v>
      </c>
      <c r="E375" t="s">
        <v>23</v>
      </c>
      <c r="F375">
        <v>45</v>
      </c>
      <c r="G375">
        <v>79451</v>
      </c>
      <c r="H375">
        <v>0.9</v>
      </c>
      <c r="I375">
        <v>3</v>
      </c>
      <c r="J375">
        <v>3</v>
      </c>
      <c r="K375" t="s">
        <v>935</v>
      </c>
      <c r="L375" t="s">
        <v>934</v>
      </c>
    </row>
    <row r="376" spans="1:14" ht="14.5" x14ac:dyDescent="0.35">
      <c r="A376" t="s">
        <v>736</v>
      </c>
      <c r="B376" t="s">
        <v>737</v>
      </c>
      <c r="C376" t="s">
        <v>40</v>
      </c>
      <c r="D376" t="s">
        <v>293</v>
      </c>
      <c r="E376" t="s">
        <v>23</v>
      </c>
      <c r="F376">
        <v>32</v>
      </c>
      <c r="G376">
        <v>108541</v>
      </c>
      <c r="H376">
        <v>4.4000000000000004</v>
      </c>
      <c r="I376">
        <v>1</v>
      </c>
      <c r="J376">
        <v>2</v>
      </c>
      <c r="K376" t="s">
        <v>933</v>
      </c>
      <c r="L376" t="s">
        <v>936</v>
      </c>
      <c r="M376" t="s">
        <v>937</v>
      </c>
      <c r="N376" s="2">
        <v>45975</v>
      </c>
    </row>
    <row r="377" spans="1:14" ht="14.5" x14ac:dyDescent="0.35">
      <c r="A377" t="s">
        <v>738</v>
      </c>
      <c r="B377" t="s">
        <v>739</v>
      </c>
      <c r="C377" t="s">
        <v>159</v>
      </c>
      <c r="D377" t="s">
        <v>269</v>
      </c>
      <c r="E377" t="s">
        <v>32</v>
      </c>
      <c r="F377">
        <v>36</v>
      </c>
      <c r="G377">
        <v>43328</v>
      </c>
      <c r="H377">
        <v>4.3</v>
      </c>
      <c r="I377">
        <v>3</v>
      </c>
      <c r="J377">
        <v>5</v>
      </c>
      <c r="K377" t="s">
        <v>933</v>
      </c>
      <c r="L377" t="s">
        <v>934</v>
      </c>
    </row>
    <row r="378" spans="1:14" ht="14.5" x14ac:dyDescent="0.35">
      <c r="A378" t="s">
        <v>740</v>
      </c>
      <c r="B378" t="s">
        <v>712</v>
      </c>
      <c r="C378" t="s">
        <v>159</v>
      </c>
      <c r="D378" t="s">
        <v>187</v>
      </c>
      <c r="E378" t="s">
        <v>23</v>
      </c>
      <c r="F378">
        <v>47</v>
      </c>
      <c r="G378">
        <v>46070</v>
      </c>
      <c r="H378">
        <v>1.1000000000000001</v>
      </c>
      <c r="I378">
        <v>4</v>
      </c>
      <c r="J378">
        <v>5</v>
      </c>
      <c r="K378" t="s">
        <v>935</v>
      </c>
      <c r="L378" t="s">
        <v>934</v>
      </c>
    </row>
    <row r="379" spans="1:14" ht="14.5" x14ac:dyDescent="0.35">
      <c r="A379" t="s">
        <v>741</v>
      </c>
      <c r="B379" t="s">
        <v>742</v>
      </c>
      <c r="C379" t="s">
        <v>56</v>
      </c>
      <c r="D379" t="s">
        <v>112</v>
      </c>
      <c r="E379" t="s">
        <v>23</v>
      </c>
      <c r="F379">
        <v>55</v>
      </c>
      <c r="G379">
        <v>100733</v>
      </c>
      <c r="H379">
        <v>5.8</v>
      </c>
      <c r="I379">
        <v>3</v>
      </c>
      <c r="J379">
        <v>5</v>
      </c>
      <c r="K379" t="s">
        <v>935</v>
      </c>
      <c r="L379" t="s">
        <v>934</v>
      </c>
    </row>
    <row r="380" spans="1:14" ht="14.5" x14ac:dyDescent="0.35">
      <c r="A380" t="s">
        <v>743</v>
      </c>
      <c r="B380" t="s">
        <v>643</v>
      </c>
      <c r="C380" t="s">
        <v>36</v>
      </c>
      <c r="D380" t="s">
        <v>93</v>
      </c>
      <c r="E380" t="s">
        <v>32</v>
      </c>
      <c r="F380">
        <v>41</v>
      </c>
      <c r="G380">
        <v>109187</v>
      </c>
      <c r="H380">
        <v>2.7</v>
      </c>
      <c r="I380">
        <v>5</v>
      </c>
      <c r="J380">
        <v>4</v>
      </c>
      <c r="K380" t="s">
        <v>935</v>
      </c>
      <c r="L380" t="s">
        <v>934</v>
      </c>
    </row>
    <row r="381" spans="1:14" ht="14.5" x14ac:dyDescent="0.35">
      <c r="A381" t="s">
        <v>744</v>
      </c>
      <c r="B381" t="s">
        <v>745</v>
      </c>
      <c r="C381" t="s">
        <v>52</v>
      </c>
      <c r="D381" t="s">
        <v>224</v>
      </c>
      <c r="E381" t="s">
        <v>32</v>
      </c>
      <c r="F381">
        <v>33</v>
      </c>
      <c r="G381">
        <v>101607</v>
      </c>
      <c r="H381">
        <v>3.4</v>
      </c>
      <c r="I381">
        <v>4</v>
      </c>
      <c r="J381">
        <v>4</v>
      </c>
      <c r="K381" t="s">
        <v>933</v>
      </c>
      <c r="L381" t="s">
        <v>934</v>
      </c>
    </row>
    <row r="382" spans="1:14" ht="14.5" x14ac:dyDescent="0.35">
      <c r="A382" t="s">
        <v>746</v>
      </c>
      <c r="B382" t="s">
        <v>747</v>
      </c>
      <c r="C382" t="s">
        <v>56</v>
      </c>
      <c r="D382" t="s">
        <v>217</v>
      </c>
      <c r="E382" t="s">
        <v>23</v>
      </c>
      <c r="F382">
        <v>49</v>
      </c>
      <c r="G382">
        <v>49922</v>
      </c>
      <c r="H382">
        <v>2.2999999999999998</v>
      </c>
      <c r="I382">
        <v>5</v>
      </c>
      <c r="J382">
        <v>5</v>
      </c>
      <c r="K382" t="s">
        <v>935</v>
      </c>
      <c r="L382" t="s">
        <v>934</v>
      </c>
    </row>
    <row r="383" spans="1:14" ht="14.5" x14ac:dyDescent="0.35">
      <c r="A383" t="s">
        <v>748</v>
      </c>
      <c r="B383" t="s">
        <v>585</v>
      </c>
      <c r="C383" t="s">
        <v>52</v>
      </c>
      <c r="D383" t="s">
        <v>195</v>
      </c>
      <c r="E383" t="s">
        <v>23</v>
      </c>
      <c r="F383">
        <v>23</v>
      </c>
      <c r="G383">
        <v>57470</v>
      </c>
      <c r="H383">
        <v>4.7</v>
      </c>
      <c r="I383">
        <v>3</v>
      </c>
      <c r="J383">
        <v>1</v>
      </c>
      <c r="K383" t="s">
        <v>933</v>
      </c>
      <c r="L383" t="s">
        <v>934</v>
      </c>
    </row>
    <row r="384" spans="1:14" ht="14.5" x14ac:dyDescent="0.35">
      <c r="A384" t="s">
        <v>749</v>
      </c>
      <c r="B384" t="s">
        <v>139</v>
      </c>
      <c r="C384" t="s">
        <v>159</v>
      </c>
      <c r="D384" t="s">
        <v>324</v>
      </c>
      <c r="E384" t="s">
        <v>23</v>
      </c>
      <c r="F384">
        <v>56</v>
      </c>
      <c r="G384">
        <v>42838</v>
      </c>
      <c r="H384">
        <v>2</v>
      </c>
      <c r="I384">
        <v>5</v>
      </c>
      <c r="J384">
        <v>1</v>
      </c>
      <c r="K384" t="s">
        <v>933</v>
      </c>
      <c r="L384" t="s">
        <v>934</v>
      </c>
    </row>
    <row r="385" spans="1:14" ht="14.5" x14ac:dyDescent="0.35">
      <c r="A385" t="s">
        <v>750</v>
      </c>
      <c r="B385" t="s">
        <v>751</v>
      </c>
      <c r="C385" t="s">
        <v>36</v>
      </c>
      <c r="D385" t="s">
        <v>62</v>
      </c>
      <c r="E385" t="s">
        <v>23</v>
      </c>
      <c r="F385">
        <v>55</v>
      </c>
      <c r="G385">
        <v>122238</v>
      </c>
      <c r="H385">
        <v>7.3</v>
      </c>
      <c r="I385">
        <v>4</v>
      </c>
      <c r="J385">
        <v>3</v>
      </c>
      <c r="K385" t="s">
        <v>933</v>
      </c>
      <c r="L385" t="s">
        <v>934</v>
      </c>
    </row>
    <row r="386" spans="1:14" ht="14.5" x14ac:dyDescent="0.35">
      <c r="A386" t="s">
        <v>752</v>
      </c>
      <c r="B386" t="s">
        <v>344</v>
      </c>
      <c r="C386" t="s">
        <v>69</v>
      </c>
      <c r="D386" t="s">
        <v>70</v>
      </c>
      <c r="E386" t="s">
        <v>32</v>
      </c>
      <c r="F386">
        <v>36</v>
      </c>
      <c r="G386">
        <v>32224</v>
      </c>
      <c r="H386">
        <v>4.4000000000000004</v>
      </c>
      <c r="I386">
        <v>3</v>
      </c>
      <c r="J386">
        <v>1</v>
      </c>
      <c r="K386" t="s">
        <v>933</v>
      </c>
      <c r="L386" t="s">
        <v>934</v>
      </c>
    </row>
    <row r="387" spans="1:14" ht="14.5" x14ac:dyDescent="0.35">
      <c r="A387" t="s">
        <v>753</v>
      </c>
      <c r="B387" t="s">
        <v>574</v>
      </c>
      <c r="C387" t="s">
        <v>40</v>
      </c>
      <c r="D387" t="s">
        <v>41</v>
      </c>
      <c r="E387" t="s">
        <v>23</v>
      </c>
      <c r="F387">
        <v>28</v>
      </c>
      <c r="G387">
        <v>55509</v>
      </c>
      <c r="H387">
        <v>5.0999999999999996</v>
      </c>
      <c r="I387">
        <v>5</v>
      </c>
      <c r="J387">
        <v>2</v>
      </c>
      <c r="K387" t="s">
        <v>935</v>
      </c>
      <c r="L387" t="s">
        <v>934</v>
      </c>
    </row>
    <row r="388" spans="1:14" ht="14.5" x14ac:dyDescent="0.35">
      <c r="A388" t="s">
        <v>754</v>
      </c>
      <c r="B388" t="s">
        <v>338</v>
      </c>
      <c r="C388" t="s">
        <v>40</v>
      </c>
      <c r="D388" t="s">
        <v>65</v>
      </c>
      <c r="E388" t="s">
        <v>32</v>
      </c>
      <c r="F388">
        <v>29</v>
      </c>
      <c r="G388">
        <v>55124</v>
      </c>
      <c r="H388">
        <v>5.4</v>
      </c>
      <c r="I388">
        <v>2</v>
      </c>
      <c r="J388">
        <v>2</v>
      </c>
      <c r="K388" t="s">
        <v>935</v>
      </c>
      <c r="L388" t="s">
        <v>934</v>
      </c>
    </row>
    <row r="389" spans="1:14" ht="14.5" x14ac:dyDescent="0.35">
      <c r="A389" t="s">
        <v>755</v>
      </c>
      <c r="B389" t="s">
        <v>288</v>
      </c>
      <c r="C389" t="s">
        <v>45</v>
      </c>
      <c r="D389" t="s">
        <v>46</v>
      </c>
      <c r="E389" t="s">
        <v>23</v>
      </c>
      <c r="F389">
        <v>55</v>
      </c>
      <c r="G389">
        <v>70421</v>
      </c>
      <c r="H389">
        <v>5.9</v>
      </c>
      <c r="I389">
        <v>3</v>
      </c>
      <c r="J389">
        <v>5</v>
      </c>
      <c r="K389" t="s">
        <v>935</v>
      </c>
      <c r="L389" t="s">
        <v>934</v>
      </c>
    </row>
    <row r="390" spans="1:14" ht="14.5" x14ac:dyDescent="0.35">
      <c r="A390" t="s">
        <v>756</v>
      </c>
      <c r="B390" t="s">
        <v>757</v>
      </c>
      <c r="C390" t="s">
        <v>36</v>
      </c>
      <c r="D390" t="s">
        <v>62</v>
      </c>
      <c r="E390" t="s">
        <v>23</v>
      </c>
      <c r="F390">
        <v>53</v>
      </c>
      <c r="G390">
        <v>45771</v>
      </c>
      <c r="H390">
        <v>6.7</v>
      </c>
      <c r="I390">
        <v>3</v>
      </c>
      <c r="J390">
        <v>4</v>
      </c>
      <c r="K390" t="s">
        <v>933</v>
      </c>
      <c r="L390" t="s">
        <v>934</v>
      </c>
    </row>
    <row r="391" spans="1:14" ht="14.5" x14ac:dyDescent="0.35">
      <c r="A391" t="s">
        <v>758</v>
      </c>
      <c r="B391" t="s">
        <v>759</v>
      </c>
      <c r="C391" t="s">
        <v>52</v>
      </c>
      <c r="D391" t="s">
        <v>498</v>
      </c>
      <c r="E391" t="s">
        <v>32</v>
      </c>
      <c r="F391">
        <v>29</v>
      </c>
      <c r="G391">
        <v>47168</v>
      </c>
      <c r="H391">
        <v>4.9000000000000004</v>
      </c>
      <c r="I391">
        <v>1</v>
      </c>
      <c r="J391">
        <v>2</v>
      </c>
      <c r="K391" t="s">
        <v>935</v>
      </c>
      <c r="L391" t="s">
        <v>934</v>
      </c>
    </row>
    <row r="392" spans="1:14" ht="14.5" x14ac:dyDescent="0.35">
      <c r="A392" t="s">
        <v>760</v>
      </c>
      <c r="B392" t="s">
        <v>699</v>
      </c>
      <c r="C392" t="s">
        <v>69</v>
      </c>
      <c r="D392" t="s">
        <v>70</v>
      </c>
      <c r="E392" t="s">
        <v>23</v>
      </c>
      <c r="F392">
        <v>30</v>
      </c>
      <c r="G392">
        <v>110890</v>
      </c>
      <c r="H392">
        <v>1.3</v>
      </c>
      <c r="I392">
        <v>4</v>
      </c>
      <c r="J392">
        <v>2</v>
      </c>
      <c r="K392" t="s">
        <v>933</v>
      </c>
      <c r="L392" t="s">
        <v>934</v>
      </c>
    </row>
    <row r="393" spans="1:14" ht="14.5" x14ac:dyDescent="0.35">
      <c r="A393" t="s">
        <v>761</v>
      </c>
      <c r="B393" t="s">
        <v>762</v>
      </c>
      <c r="C393" t="s">
        <v>56</v>
      </c>
      <c r="D393" t="s">
        <v>217</v>
      </c>
      <c r="E393" t="s">
        <v>32</v>
      </c>
      <c r="F393">
        <v>26</v>
      </c>
      <c r="G393">
        <v>95582</v>
      </c>
      <c r="H393">
        <v>3.2</v>
      </c>
      <c r="I393">
        <v>1</v>
      </c>
      <c r="J393">
        <v>2</v>
      </c>
      <c r="K393" t="s">
        <v>933</v>
      </c>
      <c r="L393" t="s">
        <v>934</v>
      </c>
    </row>
    <row r="394" spans="1:14" ht="14.5" x14ac:dyDescent="0.35">
      <c r="A394" t="s">
        <v>763</v>
      </c>
      <c r="B394" t="s">
        <v>535</v>
      </c>
      <c r="C394" t="s">
        <v>40</v>
      </c>
      <c r="D394" t="s">
        <v>65</v>
      </c>
      <c r="E394" t="s">
        <v>23</v>
      </c>
      <c r="F394">
        <v>41</v>
      </c>
      <c r="G394">
        <v>28324</v>
      </c>
      <c r="H394">
        <v>1.2</v>
      </c>
      <c r="I394">
        <v>2</v>
      </c>
      <c r="J394">
        <v>4</v>
      </c>
      <c r="K394" t="s">
        <v>933</v>
      </c>
      <c r="L394" t="s">
        <v>934</v>
      </c>
    </row>
    <row r="395" spans="1:14" ht="14.5" x14ac:dyDescent="0.35">
      <c r="A395" t="s">
        <v>764</v>
      </c>
      <c r="B395" t="s">
        <v>765</v>
      </c>
      <c r="C395" t="s">
        <v>108</v>
      </c>
      <c r="D395" t="s">
        <v>126</v>
      </c>
      <c r="E395" t="s">
        <v>32</v>
      </c>
      <c r="F395">
        <v>55</v>
      </c>
      <c r="G395">
        <v>56551</v>
      </c>
      <c r="H395">
        <v>3.3</v>
      </c>
      <c r="I395">
        <v>3</v>
      </c>
      <c r="J395">
        <v>3</v>
      </c>
      <c r="K395" t="s">
        <v>933</v>
      </c>
      <c r="L395" t="s">
        <v>934</v>
      </c>
    </row>
    <row r="396" spans="1:14" ht="14.5" x14ac:dyDescent="0.35">
      <c r="A396" t="s">
        <v>766</v>
      </c>
      <c r="B396" t="s">
        <v>767</v>
      </c>
      <c r="C396" t="s">
        <v>108</v>
      </c>
      <c r="D396" t="s">
        <v>126</v>
      </c>
      <c r="E396" t="s">
        <v>23</v>
      </c>
      <c r="F396">
        <v>39</v>
      </c>
      <c r="G396">
        <v>99737</v>
      </c>
      <c r="H396">
        <v>4</v>
      </c>
      <c r="I396">
        <v>2</v>
      </c>
      <c r="J396">
        <v>1</v>
      </c>
      <c r="K396" t="s">
        <v>933</v>
      </c>
      <c r="L396" t="s">
        <v>936</v>
      </c>
      <c r="M396" t="s">
        <v>943</v>
      </c>
      <c r="N396" s="2">
        <v>45853</v>
      </c>
    </row>
    <row r="397" spans="1:14" ht="14.5" x14ac:dyDescent="0.35">
      <c r="A397" t="s">
        <v>768</v>
      </c>
      <c r="B397" t="s">
        <v>769</v>
      </c>
      <c r="C397" t="s">
        <v>45</v>
      </c>
      <c r="D397" t="s">
        <v>239</v>
      </c>
      <c r="E397" t="s">
        <v>23</v>
      </c>
      <c r="F397">
        <v>24</v>
      </c>
      <c r="G397">
        <v>41051</v>
      </c>
      <c r="H397">
        <v>7.2</v>
      </c>
      <c r="I397">
        <v>2</v>
      </c>
      <c r="J397">
        <v>3</v>
      </c>
      <c r="K397" t="s">
        <v>935</v>
      </c>
      <c r="L397" t="s">
        <v>934</v>
      </c>
    </row>
    <row r="398" spans="1:14" ht="14.5" x14ac:dyDescent="0.35">
      <c r="A398" t="s">
        <v>770</v>
      </c>
      <c r="B398" t="s">
        <v>765</v>
      </c>
      <c r="C398" t="s">
        <v>52</v>
      </c>
      <c r="D398" t="s">
        <v>176</v>
      </c>
      <c r="E398" t="s">
        <v>32</v>
      </c>
      <c r="F398">
        <v>49</v>
      </c>
      <c r="G398">
        <v>28088</v>
      </c>
      <c r="H398">
        <v>2.6</v>
      </c>
      <c r="I398">
        <v>5</v>
      </c>
      <c r="J398">
        <v>1</v>
      </c>
      <c r="K398" t="s">
        <v>933</v>
      </c>
      <c r="L398" t="s">
        <v>936</v>
      </c>
      <c r="M398" t="s">
        <v>937</v>
      </c>
      <c r="N398" s="2">
        <v>45825</v>
      </c>
    </row>
    <row r="399" spans="1:14" ht="14.5" x14ac:dyDescent="0.35">
      <c r="A399" t="s">
        <v>771</v>
      </c>
      <c r="B399" t="s">
        <v>772</v>
      </c>
      <c r="C399" t="s">
        <v>159</v>
      </c>
      <c r="D399" t="s">
        <v>269</v>
      </c>
      <c r="E399" t="s">
        <v>32</v>
      </c>
      <c r="F399">
        <v>38</v>
      </c>
      <c r="G399">
        <v>113798</v>
      </c>
      <c r="H399">
        <v>6.7</v>
      </c>
      <c r="I399">
        <v>1</v>
      </c>
      <c r="J399">
        <v>3</v>
      </c>
      <c r="K399" t="s">
        <v>933</v>
      </c>
      <c r="L399" t="s">
        <v>934</v>
      </c>
    </row>
    <row r="400" spans="1:14" ht="14.5" x14ac:dyDescent="0.35">
      <c r="A400" t="s">
        <v>773</v>
      </c>
      <c r="B400" t="s">
        <v>774</v>
      </c>
      <c r="C400" t="s">
        <v>21</v>
      </c>
      <c r="D400" t="s">
        <v>163</v>
      </c>
      <c r="E400" t="s">
        <v>32</v>
      </c>
      <c r="F400">
        <v>24</v>
      </c>
      <c r="G400">
        <v>109999</v>
      </c>
      <c r="H400">
        <v>3.3</v>
      </c>
      <c r="I400">
        <v>1</v>
      </c>
      <c r="J400">
        <v>1</v>
      </c>
      <c r="K400" t="s">
        <v>933</v>
      </c>
      <c r="L400" t="s">
        <v>934</v>
      </c>
    </row>
    <row r="401" spans="1:14" ht="14.5" x14ac:dyDescent="0.35">
      <c r="A401" t="s">
        <v>775</v>
      </c>
      <c r="B401" t="s">
        <v>776</v>
      </c>
      <c r="C401" t="s">
        <v>56</v>
      </c>
      <c r="D401" t="s">
        <v>79</v>
      </c>
      <c r="E401" t="s">
        <v>32</v>
      </c>
      <c r="F401">
        <v>21</v>
      </c>
      <c r="G401">
        <v>90496</v>
      </c>
      <c r="H401">
        <v>5.4</v>
      </c>
      <c r="I401">
        <v>2</v>
      </c>
      <c r="J401">
        <v>2</v>
      </c>
      <c r="K401" t="s">
        <v>933</v>
      </c>
      <c r="L401" t="s">
        <v>934</v>
      </c>
    </row>
    <row r="402" spans="1:14" ht="14.5" x14ac:dyDescent="0.35">
      <c r="A402" t="s">
        <v>777</v>
      </c>
      <c r="B402" t="s">
        <v>81</v>
      </c>
      <c r="C402" t="s">
        <v>45</v>
      </c>
      <c r="D402" t="s">
        <v>234</v>
      </c>
      <c r="E402" t="s">
        <v>23</v>
      </c>
      <c r="F402">
        <v>21</v>
      </c>
      <c r="G402">
        <v>119173</v>
      </c>
      <c r="H402">
        <v>7.7</v>
      </c>
      <c r="I402">
        <v>2</v>
      </c>
      <c r="J402">
        <v>4</v>
      </c>
      <c r="K402" t="s">
        <v>935</v>
      </c>
      <c r="L402" t="s">
        <v>934</v>
      </c>
    </row>
    <row r="403" spans="1:14" ht="14.5" x14ac:dyDescent="0.35">
      <c r="A403" t="s">
        <v>778</v>
      </c>
      <c r="B403" t="s">
        <v>779</v>
      </c>
      <c r="C403" t="s">
        <v>56</v>
      </c>
      <c r="D403" t="s">
        <v>112</v>
      </c>
      <c r="E403" t="s">
        <v>23</v>
      </c>
      <c r="F403">
        <v>25</v>
      </c>
      <c r="G403">
        <v>78209</v>
      </c>
      <c r="H403">
        <v>5.2</v>
      </c>
      <c r="I403">
        <v>5</v>
      </c>
      <c r="J403">
        <v>1</v>
      </c>
      <c r="K403" t="s">
        <v>935</v>
      </c>
      <c r="L403" t="s">
        <v>936</v>
      </c>
      <c r="M403" t="s">
        <v>940</v>
      </c>
      <c r="N403" s="2">
        <v>46106</v>
      </c>
    </row>
    <row r="404" spans="1:14" ht="14.5" x14ac:dyDescent="0.35">
      <c r="A404" t="s">
        <v>780</v>
      </c>
      <c r="B404" t="s">
        <v>152</v>
      </c>
      <c r="C404" t="s">
        <v>21</v>
      </c>
      <c r="D404" t="s">
        <v>163</v>
      </c>
      <c r="E404" t="s">
        <v>23</v>
      </c>
      <c r="F404">
        <v>40</v>
      </c>
      <c r="G404">
        <v>78164</v>
      </c>
      <c r="H404">
        <v>6.2</v>
      </c>
      <c r="I404">
        <v>3</v>
      </c>
      <c r="J404">
        <v>5</v>
      </c>
      <c r="K404" t="s">
        <v>933</v>
      </c>
      <c r="L404" t="s">
        <v>934</v>
      </c>
    </row>
    <row r="405" spans="1:14" ht="14.5" x14ac:dyDescent="0.35">
      <c r="A405" t="s">
        <v>781</v>
      </c>
      <c r="B405" t="s">
        <v>782</v>
      </c>
      <c r="C405" t="s">
        <v>159</v>
      </c>
      <c r="D405" t="s">
        <v>160</v>
      </c>
      <c r="E405" t="s">
        <v>32</v>
      </c>
      <c r="F405">
        <v>31</v>
      </c>
      <c r="G405">
        <v>74030</v>
      </c>
      <c r="H405">
        <v>2.8</v>
      </c>
      <c r="I405">
        <v>5</v>
      </c>
      <c r="J405">
        <v>4</v>
      </c>
      <c r="K405" t="s">
        <v>935</v>
      </c>
      <c r="L405" t="s">
        <v>934</v>
      </c>
    </row>
    <row r="406" spans="1:14" ht="14.5" x14ac:dyDescent="0.35">
      <c r="A406" t="s">
        <v>783</v>
      </c>
      <c r="B406" t="s">
        <v>784</v>
      </c>
      <c r="C406" t="s">
        <v>159</v>
      </c>
      <c r="D406" t="s">
        <v>324</v>
      </c>
      <c r="E406" t="s">
        <v>23</v>
      </c>
      <c r="F406">
        <v>34</v>
      </c>
      <c r="G406">
        <v>41168</v>
      </c>
      <c r="H406">
        <v>6.8</v>
      </c>
      <c r="I406">
        <v>4</v>
      </c>
      <c r="J406">
        <v>2</v>
      </c>
      <c r="K406" t="s">
        <v>933</v>
      </c>
      <c r="L406" t="s">
        <v>936</v>
      </c>
      <c r="M406" t="s">
        <v>939</v>
      </c>
      <c r="N406" s="2">
        <v>46235</v>
      </c>
    </row>
    <row r="407" spans="1:14" ht="14.5" x14ac:dyDescent="0.35">
      <c r="A407" t="s">
        <v>785</v>
      </c>
      <c r="B407" t="s">
        <v>104</v>
      </c>
      <c r="C407" t="s">
        <v>45</v>
      </c>
      <c r="D407" t="s">
        <v>239</v>
      </c>
      <c r="E407" t="s">
        <v>23</v>
      </c>
      <c r="F407">
        <v>48</v>
      </c>
      <c r="G407">
        <v>46327</v>
      </c>
      <c r="H407">
        <v>4.2</v>
      </c>
      <c r="I407">
        <v>2</v>
      </c>
      <c r="J407">
        <v>2</v>
      </c>
      <c r="K407" t="s">
        <v>935</v>
      </c>
      <c r="L407" t="s">
        <v>934</v>
      </c>
    </row>
    <row r="408" spans="1:14" ht="14.5" x14ac:dyDescent="0.35">
      <c r="A408" t="s">
        <v>786</v>
      </c>
      <c r="B408" t="s">
        <v>396</v>
      </c>
      <c r="C408" t="s">
        <v>21</v>
      </c>
      <c r="D408" t="s">
        <v>133</v>
      </c>
      <c r="E408" t="s">
        <v>23</v>
      </c>
      <c r="F408">
        <v>22</v>
      </c>
      <c r="G408">
        <v>54928</v>
      </c>
      <c r="H408">
        <v>4.4000000000000004</v>
      </c>
      <c r="I408">
        <v>1</v>
      </c>
      <c r="J408">
        <v>2</v>
      </c>
      <c r="K408" t="s">
        <v>935</v>
      </c>
      <c r="L408" t="s">
        <v>936</v>
      </c>
      <c r="M408" t="s">
        <v>937</v>
      </c>
      <c r="N408" s="2">
        <v>45390</v>
      </c>
    </row>
    <row r="409" spans="1:14" ht="14.5" x14ac:dyDescent="0.35">
      <c r="A409" t="s">
        <v>787</v>
      </c>
      <c r="B409" t="s">
        <v>788</v>
      </c>
      <c r="C409" t="s">
        <v>27</v>
      </c>
      <c r="D409" t="s">
        <v>87</v>
      </c>
      <c r="E409" t="s">
        <v>23</v>
      </c>
      <c r="F409">
        <v>39</v>
      </c>
      <c r="G409">
        <v>59370</v>
      </c>
      <c r="H409">
        <v>7.1</v>
      </c>
      <c r="I409">
        <v>3</v>
      </c>
      <c r="J409">
        <v>1</v>
      </c>
      <c r="K409" t="s">
        <v>935</v>
      </c>
      <c r="L409" t="s">
        <v>934</v>
      </c>
    </row>
    <row r="410" spans="1:14" ht="14.5" x14ac:dyDescent="0.35">
      <c r="A410" t="s">
        <v>789</v>
      </c>
      <c r="B410" t="s">
        <v>790</v>
      </c>
      <c r="C410" t="s">
        <v>21</v>
      </c>
      <c r="D410" t="s">
        <v>133</v>
      </c>
      <c r="E410" t="s">
        <v>23</v>
      </c>
      <c r="F410">
        <v>25</v>
      </c>
      <c r="G410">
        <v>29581</v>
      </c>
      <c r="H410">
        <v>1.8</v>
      </c>
      <c r="I410">
        <v>3</v>
      </c>
      <c r="J410">
        <v>5</v>
      </c>
      <c r="K410" t="s">
        <v>933</v>
      </c>
      <c r="L410" t="s">
        <v>934</v>
      </c>
    </row>
    <row r="411" spans="1:14" ht="14.5" x14ac:dyDescent="0.35">
      <c r="A411" t="s">
        <v>791</v>
      </c>
      <c r="B411" t="s">
        <v>742</v>
      </c>
      <c r="C411" t="s">
        <v>159</v>
      </c>
      <c r="D411" t="s">
        <v>324</v>
      </c>
      <c r="E411" t="s">
        <v>23</v>
      </c>
      <c r="F411">
        <v>44</v>
      </c>
      <c r="G411">
        <v>117514</v>
      </c>
      <c r="H411">
        <v>1.6</v>
      </c>
      <c r="I411">
        <v>3</v>
      </c>
      <c r="J411">
        <v>2</v>
      </c>
      <c r="K411" t="s">
        <v>933</v>
      </c>
      <c r="L411" t="s">
        <v>934</v>
      </c>
    </row>
    <row r="412" spans="1:14" ht="14.5" x14ac:dyDescent="0.35">
      <c r="A412" t="s">
        <v>792</v>
      </c>
      <c r="B412" t="s">
        <v>557</v>
      </c>
      <c r="C412" t="s">
        <v>21</v>
      </c>
      <c r="D412" t="s">
        <v>22</v>
      </c>
      <c r="E412" t="s">
        <v>32</v>
      </c>
      <c r="F412">
        <v>21</v>
      </c>
      <c r="G412">
        <v>56277</v>
      </c>
      <c r="H412">
        <v>4.8</v>
      </c>
      <c r="I412">
        <v>3</v>
      </c>
      <c r="J412">
        <v>1</v>
      </c>
      <c r="K412" t="s">
        <v>933</v>
      </c>
      <c r="L412" t="s">
        <v>934</v>
      </c>
    </row>
    <row r="413" spans="1:14" ht="14.5" x14ac:dyDescent="0.35">
      <c r="A413" t="s">
        <v>793</v>
      </c>
      <c r="B413" t="s">
        <v>794</v>
      </c>
      <c r="C413" t="s">
        <v>56</v>
      </c>
      <c r="D413" t="s">
        <v>57</v>
      </c>
      <c r="E413" t="s">
        <v>23</v>
      </c>
      <c r="F413">
        <v>48</v>
      </c>
      <c r="G413">
        <v>38803</v>
      </c>
      <c r="H413">
        <v>3.2</v>
      </c>
      <c r="I413">
        <v>3</v>
      </c>
      <c r="J413">
        <v>2</v>
      </c>
      <c r="K413" t="s">
        <v>935</v>
      </c>
      <c r="L413" t="s">
        <v>934</v>
      </c>
    </row>
    <row r="414" spans="1:14" ht="14.5" x14ac:dyDescent="0.35">
      <c r="A414" t="s">
        <v>795</v>
      </c>
      <c r="B414" t="s">
        <v>252</v>
      </c>
      <c r="C414" t="s">
        <v>27</v>
      </c>
      <c r="D414" t="s">
        <v>87</v>
      </c>
      <c r="E414" t="s">
        <v>23</v>
      </c>
      <c r="F414">
        <v>26</v>
      </c>
      <c r="G414">
        <v>38357</v>
      </c>
      <c r="H414">
        <v>4.3</v>
      </c>
      <c r="I414">
        <v>1</v>
      </c>
      <c r="J414">
        <v>4</v>
      </c>
      <c r="K414" t="s">
        <v>935</v>
      </c>
      <c r="L414" t="s">
        <v>934</v>
      </c>
    </row>
    <row r="415" spans="1:14" ht="14.5" x14ac:dyDescent="0.35">
      <c r="A415" t="s">
        <v>796</v>
      </c>
      <c r="B415" t="s">
        <v>797</v>
      </c>
      <c r="C415" t="s">
        <v>159</v>
      </c>
      <c r="D415" t="s">
        <v>187</v>
      </c>
      <c r="E415" t="s">
        <v>23</v>
      </c>
      <c r="F415">
        <v>46</v>
      </c>
      <c r="G415">
        <v>111138</v>
      </c>
      <c r="H415">
        <v>1.2</v>
      </c>
      <c r="I415">
        <v>5</v>
      </c>
      <c r="J415">
        <v>5</v>
      </c>
      <c r="K415" t="s">
        <v>935</v>
      </c>
      <c r="L415" t="s">
        <v>934</v>
      </c>
    </row>
    <row r="416" spans="1:14" ht="14.5" x14ac:dyDescent="0.35">
      <c r="A416" t="s">
        <v>798</v>
      </c>
      <c r="B416" t="s">
        <v>799</v>
      </c>
      <c r="C416" t="s">
        <v>36</v>
      </c>
      <c r="D416" t="s">
        <v>84</v>
      </c>
      <c r="E416" t="s">
        <v>32</v>
      </c>
      <c r="F416">
        <v>24</v>
      </c>
      <c r="G416">
        <v>39300</v>
      </c>
      <c r="H416">
        <v>5</v>
      </c>
      <c r="I416">
        <v>3</v>
      </c>
      <c r="J416">
        <v>4</v>
      </c>
      <c r="K416" t="s">
        <v>935</v>
      </c>
      <c r="L416" t="s">
        <v>934</v>
      </c>
    </row>
    <row r="417" spans="1:14" ht="14.5" x14ac:dyDescent="0.35">
      <c r="A417" t="s">
        <v>800</v>
      </c>
      <c r="B417" t="s">
        <v>801</v>
      </c>
      <c r="C417" t="s">
        <v>21</v>
      </c>
      <c r="D417" t="s">
        <v>153</v>
      </c>
      <c r="E417" t="s">
        <v>32</v>
      </c>
      <c r="F417">
        <v>40</v>
      </c>
      <c r="G417">
        <v>43655</v>
      </c>
      <c r="H417">
        <v>5.8</v>
      </c>
      <c r="I417">
        <v>1</v>
      </c>
      <c r="J417">
        <v>1</v>
      </c>
      <c r="K417" t="s">
        <v>933</v>
      </c>
      <c r="L417" t="s">
        <v>934</v>
      </c>
    </row>
    <row r="418" spans="1:14" ht="14.5" x14ac:dyDescent="0.35">
      <c r="A418" t="s">
        <v>802</v>
      </c>
      <c r="B418" t="s">
        <v>803</v>
      </c>
      <c r="C418" t="s">
        <v>52</v>
      </c>
      <c r="D418" t="s">
        <v>195</v>
      </c>
      <c r="E418" t="s">
        <v>23</v>
      </c>
      <c r="F418">
        <v>43</v>
      </c>
      <c r="G418">
        <v>95793</v>
      </c>
      <c r="H418">
        <v>1.9</v>
      </c>
      <c r="I418">
        <v>3</v>
      </c>
      <c r="J418">
        <v>1</v>
      </c>
      <c r="K418" t="s">
        <v>933</v>
      </c>
      <c r="L418" t="s">
        <v>934</v>
      </c>
    </row>
    <row r="419" spans="1:14" ht="14.5" x14ac:dyDescent="0.35">
      <c r="A419" t="s">
        <v>804</v>
      </c>
      <c r="B419" t="s">
        <v>805</v>
      </c>
      <c r="C419" t="s">
        <v>159</v>
      </c>
      <c r="D419" t="s">
        <v>269</v>
      </c>
      <c r="E419" t="s">
        <v>32</v>
      </c>
      <c r="F419">
        <v>38</v>
      </c>
      <c r="G419">
        <v>31847</v>
      </c>
      <c r="H419">
        <v>6.4</v>
      </c>
      <c r="I419">
        <v>5</v>
      </c>
      <c r="J419">
        <v>1</v>
      </c>
      <c r="K419" t="s">
        <v>933</v>
      </c>
      <c r="L419" t="s">
        <v>934</v>
      </c>
    </row>
    <row r="420" spans="1:14" ht="14.5" x14ac:dyDescent="0.35">
      <c r="A420" t="s">
        <v>806</v>
      </c>
      <c r="B420" t="s">
        <v>92</v>
      </c>
      <c r="C420" t="s">
        <v>36</v>
      </c>
      <c r="D420" t="s">
        <v>62</v>
      </c>
      <c r="E420" t="s">
        <v>32</v>
      </c>
      <c r="F420">
        <v>37</v>
      </c>
      <c r="G420">
        <v>110251</v>
      </c>
      <c r="H420">
        <v>1.3</v>
      </c>
      <c r="I420">
        <v>2</v>
      </c>
      <c r="J420">
        <v>5</v>
      </c>
      <c r="K420" t="s">
        <v>935</v>
      </c>
      <c r="L420" t="s">
        <v>934</v>
      </c>
    </row>
    <row r="421" spans="1:14" ht="14.5" x14ac:dyDescent="0.35">
      <c r="A421" t="s">
        <v>807</v>
      </c>
      <c r="B421" t="s">
        <v>808</v>
      </c>
      <c r="C421" t="s">
        <v>108</v>
      </c>
      <c r="D421" t="s">
        <v>126</v>
      </c>
      <c r="E421" t="s">
        <v>32</v>
      </c>
      <c r="F421">
        <v>52</v>
      </c>
      <c r="G421">
        <v>49873</v>
      </c>
      <c r="H421">
        <v>1.4</v>
      </c>
      <c r="I421">
        <v>3</v>
      </c>
      <c r="J421">
        <v>1</v>
      </c>
      <c r="K421" t="s">
        <v>933</v>
      </c>
      <c r="L421" t="s">
        <v>934</v>
      </c>
    </row>
    <row r="422" spans="1:14" ht="14.5" x14ac:dyDescent="0.35">
      <c r="A422" t="s">
        <v>809</v>
      </c>
      <c r="B422" t="s">
        <v>229</v>
      </c>
      <c r="C422" t="s">
        <v>36</v>
      </c>
      <c r="D422" t="s">
        <v>37</v>
      </c>
      <c r="E422" t="s">
        <v>32</v>
      </c>
      <c r="F422">
        <v>35</v>
      </c>
      <c r="G422">
        <v>28336</v>
      </c>
      <c r="H422">
        <v>2</v>
      </c>
      <c r="I422">
        <v>4</v>
      </c>
      <c r="J422">
        <v>2</v>
      </c>
      <c r="K422" t="s">
        <v>933</v>
      </c>
      <c r="L422" t="s">
        <v>934</v>
      </c>
    </row>
    <row r="423" spans="1:14" ht="14.5" x14ac:dyDescent="0.35">
      <c r="A423" t="s">
        <v>810</v>
      </c>
      <c r="B423" t="s">
        <v>811</v>
      </c>
      <c r="C423" t="s">
        <v>69</v>
      </c>
      <c r="D423" t="s">
        <v>105</v>
      </c>
      <c r="E423" t="s">
        <v>23</v>
      </c>
      <c r="F423">
        <v>44</v>
      </c>
      <c r="G423">
        <v>47671</v>
      </c>
      <c r="H423">
        <v>3.5</v>
      </c>
      <c r="I423">
        <v>5</v>
      </c>
      <c r="J423">
        <v>1</v>
      </c>
      <c r="K423" t="s">
        <v>935</v>
      </c>
      <c r="L423" t="s">
        <v>934</v>
      </c>
    </row>
    <row r="424" spans="1:14" ht="14.5" x14ac:dyDescent="0.35">
      <c r="A424" t="s">
        <v>812</v>
      </c>
      <c r="B424" t="s">
        <v>180</v>
      </c>
      <c r="C424" t="s">
        <v>27</v>
      </c>
      <c r="D424" t="s">
        <v>76</v>
      </c>
      <c r="E424" t="s">
        <v>32</v>
      </c>
      <c r="F424">
        <v>41</v>
      </c>
      <c r="G424">
        <v>82559</v>
      </c>
      <c r="H424">
        <v>5</v>
      </c>
      <c r="I424">
        <v>3</v>
      </c>
      <c r="J424">
        <v>2</v>
      </c>
      <c r="K424" t="s">
        <v>935</v>
      </c>
      <c r="L424" t="s">
        <v>934</v>
      </c>
    </row>
    <row r="425" spans="1:14" ht="14.5" x14ac:dyDescent="0.35">
      <c r="A425" t="s">
        <v>813</v>
      </c>
      <c r="B425" t="s">
        <v>814</v>
      </c>
      <c r="C425" t="s">
        <v>36</v>
      </c>
      <c r="D425" t="s">
        <v>37</v>
      </c>
      <c r="E425" t="s">
        <v>23</v>
      </c>
      <c r="F425">
        <v>28</v>
      </c>
      <c r="G425">
        <v>116254</v>
      </c>
      <c r="H425">
        <v>2.1</v>
      </c>
      <c r="I425">
        <v>3</v>
      </c>
      <c r="J425">
        <v>2</v>
      </c>
      <c r="K425" t="s">
        <v>935</v>
      </c>
      <c r="L425" t="s">
        <v>934</v>
      </c>
    </row>
    <row r="426" spans="1:14" ht="14.5" x14ac:dyDescent="0.35">
      <c r="A426" t="s">
        <v>815</v>
      </c>
      <c r="B426" t="s">
        <v>816</v>
      </c>
      <c r="C426" t="s">
        <v>159</v>
      </c>
      <c r="D426" t="s">
        <v>482</v>
      </c>
      <c r="E426" t="s">
        <v>32</v>
      </c>
      <c r="F426">
        <v>46</v>
      </c>
      <c r="G426">
        <v>88960</v>
      </c>
      <c r="H426">
        <v>7</v>
      </c>
      <c r="I426">
        <v>2</v>
      </c>
      <c r="J426">
        <v>3</v>
      </c>
      <c r="K426" t="s">
        <v>935</v>
      </c>
      <c r="L426" t="s">
        <v>936</v>
      </c>
      <c r="M426" t="s">
        <v>937</v>
      </c>
      <c r="N426" s="2">
        <v>45593</v>
      </c>
    </row>
    <row r="427" spans="1:14" ht="14.5" x14ac:dyDescent="0.35">
      <c r="A427" t="s">
        <v>817</v>
      </c>
      <c r="B427" t="s">
        <v>55</v>
      </c>
      <c r="C427" t="s">
        <v>36</v>
      </c>
      <c r="D427" t="s">
        <v>253</v>
      </c>
      <c r="E427" t="s">
        <v>32</v>
      </c>
      <c r="F427">
        <v>56</v>
      </c>
      <c r="G427">
        <v>29044</v>
      </c>
      <c r="H427">
        <v>2.6</v>
      </c>
      <c r="I427">
        <v>2</v>
      </c>
      <c r="J427">
        <v>5</v>
      </c>
      <c r="K427" t="s">
        <v>933</v>
      </c>
      <c r="L427" t="s">
        <v>934</v>
      </c>
    </row>
    <row r="428" spans="1:14" ht="14.5" x14ac:dyDescent="0.35">
      <c r="A428" t="s">
        <v>818</v>
      </c>
      <c r="B428" t="s">
        <v>128</v>
      </c>
      <c r="C428" t="s">
        <v>36</v>
      </c>
      <c r="D428" t="s">
        <v>62</v>
      </c>
      <c r="E428" t="s">
        <v>23</v>
      </c>
      <c r="F428">
        <v>36</v>
      </c>
      <c r="G428">
        <v>76270</v>
      </c>
      <c r="H428">
        <v>2.5</v>
      </c>
      <c r="I428">
        <v>5</v>
      </c>
      <c r="J428">
        <v>2</v>
      </c>
      <c r="K428" t="s">
        <v>935</v>
      </c>
      <c r="L428" t="s">
        <v>934</v>
      </c>
    </row>
    <row r="429" spans="1:14" ht="14.5" x14ac:dyDescent="0.35">
      <c r="A429" t="s">
        <v>819</v>
      </c>
      <c r="B429" t="s">
        <v>820</v>
      </c>
      <c r="C429" t="s">
        <v>69</v>
      </c>
      <c r="D429" t="s">
        <v>319</v>
      </c>
      <c r="E429" t="s">
        <v>32</v>
      </c>
      <c r="F429">
        <v>30</v>
      </c>
      <c r="G429">
        <v>81744</v>
      </c>
      <c r="H429">
        <v>7.7</v>
      </c>
      <c r="I429">
        <v>1</v>
      </c>
      <c r="J429">
        <v>4</v>
      </c>
      <c r="K429" t="s">
        <v>933</v>
      </c>
      <c r="L429" t="s">
        <v>934</v>
      </c>
    </row>
    <row r="430" spans="1:14" ht="14.5" x14ac:dyDescent="0.35">
      <c r="A430" t="s">
        <v>821</v>
      </c>
      <c r="B430" t="s">
        <v>822</v>
      </c>
      <c r="C430" t="s">
        <v>27</v>
      </c>
      <c r="D430" t="s">
        <v>73</v>
      </c>
      <c r="E430" t="s">
        <v>32</v>
      </c>
      <c r="F430">
        <v>42</v>
      </c>
      <c r="G430">
        <v>114154</v>
      </c>
      <c r="H430">
        <v>7.7</v>
      </c>
      <c r="I430">
        <v>3</v>
      </c>
      <c r="J430">
        <v>3</v>
      </c>
      <c r="K430" t="s">
        <v>933</v>
      </c>
      <c r="L430" t="s">
        <v>934</v>
      </c>
    </row>
    <row r="431" spans="1:14" ht="14.5" x14ac:dyDescent="0.35">
      <c r="A431" t="s">
        <v>823</v>
      </c>
      <c r="B431" t="s">
        <v>634</v>
      </c>
      <c r="C431" t="s">
        <v>21</v>
      </c>
      <c r="D431" t="s">
        <v>133</v>
      </c>
      <c r="E431" t="s">
        <v>32</v>
      </c>
      <c r="F431">
        <v>47</v>
      </c>
      <c r="G431">
        <v>35850</v>
      </c>
      <c r="H431">
        <v>2.2000000000000002</v>
      </c>
      <c r="I431">
        <v>4</v>
      </c>
      <c r="J431">
        <v>1</v>
      </c>
      <c r="K431" t="s">
        <v>933</v>
      </c>
      <c r="L431" t="s">
        <v>936</v>
      </c>
      <c r="M431" t="s">
        <v>941</v>
      </c>
      <c r="N431" s="2">
        <v>45908</v>
      </c>
    </row>
    <row r="432" spans="1:14" ht="14.5" x14ac:dyDescent="0.35">
      <c r="A432" t="s">
        <v>824</v>
      </c>
      <c r="B432" t="s">
        <v>438</v>
      </c>
      <c r="C432" t="s">
        <v>21</v>
      </c>
      <c r="D432" t="s">
        <v>22</v>
      </c>
      <c r="E432" t="s">
        <v>32</v>
      </c>
      <c r="F432">
        <v>54</v>
      </c>
      <c r="G432">
        <v>119861</v>
      </c>
      <c r="H432">
        <v>3.1</v>
      </c>
      <c r="I432">
        <v>2</v>
      </c>
      <c r="J432">
        <v>1</v>
      </c>
      <c r="K432" t="s">
        <v>935</v>
      </c>
      <c r="L432" t="s">
        <v>934</v>
      </c>
    </row>
    <row r="433" spans="1:14" ht="14.5" x14ac:dyDescent="0.35">
      <c r="A433" t="s">
        <v>825</v>
      </c>
      <c r="B433" t="s">
        <v>599</v>
      </c>
      <c r="C433" t="s">
        <v>108</v>
      </c>
      <c r="D433" t="s">
        <v>114</v>
      </c>
      <c r="E433" t="s">
        <v>32</v>
      </c>
      <c r="F433">
        <v>53</v>
      </c>
      <c r="G433">
        <v>111521</v>
      </c>
      <c r="H433">
        <v>6.3</v>
      </c>
      <c r="I433">
        <v>1</v>
      </c>
      <c r="J433">
        <v>1</v>
      </c>
      <c r="K433" t="s">
        <v>933</v>
      </c>
      <c r="L433" t="s">
        <v>934</v>
      </c>
    </row>
    <row r="434" spans="1:14" ht="14.5" x14ac:dyDescent="0.35">
      <c r="A434" t="s">
        <v>826</v>
      </c>
      <c r="B434" t="s">
        <v>827</v>
      </c>
      <c r="C434" t="s">
        <v>21</v>
      </c>
      <c r="D434" t="s">
        <v>49</v>
      </c>
      <c r="E434" t="s">
        <v>32</v>
      </c>
      <c r="F434">
        <v>48</v>
      </c>
      <c r="G434">
        <v>59034</v>
      </c>
      <c r="H434">
        <v>6.3</v>
      </c>
      <c r="I434">
        <v>2</v>
      </c>
      <c r="J434">
        <v>5</v>
      </c>
      <c r="K434" t="s">
        <v>933</v>
      </c>
      <c r="L434" t="s">
        <v>934</v>
      </c>
    </row>
    <row r="435" spans="1:14" ht="14.5" x14ac:dyDescent="0.35">
      <c r="A435" t="s">
        <v>828</v>
      </c>
      <c r="B435" t="s">
        <v>369</v>
      </c>
      <c r="C435" t="s">
        <v>40</v>
      </c>
      <c r="D435" t="s">
        <v>65</v>
      </c>
      <c r="E435" t="s">
        <v>23</v>
      </c>
      <c r="F435">
        <v>41</v>
      </c>
      <c r="G435">
        <v>63645</v>
      </c>
      <c r="H435">
        <v>2.7</v>
      </c>
      <c r="I435">
        <v>1</v>
      </c>
      <c r="J435">
        <v>1</v>
      </c>
      <c r="K435" t="s">
        <v>933</v>
      </c>
      <c r="L435" t="s">
        <v>934</v>
      </c>
    </row>
    <row r="436" spans="1:14" ht="14.5" x14ac:dyDescent="0.35">
      <c r="A436" t="s">
        <v>829</v>
      </c>
      <c r="B436" t="s">
        <v>830</v>
      </c>
      <c r="C436" t="s">
        <v>69</v>
      </c>
      <c r="D436" t="s">
        <v>117</v>
      </c>
      <c r="E436" t="s">
        <v>32</v>
      </c>
      <c r="F436">
        <v>30</v>
      </c>
      <c r="G436">
        <v>49544</v>
      </c>
      <c r="H436">
        <v>6.6</v>
      </c>
      <c r="I436">
        <v>2</v>
      </c>
      <c r="J436">
        <v>5</v>
      </c>
      <c r="K436" t="s">
        <v>935</v>
      </c>
      <c r="L436" t="s">
        <v>936</v>
      </c>
      <c r="M436" t="s">
        <v>941</v>
      </c>
      <c r="N436" s="2">
        <v>45383</v>
      </c>
    </row>
    <row r="437" spans="1:14" ht="14.5" x14ac:dyDescent="0.35">
      <c r="A437" t="s">
        <v>831</v>
      </c>
      <c r="B437" t="s">
        <v>832</v>
      </c>
      <c r="C437" t="s">
        <v>40</v>
      </c>
      <c r="D437" t="s">
        <v>65</v>
      </c>
      <c r="E437" t="s">
        <v>32</v>
      </c>
      <c r="F437">
        <v>55</v>
      </c>
      <c r="G437">
        <v>55215</v>
      </c>
      <c r="H437">
        <v>3.7</v>
      </c>
      <c r="I437">
        <v>1</v>
      </c>
      <c r="J437">
        <v>3</v>
      </c>
      <c r="K437" t="s">
        <v>935</v>
      </c>
      <c r="L437" t="s">
        <v>936</v>
      </c>
      <c r="M437" t="s">
        <v>943</v>
      </c>
      <c r="N437" s="2">
        <v>46045</v>
      </c>
    </row>
    <row r="438" spans="1:14" ht="14.5" x14ac:dyDescent="0.35">
      <c r="A438" t="s">
        <v>833</v>
      </c>
      <c r="B438" t="s">
        <v>147</v>
      </c>
      <c r="C438" t="s">
        <v>108</v>
      </c>
      <c r="D438" t="s">
        <v>126</v>
      </c>
      <c r="E438" t="s">
        <v>32</v>
      </c>
      <c r="F438">
        <v>26</v>
      </c>
      <c r="G438">
        <v>117922</v>
      </c>
      <c r="H438">
        <v>6</v>
      </c>
      <c r="I438">
        <v>4</v>
      </c>
      <c r="J438">
        <v>3</v>
      </c>
      <c r="K438" t="s">
        <v>933</v>
      </c>
      <c r="L438" t="s">
        <v>934</v>
      </c>
    </row>
    <row r="439" spans="1:14" ht="14.5" x14ac:dyDescent="0.35">
      <c r="A439" t="s">
        <v>834</v>
      </c>
      <c r="B439" t="s">
        <v>377</v>
      </c>
      <c r="C439" t="s">
        <v>52</v>
      </c>
      <c r="D439" t="s">
        <v>195</v>
      </c>
      <c r="E439" t="s">
        <v>23</v>
      </c>
      <c r="F439">
        <v>30</v>
      </c>
      <c r="G439">
        <v>121212</v>
      </c>
      <c r="H439">
        <v>6.7</v>
      </c>
      <c r="I439">
        <v>3</v>
      </c>
      <c r="J439">
        <v>3</v>
      </c>
      <c r="K439" t="s">
        <v>935</v>
      </c>
      <c r="L439" t="s">
        <v>934</v>
      </c>
    </row>
    <row r="440" spans="1:14" ht="14.5" x14ac:dyDescent="0.35">
      <c r="A440" t="s">
        <v>835</v>
      </c>
      <c r="B440" t="s">
        <v>373</v>
      </c>
      <c r="C440" t="s">
        <v>56</v>
      </c>
      <c r="D440" t="s">
        <v>79</v>
      </c>
      <c r="E440" t="s">
        <v>23</v>
      </c>
      <c r="F440">
        <v>37</v>
      </c>
      <c r="G440">
        <v>32073</v>
      </c>
      <c r="H440">
        <v>5.8</v>
      </c>
      <c r="I440">
        <v>3</v>
      </c>
      <c r="J440">
        <v>2</v>
      </c>
      <c r="K440" t="s">
        <v>933</v>
      </c>
      <c r="L440" t="s">
        <v>934</v>
      </c>
    </row>
    <row r="441" spans="1:14" ht="14.5" x14ac:dyDescent="0.35">
      <c r="A441" t="s">
        <v>836</v>
      </c>
      <c r="B441" t="s">
        <v>837</v>
      </c>
      <c r="C441" t="s">
        <v>27</v>
      </c>
      <c r="D441" t="s">
        <v>87</v>
      </c>
      <c r="E441" t="s">
        <v>32</v>
      </c>
      <c r="F441">
        <v>50</v>
      </c>
      <c r="G441">
        <v>46322</v>
      </c>
      <c r="H441">
        <v>6.6</v>
      </c>
      <c r="I441">
        <v>4</v>
      </c>
      <c r="J441">
        <v>2</v>
      </c>
      <c r="K441" t="s">
        <v>935</v>
      </c>
      <c r="L441" t="s">
        <v>934</v>
      </c>
    </row>
    <row r="442" spans="1:14" ht="14.5" x14ac:dyDescent="0.35">
      <c r="A442" t="s">
        <v>838</v>
      </c>
      <c r="B442" t="s">
        <v>839</v>
      </c>
      <c r="C442" t="s">
        <v>52</v>
      </c>
      <c r="D442" t="s">
        <v>195</v>
      </c>
      <c r="E442" t="s">
        <v>32</v>
      </c>
      <c r="F442">
        <v>33</v>
      </c>
      <c r="G442">
        <v>76790</v>
      </c>
      <c r="H442">
        <v>3.3</v>
      </c>
      <c r="I442">
        <v>1</v>
      </c>
      <c r="J442">
        <v>1</v>
      </c>
      <c r="K442" t="s">
        <v>933</v>
      </c>
      <c r="L442" t="s">
        <v>934</v>
      </c>
    </row>
    <row r="443" spans="1:14" ht="14.5" x14ac:dyDescent="0.35">
      <c r="A443" t="s">
        <v>840</v>
      </c>
      <c r="B443" t="s">
        <v>522</v>
      </c>
      <c r="C443" t="s">
        <v>45</v>
      </c>
      <c r="D443" t="s">
        <v>46</v>
      </c>
      <c r="E443" t="s">
        <v>32</v>
      </c>
      <c r="F443">
        <v>22</v>
      </c>
      <c r="G443">
        <v>53919</v>
      </c>
      <c r="H443">
        <v>7</v>
      </c>
      <c r="I443">
        <v>1</v>
      </c>
      <c r="J443">
        <v>3</v>
      </c>
      <c r="K443" t="s">
        <v>935</v>
      </c>
      <c r="L443" t="s">
        <v>934</v>
      </c>
    </row>
    <row r="444" spans="1:14" ht="14.5" x14ac:dyDescent="0.35">
      <c r="A444" t="s">
        <v>841</v>
      </c>
      <c r="B444" t="s">
        <v>842</v>
      </c>
      <c r="C444" t="s">
        <v>159</v>
      </c>
      <c r="D444" t="s">
        <v>160</v>
      </c>
      <c r="E444" t="s">
        <v>23</v>
      </c>
      <c r="F444">
        <v>28</v>
      </c>
      <c r="G444">
        <v>88423</v>
      </c>
      <c r="H444">
        <v>7.3</v>
      </c>
      <c r="I444">
        <v>2</v>
      </c>
      <c r="J444">
        <v>3</v>
      </c>
      <c r="K444" t="s">
        <v>935</v>
      </c>
      <c r="L444" t="s">
        <v>934</v>
      </c>
    </row>
    <row r="445" spans="1:14" ht="14.5" x14ac:dyDescent="0.35">
      <c r="A445" t="s">
        <v>843</v>
      </c>
      <c r="B445" t="s">
        <v>182</v>
      </c>
      <c r="C445" t="s">
        <v>45</v>
      </c>
      <c r="D445" t="s">
        <v>239</v>
      </c>
      <c r="E445" t="s">
        <v>23</v>
      </c>
      <c r="F445">
        <v>52</v>
      </c>
      <c r="G445">
        <v>78165</v>
      </c>
      <c r="H445">
        <v>7.4</v>
      </c>
      <c r="I445">
        <v>3</v>
      </c>
      <c r="J445">
        <v>2</v>
      </c>
      <c r="K445" t="s">
        <v>935</v>
      </c>
      <c r="L445" t="s">
        <v>934</v>
      </c>
    </row>
    <row r="446" spans="1:14" ht="14.5" x14ac:dyDescent="0.35">
      <c r="A446" t="s">
        <v>844</v>
      </c>
      <c r="B446" t="s">
        <v>845</v>
      </c>
      <c r="C446" t="s">
        <v>159</v>
      </c>
      <c r="D446" t="s">
        <v>269</v>
      </c>
      <c r="E446" t="s">
        <v>32</v>
      </c>
      <c r="F446">
        <v>32</v>
      </c>
      <c r="G446">
        <v>64681</v>
      </c>
      <c r="H446">
        <v>4.7</v>
      </c>
      <c r="I446">
        <v>4</v>
      </c>
      <c r="J446">
        <v>1</v>
      </c>
      <c r="K446" t="s">
        <v>935</v>
      </c>
      <c r="L446" t="s">
        <v>934</v>
      </c>
    </row>
    <row r="447" spans="1:14" ht="14.5" x14ac:dyDescent="0.35">
      <c r="A447" t="s">
        <v>846</v>
      </c>
      <c r="B447" t="s">
        <v>847</v>
      </c>
      <c r="C447" t="s">
        <v>52</v>
      </c>
      <c r="D447" t="s">
        <v>102</v>
      </c>
      <c r="E447" t="s">
        <v>32</v>
      </c>
      <c r="F447">
        <v>39</v>
      </c>
      <c r="G447">
        <v>82000</v>
      </c>
      <c r="H447">
        <v>2.2000000000000002</v>
      </c>
      <c r="I447">
        <v>5</v>
      </c>
      <c r="J447">
        <v>2</v>
      </c>
      <c r="K447" t="s">
        <v>933</v>
      </c>
      <c r="L447" t="s">
        <v>934</v>
      </c>
    </row>
    <row r="448" spans="1:14" ht="14.5" x14ac:dyDescent="0.35">
      <c r="A448" t="s">
        <v>848</v>
      </c>
      <c r="B448" t="s">
        <v>765</v>
      </c>
      <c r="C448" t="s">
        <v>108</v>
      </c>
      <c r="D448" t="s">
        <v>114</v>
      </c>
      <c r="E448" t="s">
        <v>32</v>
      </c>
      <c r="F448">
        <v>38</v>
      </c>
      <c r="G448">
        <v>45987</v>
      </c>
      <c r="H448">
        <v>3.5</v>
      </c>
      <c r="I448">
        <v>1</v>
      </c>
      <c r="J448">
        <v>2</v>
      </c>
      <c r="K448" t="s">
        <v>935</v>
      </c>
      <c r="L448" t="s">
        <v>934</v>
      </c>
    </row>
    <row r="449" spans="1:14" ht="14.5" x14ac:dyDescent="0.35">
      <c r="A449" t="s">
        <v>849</v>
      </c>
      <c r="B449" t="s">
        <v>850</v>
      </c>
      <c r="C449" t="s">
        <v>27</v>
      </c>
      <c r="D449" t="s">
        <v>87</v>
      </c>
      <c r="E449" t="s">
        <v>32</v>
      </c>
      <c r="F449">
        <v>45</v>
      </c>
      <c r="G449">
        <v>90873</v>
      </c>
      <c r="H449">
        <v>3.7</v>
      </c>
      <c r="I449">
        <v>2</v>
      </c>
      <c r="J449">
        <v>4</v>
      </c>
      <c r="K449" t="s">
        <v>935</v>
      </c>
      <c r="L449" t="s">
        <v>934</v>
      </c>
    </row>
    <row r="450" spans="1:14" ht="14.5" x14ac:dyDescent="0.35">
      <c r="A450" t="s">
        <v>851</v>
      </c>
      <c r="B450" t="s">
        <v>546</v>
      </c>
      <c r="C450" t="s">
        <v>40</v>
      </c>
      <c r="D450" t="s">
        <v>293</v>
      </c>
      <c r="E450" t="s">
        <v>23</v>
      </c>
      <c r="F450">
        <v>38</v>
      </c>
      <c r="G450">
        <v>31416</v>
      </c>
      <c r="H450">
        <v>5.7</v>
      </c>
      <c r="I450">
        <v>5</v>
      </c>
      <c r="J450">
        <v>4</v>
      </c>
      <c r="K450" t="s">
        <v>935</v>
      </c>
      <c r="L450" t="s">
        <v>934</v>
      </c>
    </row>
    <row r="451" spans="1:14" ht="14.5" x14ac:dyDescent="0.35">
      <c r="A451" t="s">
        <v>852</v>
      </c>
      <c r="B451" t="s">
        <v>853</v>
      </c>
      <c r="C451" t="s">
        <v>69</v>
      </c>
      <c r="D451" t="s">
        <v>105</v>
      </c>
      <c r="E451" t="s">
        <v>23</v>
      </c>
      <c r="F451">
        <v>24</v>
      </c>
      <c r="G451">
        <v>97393</v>
      </c>
      <c r="H451">
        <v>2.5</v>
      </c>
      <c r="I451">
        <v>4</v>
      </c>
      <c r="J451">
        <v>3</v>
      </c>
      <c r="K451" t="s">
        <v>935</v>
      </c>
      <c r="L451" t="s">
        <v>934</v>
      </c>
    </row>
    <row r="452" spans="1:14" ht="14.5" x14ac:dyDescent="0.35">
      <c r="A452" t="s">
        <v>854</v>
      </c>
      <c r="B452" t="s">
        <v>855</v>
      </c>
      <c r="C452" t="s">
        <v>69</v>
      </c>
      <c r="D452" t="s">
        <v>117</v>
      </c>
      <c r="E452" t="s">
        <v>32</v>
      </c>
      <c r="F452">
        <v>36</v>
      </c>
      <c r="G452">
        <v>62934</v>
      </c>
      <c r="H452">
        <v>5</v>
      </c>
      <c r="I452">
        <v>2</v>
      </c>
      <c r="J452">
        <v>3</v>
      </c>
      <c r="K452" t="s">
        <v>933</v>
      </c>
      <c r="L452" t="s">
        <v>934</v>
      </c>
    </row>
    <row r="453" spans="1:14" ht="14.5" x14ac:dyDescent="0.35">
      <c r="A453" t="s">
        <v>856</v>
      </c>
      <c r="B453" t="s">
        <v>684</v>
      </c>
      <c r="C453" t="s">
        <v>69</v>
      </c>
      <c r="D453" t="s">
        <v>319</v>
      </c>
      <c r="E453" t="s">
        <v>23</v>
      </c>
      <c r="F453">
        <v>43</v>
      </c>
      <c r="G453">
        <v>51081</v>
      </c>
      <c r="H453">
        <v>5.8</v>
      </c>
      <c r="I453">
        <v>5</v>
      </c>
      <c r="J453">
        <v>4</v>
      </c>
      <c r="K453" t="s">
        <v>935</v>
      </c>
      <c r="L453" t="s">
        <v>934</v>
      </c>
    </row>
    <row r="454" spans="1:14" ht="14.5" x14ac:dyDescent="0.35">
      <c r="A454" t="s">
        <v>857</v>
      </c>
      <c r="B454" t="s">
        <v>275</v>
      </c>
      <c r="C454" t="s">
        <v>40</v>
      </c>
      <c r="D454" t="s">
        <v>293</v>
      </c>
      <c r="E454" t="s">
        <v>32</v>
      </c>
      <c r="F454">
        <v>43</v>
      </c>
      <c r="G454">
        <v>101873</v>
      </c>
      <c r="H454">
        <v>1.4</v>
      </c>
      <c r="I454">
        <v>4</v>
      </c>
      <c r="J454">
        <v>5</v>
      </c>
      <c r="K454" t="s">
        <v>935</v>
      </c>
      <c r="L454" t="s">
        <v>934</v>
      </c>
    </row>
    <row r="455" spans="1:14" ht="14.5" x14ac:dyDescent="0.35">
      <c r="A455" t="s">
        <v>858</v>
      </c>
      <c r="B455" t="s">
        <v>101</v>
      </c>
      <c r="C455" t="s">
        <v>69</v>
      </c>
      <c r="D455" t="s">
        <v>70</v>
      </c>
      <c r="E455" t="s">
        <v>23</v>
      </c>
      <c r="F455">
        <v>32</v>
      </c>
      <c r="G455">
        <v>32975</v>
      </c>
      <c r="H455">
        <v>2.2000000000000002</v>
      </c>
      <c r="I455">
        <v>3</v>
      </c>
      <c r="J455">
        <v>4</v>
      </c>
      <c r="K455" t="s">
        <v>935</v>
      </c>
      <c r="L455" t="s">
        <v>934</v>
      </c>
    </row>
    <row r="456" spans="1:14" ht="14.5" x14ac:dyDescent="0.35">
      <c r="A456" t="s">
        <v>859</v>
      </c>
      <c r="B456" t="s">
        <v>860</v>
      </c>
      <c r="C456" t="s">
        <v>69</v>
      </c>
      <c r="D456" t="s">
        <v>319</v>
      </c>
      <c r="E456" t="s">
        <v>32</v>
      </c>
      <c r="F456">
        <v>22</v>
      </c>
      <c r="G456">
        <v>90650</v>
      </c>
      <c r="H456">
        <v>1.8</v>
      </c>
      <c r="I456">
        <v>2</v>
      </c>
      <c r="J456">
        <v>5</v>
      </c>
      <c r="K456" t="s">
        <v>933</v>
      </c>
      <c r="L456" t="s">
        <v>934</v>
      </c>
    </row>
    <row r="457" spans="1:14" ht="14.5" x14ac:dyDescent="0.35">
      <c r="A457" t="s">
        <v>861</v>
      </c>
      <c r="B457" t="s">
        <v>229</v>
      </c>
      <c r="C457" t="s">
        <v>45</v>
      </c>
      <c r="D457" t="s">
        <v>234</v>
      </c>
      <c r="E457" t="s">
        <v>32</v>
      </c>
      <c r="F457">
        <v>42</v>
      </c>
      <c r="G457">
        <v>70413</v>
      </c>
      <c r="H457">
        <v>5.8</v>
      </c>
      <c r="I457">
        <v>3</v>
      </c>
      <c r="J457">
        <v>1</v>
      </c>
      <c r="K457" t="s">
        <v>933</v>
      </c>
      <c r="L457" t="s">
        <v>934</v>
      </c>
    </row>
    <row r="458" spans="1:14" ht="14.5" x14ac:dyDescent="0.35">
      <c r="A458" t="s">
        <v>862</v>
      </c>
      <c r="B458" t="s">
        <v>863</v>
      </c>
      <c r="C458" t="s">
        <v>159</v>
      </c>
      <c r="D458" t="s">
        <v>187</v>
      </c>
      <c r="E458" t="s">
        <v>32</v>
      </c>
      <c r="F458">
        <v>28</v>
      </c>
      <c r="G458">
        <v>75826</v>
      </c>
      <c r="H458">
        <v>1.8</v>
      </c>
      <c r="I458">
        <v>1</v>
      </c>
      <c r="J458">
        <v>5</v>
      </c>
      <c r="K458" t="s">
        <v>935</v>
      </c>
      <c r="L458" t="s">
        <v>934</v>
      </c>
    </row>
    <row r="459" spans="1:14" ht="14.5" x14ac:dyDescent="0.35">
      <c r="A459" t="s">
        <v>864</v>
      </c>
      <c r="B459" t="s">
        <v>693</v>
      </c>
      <c r="C459" t="s">
        <v>56</v>
      </c>
      <c r="D459" t="s">
        <v>79</v>
      </c>
      <c r="E459" t="s">
        <v>23</v>
      </c>
      <c r="F459">
        <v>40</v>
      </c>
      <c r="G459">
        <v>45884</v>
      </c>
      <c r="H459">
        <v>4.0999999999999996</v>
      </c>
      <c r="I459">
        <v>4</v>
      </c>
      <c r="J459">
        <v>3</v>
      </c>
      <c r="K459" t="s">
        <v>933</v>
      </c>
      <c r="L459" t="s">
        <v>934</v>
      </c>
    </row>
    <row r="460" spans="1:14" ht="14.5" x14ac:dyDescent="0.35">
      <c r="A460" t="s">
        <v>865</v>
      </c>
      <c r="B460" t="s">
        <v>684</v>
      </c>
      <c r="C460" t="s">
        <v>108</v>
      </c>
      <c r="D460" t="s">
        <v>126</v>
      </c>
      <c r="E460" t="s">
        <v>32</v>
      </c>
      <c r="F460">
        <v>56</v>
      </c>
      <c r="G460">
        <v>74769</v>
      </c>
      <c r="H460">
        <v>0.9</v>
      </c>
      <c r="I460">
        <v>3</v>
      </c>
      <c r="J460">
        <v>3</v>
      </c>
      <c r="K460" t="s">
        <v>933</v>
      </c>
      <c r="L460" t="s">
        <v>934</v>
      </c>
    </row>
    <row r="461" spans="1:14" ht="14.5" x14ac:dyDescent="0.35">
      <c r="A461" t="s">
        <v>866</v>
      </c>
      <c r="B461" t="s">
        <v>867</v>
      </c>
      <c r="C461" t="s">
        <v>159</v>
      </c>
      <c r="D461" t="s">
        <v>324</v>
      </c>
      <c r="E461" t="s">
        <v>23</v>
      </c>
      <c r="F461">
        <v>39</v>
      </c>
      <c r="G461">
        <v>51292</v>
      </c>
      <c r="H461">
        <v>6.3</v>
      </c>
      <c r="I461">
        <v>3</v>
      </c>
      <c r="J461">
        <v>4</v>
      </c>
      <c r="K461" t="s">
        <v>935</v>
      </c>
      <c r="L461" t="s">
        <v>934</v>
      </c>
    </row>
    <row r="462" spans="1:14" ht="14.5" x14ac:dyDescent="0.35">
      <c r="A462" t="s">
        <v>868</v>
      </c>
      <c r="B462" t="s">
        <v>869</v>
      </c>
      <c r="C462" t="s">
        <v>45</v>
      </c>
      <c r="D462" t="s">
        <v>239</v>
      </c>
      <c r="E462" t="s">
        <v>32</v>
      </c>
      <c r="F462">
        <v>32</v>
      </c>
      <c r="G462">
        <v>69709</v>
      </c>
      <c r="H462">
        <v>1</v>
      </c>
      <c r="I462">
        <v>1</v>
      </c>
      <c r="J462">
        <v>2</v>
      </c>
      <c r="K462" t="s">
        <v>933</v>
      </c>
      <c r="L462" t="s">
        <v>934</v>
      </c>
    </row>
    <row r="463" spans="1:14" ht="14.5" x14ac:dyDescent="0.35">
      <c r="A463" t="s">
        <v>870</v>
      </c>
      <c r="B463" t="s">
        <v>871</v>
      </c>
      <c r="C463" t="s">
        <v>69</v>
      </c>
      <c r="D463" t="s">
        <v>319</v>
      </c>
      <c r="E463" t="s">
        <v>32</v>
      </c>
      <c r="F463">
        <v>52</v>
      </c>
      <c r="G463">
        <v>71406</v>
      </c>
      <c r="H463">
        <v>6.2</v>
      </c>
      <c r="I463">
        <v>4</v>
      </c>
      <c r="J463">
        <v>3</v>
      </c>
      <c r="K463" t="s">
        <v>935</v>
      </c>
      <c r="L463" t="s">
        <v>934</v>
      </c>
    </row>
    <row r="464" spans="1:14" ht="14.5" x14ac:dyDescent="0.35">
      <c r="A464" t="s">
        <v>872</v>
      </c>
      <c r="B464" t="s">
        <v>873</v>
      </c>
      <c r="C464" t="s">
        <v>69</v>
      </c>
      <c r="D464" t="s">
        <v>150</v>
      </c>
      <c r="E464" t="s">
        <v>23</v>
      </c>
      <c r="F464">
        <v>31</v>
      </c>
      <c r="G464">
        <v>120925</v>
      </c>
      <c r="H464">
        <v>6.8</v>
      </c>
      <c r="I464">
        <v>3</v>
      </c>
      <c r="J464">
        <v>5</v>
      </c>
      <c r="K464" t="s">
        <v>933</v>
      </c>
      <c r="L464" t="s">
        <v>936</v>
      </c>
      <c r="M464" t="s">
        <v>939</v>
      </c>
      <c r="N464" s="2">
        <v>45701</v>
      </c>
    </row>
    <row r="465" spans="1:14" ht="14.5" x14ac:dyDescent="0.35">
      <c r="A465" t="s">
        <v>874</v>
      </c>
      <c r="B465" t="s">
        <v>863</v>
      </c>
      <c r="C465" t="s">
        <v>108</v>
      </c>
      <c r="D465" t="s">
        <v>114</v>
      </c>
      <c r="E465" t="s">
        <v>23</v>
      </c>
      <c r="F465">
        <v>34</v>
      </c>
      <c r="G465">
        <v>118855</v>
      </c>
      <c r="H465">
        <v>4.9000000000000004</v>
      </c>
      <c r="I465">
        <v>3</v>
      </c>
      <c r="J465">
        <v>1</v>
      </c>
      <c r="K465" t="s">
        <v>933</v>
      </c>
      <c r="L465" t="s">
        <v>934</v>
      </c>
    </row>
    <row r="466" spans="1:14" ht="14.5" x14ac:dyDescent="0.35">
      <c r="A466" t="s">
        <v>875</v>
      </c>
      <c r="B466" t="s">
        <v>876</v>
      </c>
      <c r="C466" t="s">
        <v>36</v>
      </c>
      <c r="D466" t="s">
        <v>37</v>
      </c>
      <c r="E466" t="s">
        <v>32</v>
      </c>
      <c r="F466">
        <v>24</v>
      </c>
      <c r="G466">
        <v>85438</v>
      </c>
      <c r="H466">
        <v>3.4</v>
      </c>
      <c r="I466">
        <v>5</v>
      </c>
      <c r="J466">
        <v>4</v>
      </c>
      <c r="K466" t="s">
        <v>933</v>
      </c>
      <c r="L466" t="s">
        <v>934</v>
      </c>
    </row>
    <row r="467" spans="1:14" ht="14.5" x14ac:dyDescent="0.35">
      <c r="A467" t="s">
        <v>877</v>
      </c>
      <c r="B467" t="s">
        <v>878</v>
      </c>
      <c r="C467" t="s">
        <v>159</v>
      </c>
      <c r="D467" t="s">
        <v>324</v>
      </c>
      <c r="E467" t="s">
        <v>23</v>
      </c>
      <c r="F467">
        <v>45</v>
      </c>
      <c r="G467">
        <v>99568</v>
      </c>
      <c r="H467">
        <v>3.8</v>
      </c>
      <c r="I467">
        <v>1</v>
      </c>
      <c r="J467">
        <v>5</v>
      </c>
      <c r="K467" t="s">
        <v>933</v>
      </c>
      <c r="L467" t="s">
        <v>934</v>
      </c>
    </row>
    <row r="468" spans="1:14" ht="14.5" x14ac:dyDescent="0.35">
      <c r="A468" t="s">
        <v>879</v>
      </c>
      <c r="B468" t="s">
        <v>880</v>
      </c>
      <c r="C468" t="s">
        <v>108</v>
      </c>
      <c r="D468" t="s">
        <v>109</v>
      </c>
      <c r="E468" t="s">
        <v>32</v>
      </c>
      <c r="F468">
        <v>49</v>
      </c>
      <c r="G468">
        <v>32379</v>
      </c>
      <c r="H468">
        <v>6.9</v>
      </c>
      <c r="I468">
        <v>1</v>
      </c>
      <c r="J468">
        <v>4</v>
      </c>
      <c r="K468" t="s">
        <v>933</v>
      </c>
      <c r="L468" t="s">
        <v>934</v>
      </c>
    </row>
    <row r="469" spans="1:14" ht="14.5" x14ac:dyDescent="0.35">
      <c r="A469" t="s">
        <v>881</v>
      </c>
      <c r="B469" t="s">
        <v>882</v>
      </c>
      <c r="C469" t="s">
        <v>40</v>
      </c>
      <c r="D469" t="s">
        <v>293</v>
      </c>
      <c r="E469" t="s">
        <v>32</v>
      </c>
      <c r="F469">
        <v>25</v>
      </c>
      <c r="G469">
        <v>50296</v>
      </c>
      <c r="H469">
        <v>3.9</v>
      </c>
      <c r="I469">
        <v>3</v>
      </c>
      <c r="J469">
        <v>5</v>
      </c>
      <c r="K469" t="s">
        <v>935</v>
      </c>
      <c r="L469" t="s">
        <v>934</v>
      </c>
    </row>
    <row r="470" spans="1:14" ht="14.5" x14ac:dyDescent="0.35">
      <c r="A470" t="s">
        <v>883</v>
      </c>
      <c r="B470" t="s">
        <v>884</v>
      </c>
      <c r="C470" t="s">
        <v>159</v>
      </c>
      <c r="D470" t="s">
        <v>160</v>
      </c>
      <c r="E470" t="s">
        <v>32</v>
      </c>
      <c r="F470">
        <v>42</v>
      </c>
      <c r="G470">
        <v>108431</v>
      </c>
      <c r="H470">
        <v>1.1000000000000001</v>
      </c>
      <c r="I470">
        <v>5</v>
      </c>
      <c r="J470">
        <v>2</v>
      </c>
      <c r="K470" t="s">
        <v>933</v>
      </c>
      <c r="L470" t="s">
        <v>934</v>
      </c>
    </row>
    <row r="471" spans="1:14" ht="14.5" x14ac:dyDescent="0.35">
      <c r="A471" t="s">
        <v>885</v>
      </c>
      <c r="B471" t="s">
        <v>400</v>
      </c>
      <c r="C471" t="s">
        <v>52</v>
      </c>
      <c r="D471" t="s">
        <v>224</v>
      </c>
      <c r="E471" t="s">
        <v>32</v>
      </c>
      <c r="F471">
        <v>48</v>
      </c>
      <c r="G471">
        <v>35019</v>
      </c>
      <c r="H471">
        <v>6</v>
      </c>
      <c r="I471">
        <v>3</v>
      </c>
      <c r="J471">
        <v>5</v>
      </c>
      <c r="K471" t="s">
        <v>935</v>
      </c>
      <c r="L471" t="s">
        <v>934</v>
      </c>
    </row>
    <row r="472" spans="1:14" ht="14.5" x14ac:dyDescent="0.35">
      <c r="A472" t="s">
        <v>886</v>
      </c>
      <c r="B472" t="s">
        <v>506</v>
      </c>
      <c r="C472" t="s">
        <v>69</v>
      </c>
      <c r="D472" t="s">
        <v>117</v>
      </c>
      <c r="E472" t="s">
        <v>23</v>
      </c>
      <c r="F472">
        <v>56</v>
      </c>
      <c r="G472">
        <v>62768</v>
      </c>
      <c r="H472">
        <v>1.7</v>
      </c>
      <c r="I472">
        <v>4</v>
      </c>
      <c r="J472">
        <v>4</v>
      </c>
      <c r="K472" t="s">
        <v>935</v>
      </c>
      <c r="L472" t="s">
        <v>934</v>
      </c>
    </row>
    <row r="473" spans="1:14" ht="14.5" x14ac:dyDescent="0.35">
      <c r="A473" t="s">
        <v>887</v>
      </c>
      <c r="B473" t="s">
        <v>850</v>
      </c>
      <c r="C473" t="s">
        <v>36</v>
      </c>
      <c r="D473" t="s">
        <v>93</v>
      </c>
      <c r="E473" t="s">
        <v>32</v>
      </c>
      <c r="F473">
        <v>24</v>
      </c>
      <c r="G473">
        <v>102943</v>
      </c>
      <c r="H473">
        <v>3.3</v>
      </c>
      <c r="I473">
        <v>1</v>
      </c>
      <c r="J473">
        <v>3</v>
      </c>
      <c r="K473" t="s">
        <v>933</v>
      </c>
      <c r="L473" t="s">
        <v>934</v>
      </c>
    </row>
    <row r="474" spans="1:14" ht="14.5" x14ac:dyDescent="0.35">
      <c r="A474" t="s">
        <v>888</v>
      </c>
      <c r="B474" t="s">
        <v>147</v>
      </c>
      <c r="C474" t="s">
        <v>159</v>
      </c>
      <c r="D474" t="s">
        <v>160</v>
      </c>
      <c r="E474" t="s">
        <v>23</v>
      </c>
      <c r="F474">
        <v>21</v>
      </c>
      <c r="G474">
        <v>39485</v>
      </c>
      <c r="H474">
        <v>3</v>
      </c>
      <c r="I474">
        <v>1</v>
      </c>
      <c r="J474">
        <v>2</v>
      </c>
      <c r="K474" t="s">
        <v>933</v>
      </c>
      <c r="L474" t="s">
        <v>934</v>
      </c>
    </row>
    <row r="475" spans="1:14" ht="14.5" x14ac:dyDescent="0.35">
      <c r="A475" t="s">
        <v>889</v>
      </c>
      <c r="B475" t="s">
        <v>542</v>
      </c>
      <c r="C475" t="s">
        <v>108</v>
      </c>
      <c r="D475" t="s">
        <v>109</v>
      </c>
      <c r="E475" t="s">
        <v>32</v>
      </c>
      <c r="F475">
        <v>22</v>
      </c>
      <c r="G475">
        <v>50391</v>
      </c>
      <c r="H475">
        <v>5.4</v>
      </c>
      <c r="I475">
        <v>3</v>
      </c>
      <c r="J475">
        <v>3</v>
      </c>
      <c r="K475" t="s">
        <v>933</v>
      </c>
      <c r="L475" t="s">
        <v>934</v>
      </c>
    </row>
    <row r="476" spans="1:14" ht="14.5" x14ac:dyDescent="0.35">
      <c r="A476" t="s">
        <v>890</v>
      </c>
      <c r="B476" t="s">
        <v>891</v>
      </c>
      <c r="C476" t="s">
        <v>21</v>
      </c>
      <c r="D476" t="s">
        <v>153</v>
      </c>
      <c r="E476" t="s">
        <v>32</v>
      </c>
      <c r="F476">
        <v>40</v>
      </c>
      <c r="G476">
        <v>89727</v>
      </c>
      <c r="H476">
        <v>3.3</v>
      </c>
      <c r="I476">
        <v>3</v>
      </c>
      <c r="J476">
        <v>1</v>
      </c>
      <c r="K476" t="s">
        <v>933</v>
      </c>
      <c r="L476" t="s">
        <v>934</v>
      </c>
    </row>
    <row r="477" spans="1:14" ht="14.5" x14ac:dyDescent="0.35">
      <c r="A477" t="s">
        <v>892</v>
      </c>
      <c r="B477" t="s">
        <v>808</v>
      </c>
      <c r="C477" t="s">
        <v>21</v>
      </c>
      <c r="D477" t="s">
        <v>49</v>
      </c>
      <c r="E477" t="s">
        <v>23</v>
      </c>
      <c r="F477">
        <v>32</v>
      </c>
      <c r="G477">
        <v>77996</v>
      </c>
      <c r="H477">
        <v>3.6</v>
      </c>
      <c r="I477">
        <v>1</v>
      </c>
      <c r="J477">
        <v>1</v>
      </c>
      <c r="K477" t="s">
        <v>935</v>
      </c>
      <c r="L477" t="s">
        <v>936</v>
      </c>
      <c r="M477" t="s">
        <v>943</v>
      </c>
      <c r="N477" s="2">
        <v>45917</v>
      </c>
    </row>
    <row r="478" spans="1:14" ht="14.5" x14ac:dyDescent="0.35">
      <c r="A478" t="s">
        <v>893</v>
      </c>
      <c r="B478" t="s">
        <v>104</v>
      </c>
      <c r="C478" t="s">
        <v>108</v>
      </c>
      <c r="D478" t="s">
        <v>114</v>
      </c>
      <c r="E478" t="s">
        <v>23</v>
      </c>
      <c r="F478">
        <v>49</v>
      </c>
      <c r="G478">
        <v>62524</v>
      </c>
      <c r="H478">
        <v>2.5</v>
      </c>
      <c r="I478">
        <v>1</v>
      </c>
      <c r="J478">
        <v>2</v>
      </c>
      <c r="K478" t="s">
        <v>935</v>
      </c>
      <c r="L478" t="s">
        <v>934</v>
      </c>
    </row>
    <row r="479" spans="1:14" ht="14.5" x14ac:dyDescent="0.35">
      <c r="A479" t="s">
        <v>894</v>
      </c>
      <c r="B479" t="s">
        <v>895</v>
      </c>
      <c r="C479" t="s">
        <v>45</v>
      </c>
      <c r="D479" t="s">
        <v>296</v>
      </c>
      <c r="E479" t="s">
        <v>32</v>
      </c>
      <c r="F479">
        <v>27</v>
      </c>
      <c r="G479">
        <v>115574</v>
      </c>
      <c r="H479">
        <v>6.8</v>
      </c>
      <c r="I479">
        <v>5</v>
      </c>
      <c r="J479">
        <v>4</v>
      </c>
      <c r="K479" t="s">
        <v>933</v>
      </c>
      <c r="L479" t="s">
        <v>934</v>
      </c>
    </row>
    <row r="480" spans="1:14" ht="14.5" x14ac:dyDescent="0.35">
      <c r="A480" t="s">
        <v>896</v>
      </c>
      <c r="B480" t="s">
        <v>850</v>
      </c>
      <c r="C480" t="s">
        <v>56</v>
      </c>
      <c r="D480" t="s">
        <v>112</v>
      </c>
      <c r="E480" t="s">
        <v>32</v>
      </c>
      <c r="F480">
        <v>45</v>
      </c>
      <c r="G480">
        <v>82870</v>
      </c>
      <c r="H480">
        <v>1.9</v>
      </c>
      <c r="I480">
        <v>2</v>
      </c>
      <c r="J480">
        <v>2</v>
      </c>
      <c r="K480" t="s">
        <v>933</v>
      </c>
      <c r="L480" t="s">
        <v>934</v>
      </c>
    </row>
    <row r="481" spans="1:14" ht="14.5" x14ac:dyDescent="0.35">
      <c r="A481" t="s">
        <v>897</v>
      </c>
      <c r="B481" t="s">
        <v>814</v>
      </c>
      <c r="C481" t="s">
        <v>45</v>
      </c>
      <c r="D481" t="s">
        <v>234</v>
      </c>
      <c r="E481" t="s">
        <v>23</v>
      </c>
      <c r="F481">
        <v>40</v>
      </c>
      <c r="G481">
        <v>79747</v>
      </c>
      <c r="H481">
        <v>6.9</v>
      </c>
      <c r="I481">
        <v>2</v>
      </c>
      <c r="J481">
        <v>1</v>
      </c>
      <c r="K481" t="s">
        <v>935</v>
      </c>
      <c r="L481" t="s">
        <v>934</v>
      </c>
    </row>
    <row r="482" spans="1:14" ht="14.5" x14ac:dyDescent="0.35">
      <c r="A482" t="s">
        <v>898</v>
      </c>
      <c r="B482" t="s">
        <v>653</v>
      </c>
      <c r="C482" t="s">
        <v>27</v>
      </c>
      <c r="D482" t="s">
        <v>87</v>
      </c>
      <c r="E482" t="s">
        <v>32</v>
      </c>
      <c r="F482">
        <v>49</v>
      </c>
      <c r="G482">
        <v>49910</v>
      </c>
      <c r="H482">
        <v>5.8</v>
      </c>
      <c r="I482">
        <v>5</v>
      </c>
      <c r="J482">
        <v>5</v>
      </c>
      <c r="K482" t="s">
        <v>933</v>
      </c>
      <c r="L482" t="s">
        <v>936</v>
      </c>
      <c r="M482" t="s">
        <v>939</v>
      </c>
      <c r="N482" s="2">
        <v>46118</v>
      </c>
    </row>
    <row r="483" spans="1:14" ht="14.5" x14ac:dyDescent="0.35">
      <c r="A483" t="s">
        <v>899</v>
      </c>
      <c r="B483" t="s">
        <v>481</v>
      </c>
      <c r="C483" t="s">
        <v>159</v>
      </c>
      <c r="D483" t="s">
        <v>160</v>
      </c>
      <c r="E483" t="s">
        <v>23</v>
      </c>
      <c r="F483">
        <v>26</v>
      </c>
      <c r="G483">
        <v>54465</v>
      </c>
      <c r="H483">
        <v>2.9</v>
      </c>
      <c r="I483">
        <v>1</v>
      </c>
      <c r="J483">
        <v>1</v>
      </c>
      <c r="K483" t="s">
        <v>933</v>
      </c>
      <c r="L483" t="s">
        <v>934</v>
      </c>
    </row>
    <row r="484" spans="1:14" ht="14.5" x14ac:dyDescent="0.35">
      <c r="A484" t="s">
        <v>900</v>
      </c>
      <c r="B484" t="s">
        <v>456</v>
      </c>
      <c r="C484" t="s">
        <v>45</v>
      </c>
      <c r="D484" t="s">
        <v>46</v>
      </c>
      <c r="E484" t="s">
        <v>23</v>
      </c>
      <c r="F484">
        <v>25</v>
      </c>
      <c r="G484">
        <v>78868</v>
      </c>
      <c r="H484">
        <v>6.8</v>
      </c>
      <c r="I484">
        <v>4</v>
      </c>
      <c r="J484">
        <v>1</v>
      </c>
      <c r="K484" t="s">
        <v>933</v>
      </c>
      <c r="L484" t="s">
        <v>934</v>
      </c>
    </row>
    <row r="485" spans="1:14" ht="14.5" x14ac:dyDescent="0.35">
      <c r="A485" t="s">
        <v>901</v>
      </c>
      <c r="B485" t="s">
        <v>432</v>
      </c>
      <c r="C485" t="s">
        <v>27</v>
      </c>
      <c r="D485" t="s">
        <v>73</v>
      </c>
      <c r="E485" t="s">
        <v>23</v>
      </c>
      <c r="F485">
        <v>54</v>
      </c>
      <c r="G485">
        <v>29620</v>
      </c>
      <c r="H485">
        <v>2.6</v>
      </c>
      <c r="I485">
        <v>4</v>
      </c>
      <c r="J485">
        <v>1</v>
      </c>
      <c r="K485" t="s">
        <v>935</v>
      </c>
      <c r="L485" t="s">
        <v>934</v>
      </c>
    </row>
    <row r="486" spans="1:14" ht="14.5" x14ac:dyDescent="0.35">
      <c r="A486" t="s">
        <v>902</v>
      </c>
      <c r="B486" t="s">
        <v>610</v>
      </c>
      <c r="C486" t="s">
        <v>45</v>
      </c>
      <c r="D486" t="s">
        <v>239</v>
      </c>
      <c r="E486" t="s">
        <v>32</v>
      </c>
      <c r="F486">
        <v>47</v>
      </c>
      <c r="G486">
        <v>47424</v>
      </c>
      <c r="H486">
        <v>6.1</v>
      </c>
      <c r="I486">
        <v>5</v>
      </c>
      <c r="J486">
        <v>4</v>
      </c>
      <c r="K486" t="s">
        <v>933</v>
      </c>
      <c r="L486" t="s">
        <v>934</v>
      </c>
    </row>
    <row r="487" spans="1:14" ht="14.5" x14ac:dyDescent="0.35">
      <c r="A487" t="s">
        <v>903</v>
      </c>
      <c r="B487" t="s">
        <v>904</v>
      </c>
      <c r="C487" t="s">
        <v>45</v>
      </c>
      <c r="D487" t="s">
        <v>296</v>
      </c>
      <c r="E487" t="s">
        <v>32</v>
      </c>
      <c r="F487">
        <v>57</v>
      </c>
      <c r="G487">
        <v>65498</v>
      </c>
      <c r="H487">
        <v>6.6</v>
      </c>
      <c r="I487">
        <v>1</v>
      </c>
      <c r="J487">
        <v>4</v>
      </c>
      <c r="K487" t="s">
        <v>933</v>
      </c>
      <c r="L487" t="s">
        <v>934</v>
      </c>
    </row>
    <row r="488" spans="1:14" ht="14.5" x14ac:dyDescent="0.35">
      <c r="A488" t="s">
        <v>905</v>
      </c>
      <c r="B488" t="s">
        <v>906</v>
      </c>
      <c r="C488" t="s">
        <v>40</v>
      </c>
      <c r="D488" t="s">
        <v>65</v>
      </c>
      <c r="E488" t="s">
        <v>23</v>
      </c>
      <c r="F488">
        <v>45</v>
      </c>
      <c r="G488">
        <v>102976</v>
      </c>
      <c r="H488">
        <v>2.2999999999999998</v>
      </c>
      <c r="I488">
        <v>3</v>
      </c>
      <c r="J488">
        <v>5</v>
      </c>
      <c r="K488" t="s">
        <v>933</v>
      </c>
      <c r="L488" t="s">
        <v>934</v>
      </c>
    </row>
    <row r="489" spans="1:14" ht="14.5" x14ac:dyDescent="0.35">
      <c r="A489" t="s">
        <v>907</v>
      </c>
      <c r="B489" t="s">
        <v>248</v>
      </c>
      <c r="C489" t="s">
        <v>52</v>
      </c>
      <c r="D489" t="s">
        <v>195</v>
      </c>
      <c r="E489" t="s">
        <v>23</v>
      </c>
      <c r="F489">
        <v>46</v>
      </c>
      <c r="G489">
        <v>109034</v>
      </c>
      <c r="H489">
        <v>6.1</v>
      </c>
      <c r="I489">
        <v>3</v>
      </c>
      <c r="J489">
        <v>1</v>
      </c>
      <c r="K489" t="s">
        <v>935</v>
      </c>
      <c r="L489" t="s">
        <v>934</v>
      </c>
    </row>
    <row r="490" spans="1:14" ht="14.5" x14ac:dyDescent="0.35">
      <c r="A490" t="s">
        <v>908</v>
      </c>
      <c r="B490" t="s">
        <v>909</v>
      </c>
      <c r="C490" t="s">
        <v>52</v>
      </c>
      <c r="D490" t="s">
        <v>224</v>
      </c>
      <c r="E490" t="s">
        <v>23</v>
      </c>
      <c r="F490">
        <v>36</v>
      </c>
      <c r="G490">
        <v>90287</v>
      </c>
      <c r="H490">
        <v>7.2</v>
      </c>
      <c r="I490">
        <v>4</v>
      </c>
      <c r="J490">
        <v>5</v>
      </c>
      <c r="K490" t="s">
        <v>935</v>
      </c>
      <c r="L490" t="s">
        <v>934</v>
      </c>
    </row>
    <row r="491" spans="1:14" ht="14.5" x14ac:dyDescent="0.35">
      <c r="A491" t="s">
        <v>910</v>
      </c>
      <c r="B491" t="s">
        <v>298</v>
      </c>
      <c r="C491" t="s">
        <v>40</v>
      </c>
      <c r="D491" t="s">
        <v>41</v>
      </c>
      <c r="E491" t="s">
        <v>23</v>
      </c>
      <c r="F491">
        <v>40</v>
      </c>
      <c r="G491">
        <v>64745</v>
      </c>
      <c r="H491">
        <v>4.3</v>
      </c>
      <c r="I491">
        <v>1</v>
      </c>
      <c r="J491">
        <v>1</v>
      </c>
      <c r="K491" t="s">
        <v>933</v>
      </c>
      <c r="L491" t="s">
        <v>934</v>
      </c>
    </row>
    <row r="492" spans="1:14" ht="14.5" x14ac:dyDescent="0.35">
      <c r="A492" t="s">
        <v>911</v>
      </c>
      <c r="B492" t="s">
        <v>699</v>
      </c>
      <c r="C492" t="s">
        <v>21</v>
      </c>
      <c r="D492" t="s">
        <v>133</v>
      </c>
      <c r="E492" t="s">
        <v>32</v>
      </c>
      <c r="F492">
        <v>40</v>
      </c>
      <c r="G492">
        <v>70056</v>
      </c>
      <c r="H492">
        <v>2.8</v>
      </c>
      <c r="I492">
        <v>4</v>
      </c>
      <c r="J492">
        <v>3</v>
      </c>
      <c r="K492" t="s">
        <v>933</v>
      </c>
      <c r="L492" t="s">
        <v>934</v>
      </c>
    </row>
    <row r="493" spans="1:14" ht="14.5" x14ac:dyDescent="0.35">
      <c r="A493" t="s">
        <v>912</v>
      </c>
      <c r="B493" t="s">
        <v>701</v>
      </c>
      <c r="C493" t="s">
        <v>45</v>
      </c>
      <c r="D493" t="s">
        <v>296</v>
      </c>
      <c r="E493" t="s">
        <v>32</v>
      </c>
      <c r="F493">
        <v>49</v>
      </c>
      <c r="G493">
        <v>81368</v>
      </c>
      <c r="H493">
        <v>5.4</v>
      </c>
      <c r="I493">
        <v>2</v>
      </c>
      <c r="J493">
        <v>1</v>
      </c>
      <c r="K493" t="s">
        <v>933</v>
      </c>
      <c r="L493" t="s">
        <v>934</v>
      </c>
    </row>
    <row r="494" spans="1:14" ht="14.5" x14ac:dyDescent="0.35">
      <c r="A494" t="s">
        <v>913</v>
      </c>
      <c r="B494" t="s">
        <v>914</v>
      </c>
      <c r="C494" t="s">
        <v>27</v>
      </c>
      <c r="D494" t="s">
        <v>73</v>
      </c>
      <c r="E494" t="s">
        <v>32</v>
      </c>
      <c r="F494">
        <v>53</v>
      </c>
      <c r="G494">
        <v>36600</v>
      </c>
      <c r="H494">
        <v>6</v>
      </c>
      <c r="I494">
        <v>2</v>
      </c>
      <c r="J494">
        <v>5</v>
      </c>
      <c r="K494" t="s">
        <v>935</v>
      </c>
      <c r="L494" t="s">
        <v>934</v>
      </c>
    </row>
    <row r="495" spans="1:14" ht="14.5" x14ac:dyDescent="0.35">
      <c r="A495" t="s">
        <v>915</v>
      </c>
      <c r="B495" t="s">
        <v>61</v>
      </c>
      <c r="C495" t="s">
        <v>56</v>
      </c>
      <c r="D495" t="s">
        <v>112</v>
      </c>
      <c r="E495" t="s">
        <v>32</v>
      </c>
      <c r="F495">
        <v>32</v>
      </c>
      <c r="G495">
        <v>54309</v>
      </c>
      <c r="H495">
        <v>5.6</v>
      </c>
      <c r="I495">
        <v>1</v>
      </c>
      <c r="J495">
        <v>4</v>
      </c>
      <c r="K495" t="s">
        <v>933</v>
      </c>
      <c r="L495" t="s">
        <v>934</v>
      </c>
    </row>
    <row r="496" spans="1:14" ht="14.5" x14ac:dyDescent="0.35">
      <c r="A496" t="s">
        <v>916</v>
      </c>
      <c r="B496" t="s">
        <v>280</v>
      </c>
      <c r="C496" t="s">
        <v>69</v>
      </c>
      <c r="D496" t="s">
        <v>105</v>
      </c>
      <c r="E496" t="s">
        <v>23</v>
      </c>
      <c r="F496">
        <v>24</v>
      </c>
      <c r="G496">
        <v>120357</v>
      </c>
      <c r="H496">
        <v>3.7</v>
      </c>
      <c r="I496">
        <v>5</v>
      </c>
      <c r="J496">
        <v>1</v>
      </c>
      <c r="K496" t="s">
        <v>933</v>
      </c>
      <c r="L496" t="s">
        <v>934</v>
      </c>
    </row>
    <row r="497" spans="1:14" ht="14.5" x14ac:dyDescent="0.35">
      <c r="A497" t="s">
        <v>917</v>
      </c>
      <c r="B497" t="s">
        <v>918</v>
      </c>
      <c r="C497" t="s">
        <v>40</v>
      </c>
      <c r="D497" t="s">
        <v>65</v>
      </c>
      <c r="E497" t="s">
        <v>23</v>
      </c>
      <c r="F497">
        <v>28</v>
      </c>
      <c r="G497">
        <v>59711</v>
      </c>
      <c r="H497">
        <v>7.4</v>
      </c>
      <c r="I497">
        <v>4</v>
      </c>
      <c r="J497">
        <v>1</v>
      </c>
      <c r="K497" t="s">
        <v>935</v>
      </c>
      <c r="L497" t="s">
        <v>936</v>
      </c>
      <c r="M497" t="s">
        <v>937</v>
      </c>
      <c r="N497" s="2">
        <v>45998</v>
      </c>
    </row>
    <row r="498" spans="1:14" ht="14.5" x14ac:dyDescent="0.35">
      <c r="A498" t="s">
        <v>919</v>
      </c>
      <c r="B498" t="s">
        <v>920</v>
      </c>
      <c r="C498" t="s">
        <v>45</v>
      </c>
      <c r="D498" t="s">
        <v>239</v>
      </c>
      <c r="E498" t="s">
        <v>32</v>
      </c>
      <c r="F498">
        <v>51</v>
      </c>
      <c r="G498">
        <v>100264</v>
      </c>
      <c r="H498">
        <v>1.2</v>
      </c>
      <c r="I498">
        <v>5</v>
      </c>
      <c r="J498">
        <v>4</v>
      </c>
      <c r="K498" t="s">
        <v>933</v>
      </c>
      <c r="L498" t="s">
        <v>934</v>
      </c>
    </row>
    <row r="499" spans="1:14" ht="14.5" x14ac:dyDescent="0.35">
      <c r="A499" t="s">
        <v>921</v>
      </c>
      <c r="B499" t="s">
        <v>842</v>
      </c>
      <c r="C499" t="s">
        <v>159</v>
      </c>
      <c r="D499" t="s">
        <v>269</v>
      </c>
      <c r="E499" t="s">
        <v>32</v>
      </c>
      <c r="F499">
        <v>39</v>
      </c>
      <c r="G499">
        <v>78667</v>
      </c>
      <c r="H499">
        <v>7.4</v>
      </c>
      <c r="I499">
        <v>2</v>
      </c>
      <c r="J499">
        <v>5</v>
      </c>
      <c r="K499" t="s">
        <v>935</v>
      </c>
      <c r="L499" t="s">
        <v>934</v>
      </c>
    </row>
    <row r="500" spans="1:14" ht="14.5" x14ac:dyDescent="0.35">
      <c r="A500" t="s">
        <v>922</v>
      </c>
      <c r="B500" t="s">
        <v>430</v>
      </c>
      <c r="C500" t="s">
        <v>45</v>
      </c>
      <c r="D500" t="s">
        <v>234</v>
      </c>
      <c r="E500" t="s">
        <v>32</v>
      </c>
      <c r="F500">
        <v>35</v>
      </c>
      <c r="G500">
        <v>63269</v>
      </c>
      <c r="H500">
        <v>5.4</v>
      </c>
      <c r="I500">
        <v>4</v>
      </c>
      <c r="J500">
        <v>1</v>
      </c>
      <c r="K500" t="s">
        <v>933</v>
      </c>
      <c r="L500" t="s">
        <v>934</v>
      </c>
    </row>
    <row r="501" spans="1:14" ht="14.5" x14ac:dyDescent="0.35">
      <c r="A501" t="s">
        <v>923</v>
      </c>
      <c r="B501" t="s">
        <v>924</v>
      </c>
      <c r="C501" t="s">
        <v>27</v>
      </c>
      <c r="D501" t="s">
        <v>28</v>
      </c>
      <c r="E501" t="s">
        <v>32</v>
      </c>
      <c r="F501">
        <v>51</v>
      </c>
      <c r="G501">
        <v>112852</v>
      </c>
      <c r="H501">
        <v>6.3</v>
      </c>
      <c r="I501">
        <v>2</v>
      </c>
      <c r="J501">
        <v>1</v>
      </c>
      <c r="K501" t="s">
        <v>935</v>
      </c>
      <c r="L501" t="s">
        <v>934</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1A366"/>
  </sheetPr>
  <dimension ref="A1:N501"/>
  <sheetViews>
    <sheetView topLeftCell="G1" zoomScaleNormal="100" workbookViewId="0">
      <pane ySplit="1" topLeftCell="A2" activePane="bottomLeft" state="frozen"/>
      <selection pane="bottomLeft" activeCell="I18" sqref="I18"/>
    </sheetView>
  </sheetViews>
  <sheetFormatPr defaultColWidth="8.6328125" defaultRowHeight="15" customHeight="1" x14ac:dyDescent="0.35"/>
  <cols>
    <col min="1" max="1" width="16.08984375" customWidth="1"/>
    <col min="2" max="2" width="18.26953125" customWidth="1"/>
    <col min="3" max="3" width="22" customWidth="1"/>
    <col min="4" max="4" width="18" customWidth="1"/>
    <col min="5" max="5" width="27" customWidth="1"/>
    <col min="6" max="6" width="20" customWidth="1"/>
    <col min="7" max="7" width="20.453125" customWidth="1"/>
    <col min="8" max="10" width="18" customWidth="1"/>
    <col min="11" max="11" width="14" customWidth="1"/>
    <col min="12" max="13" width="15" customWidth="1"/>
    <col min="14" max="14" width="16" customWidth="1"/>
  </cols>
  <sheetData>
    <row r="1" spans="1:14" ht="30" customHeight="1" x14ac:dyDescent="0.35">
      <c r="A1" s="1" t="s">
        <v>945</v>
      </c>
      <c r="B1" s="1" t="s">
        <v>946</v>
      </c>
      <c r="C1" s="1" t="s">
        <v>947</v>
      </c>
      <c r="D1" s="1" t="s">
        <v>0</v>
      </c>
      <c r="E1" s="1" t="s">
        <v>9</v>
      </c>
      <c r="F1" s="1" t="s">
        <v>948</v>
      </c>
      <c r="G1" s="1" t="s">
        <v>949</v>
      </c>
      <c r="H1" s="1" t="s">
        <v>950</v>
      </c>
      <c r="I1" s="1" t="s">
        <v>951</v>
      </c>
      <c r="J1" s="1" t="s">
        <v>952</v>
      </c>
      <c r="K1" s="1" t="s">
        <v>953</v>
      </c>
      <c r="L1" s="1" t="s">
        <v>954</v>
      </c>
      <c r="M1" s="1" t="s">
        <v>955</v>
      </c>
      <c r="N1" s="1" t="s">
        <v>133</v>
      </c>
    </row>
    <row r="2" spans="1:14" ht="14.5" x14ac:dyDescent="0.35">
      <c r="A2" t="s">
        <v>956</v>
      </c>
      <c r="B2" s="2">
        <v>46052</v>
      </c>
      <c r="C2" t="s">
        <v>653</v>
      </c>
      <c r="D2" t="s">
        <v>45</v>
      </c>
      <c r="E2" t="s">
        <v>239</v>
      </c>
      <c r="F2" t="s">
        <v>957</v>
      </c>
      <c r="G2">
        <v>7</v>
      </c>
      <c r="H2" t="s">
        <v>958</v>
      </c>
      <c r="I2">
        <v>67</v>
      </c>
      <c r="J2">
        <v>77</v>
      </c>
      <c r="K2" t="s">
        <v>959</v>
      </c>
      <c r="L2" t="s">
        <v>960</v>
      </c>
      <c r="M2">
        <v>43</v>
      </c>
      <c r="N2" t="s">
        <v>961</v>
      </c>
    </row>
    <row r="3" spans="1:14" ht="14.5" x14ac:dyDescent="0.35">
      <c r="A3" t="s">
        <v>962</v>
      </c>
      <c r="B3" s="2">
        <v>45986</v>
      </c>
      <c r="C3" t="s">
        <v>280</v>
      </c>
      <c r="D3" t="s">
        <v>108</v>
      </c>
      <c r="E3" t="s">
        <v>114</v>
      </c>
      <c r="F3" t="s">
        <v>963</v>
      </c>
      <c r="G3">
        <v>0</v>
      </c>
      <c r="H3" t="s">
        <v>964</v>
      </c>
      <c r="I3">
        <v>66</v>
      </c>
      <c r="J3">
        <v>74</v>
      </c>
      <c r="K3" t="s">
        <v>965</v>
      </c>
      <c r="L3" t="s">
        <v>966</v>
      </c>
      <c r="N3" t="s">
        <v>967</v>
      </c>
    </row>
    <row r="4" spans="1:14" ht="14.5" x14ac:dyDescent="0.35">
      <c r="A4" t="s">
        <v>968</v>
      </c>
      <c r="B4" s="2">
        <v>46014</v>
      </c>
      <c r="C4" t="s">
        <v>969</v>
      </c>
      <c r="D4" t="s">
        <v>21</v>
      </c>
      <c r="E4" t="s">
        <v>49</v>
      </c>
      <c r="F4" t="s">
        <v>957</v>
      </c>
      <c r="G4">
        <v>6</v>
      </c>
      <c r="H4" t="s">
        <v>970</v>
      </c>
      <c r="I4">
        <v>65</v>
      </c>
      <c r="J4">
        <v>68</v>
      </c>
      <c r="K4" t="s">
        <v>971</v>
      </c>
      <c r="L4" t="s">
        <v>972</v>
      </c>
      <c r="N4" t="s">
        <v>973</v>
      </c>
    </row>
    <row r="5" spans="1:14" ht="14.5" x14ac:dyDescent="0.35">
      <c r="A5" t="s">
        <v>974</v>
      </c>
      <c r="B5" s="2">
        <v>46265</v>
      </c>
      <c r="C5" t="s">
        <v>569</v>
      </c>
      <c r="D5" t="s">
        <v>69</v>
      </c>
      <c r="E5" t="s">
        <v>319</v>
      </c>
      <c r="F5" t="s">
        <v>975</v>
      </c>
      <c r="G5">
        <v>12</v>
      </c>
      <c r="H5" t="s">
        <v>964</v>
      </c>
      <c r="I5">
        <v>93</v>
      </c>
      <c r="J5">
        <v>72</v>
      </c>
      <c r="K5" t="s">
        <v>965</v>
      </c>
      <c r="L5" t="s">
        <v>966</v>
      </c>
      <c r="N5" t="s">
        <v>973</v>
      </c>
    </row>
    <row r="6" spans="1:14" ht="14.5" x14ac:dyDescent="0.35">
      <c r="A6" t="s">
        <v>976</v>
      </c>
      <c r="B6" s="2">
        <v>46151</v>
      </c>
      <c r="C6" t="s">
        <v>583</v>
      </c>
      <c r="D6" t="s">
        <v>21</v>
      </c>
      <c r="E6" t="s">
        <v>153</v>
      </c>
      <c r="F6" t="s">
        <v>977</v>
      </c>
      <c r="G6">
        <v>5</v>
      </c>
      <c r="H6" t="s">
        <v>970</v>
      </c>
      <c r="I6">
        <v>80</v>
      </c>
      <c r="J6">
        <v>42</v>
      </c>
      <c r="K6" t="s">
        <v>965</v>
      </c>
      <c r="L6" t="s">
        <v>966</v>
      </c>
      <c r="N6" t="s">
        <v>978</v>
      </c>
    </row>
    <row r="7" spans="1:14" ht="14.5" x14ac:dyDescent="0.35">
      <c r="A7" t="s">
        <v>979</v>
      </c>
      <c r="B7" s="2">
        <v>46277</v>
      </c>
      <c r="C7" t="s">
        <v>980</v>
      </c>
      <c r="D7" t="s">
        <v>56</v>
      </c>
      <c r="E7" t="s">
        <v>217</v>
      </c>
      <c r="F7" t="s">
        <v>957</v>
      </c>
      <c r="G7">
        <v>3</v>
      </c>
      <c r="H7" t="s">
        <v>981</v>
      </c>
      <c r="I7">
        <v>45</v>
      </c>
      <c r="J7">
        <v>92</v>
      </c>
      <c r="K7" t="s">
        <v>982</v>
      </c>
      <c r="L7" t="s">
        <v>966</v>
      </c>
      <c r="N7" t="s">
        <v>967</v>
      </c>
    </row>
    <row r="8" spans="1:14" ht="14.5" x14ac:dyDescent="0.35">
      <c r="A8" t="s">
        <v>983</v>
      </c>
      <c r="B8" s="2">
        <v>45819</v>
      </c>
      <c r="C8" t="s">
        <v>984</v>
      </c>
      <c r="D8" t="s">
        <v>40</v>
      </c>
      <c r="E8" t="s">
        <v>90</v>
      </c>
      <c r="F8" t="s">
        <v>977</v>
      </c>
      <c r="G8">
        <v>7</v>
      </c>
      <c r="H8" t="s">
        <v>964</v>
      </c>
      <c r="I8">
        <v>56</v>
      </c>
      <c r="J8">
        <v>70</v>
      </c>
      <c r="K8" t="s">
        <v>959</v>
      </c>
      <c r="L8" t="s">
        <v>960</v>
      </c>
      <c r="M8">
        <v>37</v>
      </c>
      <c r="N8" t="s">
        <v>973</v>
      </c>
    </row>
    <row r="9" spans="1:14" ht="14.5" x14ac:dyDescent="0.35">
      <c r="A9" t="s">
        <v>985</v>
      </c>
      <c r="B9" s="2">
        <v>45729</v>
      </c>
      <c r="C9" t="s">
        <v>621</v>
      </c>
      <c r="D9" t="s">
        <v>36</v>
      </c>
      <c r="E9" t="s">
        <v>253</v>
      </c>
      <c r="F9" t="s">
        <v>957</v>
      </c>
      <c r="G9">
        <v>10</v>
      </c>
      <c r="H9" t="s">
        <v>981</v>
      </c>
      <c r="I9">
        <v>68</v>
      </c>
      <c r="J9">
        <v>91</v>
      </c>
      <c r="K9" t="s">
        <v>959</v>
      </c>
      <c r="L9" t="s">
        <v>960</v>
      </c>
      <c r="M9">
        <v>13</v>
      </c>
      <c r="N9" t="s">
        <v>967</v>
      </c>
    </row>
    <row r="10" spans="1:14" ht="14.5" x14ac:dyDescent="0.35">
      <c r="A10" t="s">
        <v>986</v>
      </c>
      <c r="B10" s="2">
        <v>46094</v>
      </c>
      <c r="C10" t="s">
        <v>722</v>
      </c>
      <c r="D10" t="s">
        <v>40</v>
      </c>
      <c r="E10" t="s">
        <v>293</v>
      </c>
      <c r="F10" t="s">
        <v>987</v>
      </c>
      <c r="G10">
        <v>1</v>
      </c>
      <c r="H10" t="s">
        <v>988</v>
      </c>
      <c r="I10">
        <v>60</v>
      </c>
      <c r="J10">
        <v>40</v>
      </c>
      <c r="K10" t="s">
        <v>982</v>
      </c>
      <c r="L10" t="s">
        <v>966</v>
      </c>
      <c r="N10" t="s">
        <v>967</v>
      </c>
    </row>
    <row r="11" spans="1:14" ht="14.5" x14ac:dyDescent="0.35">
      <c r="A11" t="s">
        <v>989</v>
      </c>
      <c r="B11" s="2">
        <v>45666</v>
      </c>
      <c r="C11" t="s">
        <v>346</v>
      </c>
      <c r="D11" t="s">
        <v>108</v>
      </c>
      <c r="E11" t="s">
        <v>109</v>
      </c>
      <c r="F11" t="s">
        <v>975</v>
      </c>
      <c r="G11">
        <v>10</v>
      </c>
      <c r="H11" t="s">
        <v>981</v>
      </c>
      <c r="I11">
        <v>74</v>
      </c>
      <c r="J11">
        <v>88</v>
      </c>
      <c r="K11" t="s">
        <v>982</v>
      </c>
      <c r="L11" t="s">
        <v>966</v>
      </c>
      <c r="N11" t="s">
        <v>978</v>
      </c>
    </row>
    <row r="12" spans="1:14" ht="14.5" x14ac:dyDescent="0.35">
      <c r="A12" t="s">
        <v>990</v>
      </c>
      <c r="B12" s="2">
        <v>45776</v>
      </c>
      <c r="C12" t="s">
        <v>991</v>
      </c>
      <c r="D12" t="s">
        <v>108</v>
      </c>
      <c r="E12" t="s">
        <v>206</v>
      </c>
      <c r="F12" t="s">
        <v>992</v>
      </c>
      <c r="G12">
        <v>1</v>
      </c>
      <c r="H12" t="s">
        <v>964</v>
      </c>
      <c r="I12">
        <v>93</v>
      </c>
      <c r="J12">
        <v>72</v>
      </c>
      <c r="K12" t="s">
        <v>993</v>
      </c>
      <c r="L12" t="s">
        <v>966</v>
      </c>
      <c r="N12" t="s">
        <v>978</v>
      </c>
    </row>
    <row r="13" spans="1:14" ht="14.5" x14ac:dyDescent="0.35">
      <c r="A13" t="s">
        <v>994</v>
      </c>
      <c r="B13" s="2">
        <v>45861</v>
      </c>
      <c r="C13" t="s">
        <v>516</v>
      </c>
      <c r="D13" t="s">
        <v>27</v>
      </c>
      <c r="E13" t="s">
        <v>76</v>
      </c>
      <c r="F13" t="s">
        <v>957</v>
      </c>
      <c r="G13">
        <v>0</v>
      </c>
      <c r="H13" t="s">
        <v>995</v>
      </c>
      <c r="I13">
        <v>94</v>
      </c>
      <c r="J13">
        <v>78</v>
      </c>
      <c r="K13" t="s">
        <v>965</v>
      </c>
      <c r="L13" t="s">
        <v>966</v>
      </c>
      <c r="N13" t="s">
        <v>961</v>
      </c>
    </row>
    <row r="14" spans="1:14" ht="14.5" x14ac:dyDescent="0.35">
      <c r="A14" t="s">
        <v>996</v>
      </c>
      <c r="B14" s="2">
        <v>45802</v>
      </c>
      <c r="C14" t="s">
        <v>638</v>
      </c>
      <c r="D14" t="s">
        <v>159</v>
      </c>
      <c r="E14" t="s">
        <v>269</v>
      </c>
      <c r="F14" t="s">
        <v>963</v>
      </c>
      <c r="G14">
        <v>3</v>
      </c>
      <c r="H14" t="s">
        <v>964</v>
      </c>
      <c r="I14">
        <v>63</v>
      </c>
      <c r="J14">
        <v>83</v>
      </c>
      <c r="K14" t="s">
        <v>993</v>
      </c>
      <c r="L14" t="s">
        <v>966</v>
      </c>
      <c r="N14" t="s">
        <v>978</v>
      </c>
    </row>
    <row r="15" spans="1:14" ht="14.5" x14ac:dyDescent="0.35">
      <c r="A15" t="s">
        <v>997</v>
      </c>
      <c r="B15" s="2">
        <v>45754</v>
      </c>
      <c r="C15" t="s">
        <v>998</v>
      </c>
      <c r="D15" t="s">
        <v>108</v>
      </c>
      <c r="E15" t="s">
        <v>206</v>
      </c>
      <c r="F15" t="s">
        <v>987</v>
      </c>
      <c r="G15">
        <v>12</v>
      </c>
      <c r="H15" t="s">
        <v>964</v>
      </c>
      <c r="I15">
        <v>84</v>
      </c>
      <c r="J15">
        <v>93</v>
      </c>
      <c r="K15" t="s">
        <v>982</v>
      </c>
      <c r="L15" t="s">
        <v>966</v>
      </c>
      <c r="N15" t="s">
        <v>967</v>
      </c>
    </row>
    <row r="16" spans="1:14" ht="14.5" x14ac:dyDescent="0.35">
      <c r="A16" t="s">
        <v>999</v>
      </c>
      <c r="B16" s="2">
        <v>45768</v>
      </c>
      <c r="C16" t="s">
        <v>675</v>
      </c>
      <c r="D16" t="s">
        <v>45</v>
      </c>
      <c r="E16" t="s">
        <v>239</v>
      </c>
      <c r="F16" t="s">
        <v>975</v>
      </c>
      <c r="G16">
        <v>6</v>
      </c>
      <c r="H16" t="s">
        <v>981</v>
      </c>
      <c r="I16">
        <v>68</v>
      </c>
      <c r="J16">
        <v>85</v>
      </c>
      <c r="K16" t="s">
        <v>1000</v>
      </c>
      <c r="L16" t="s">
        <v>966</v>
      </c>
      <c r="N16" t="s">
        <v>978</v>
      </c>
    </row>
    <row r="17" spans="1:14" ht="14.5" x14ac:dyDescent="0.35">
      <c r="A17" t="s">
        <v>1001</v>
      </c>
      <c r="B17" s="2">
        <v>45699</v>
      </c>
      <c r="C17" t="s">
        <v>1002</v>
      </c>
      <c r="D17" t="s">
        <v>56</v>
      </c>
      <c r="E17" t="s">
        <v>57</v>
      </c>
      <c r="F17" t="s">
        <v>957</v>
      </c>
      <c r="G17">
        <v>9</v>
      </c>
      <c r="H17" t="s">
        <v>970</v>
      </c>
      <c r="I17">
        <v>84</v>
      </c>
      <c r="J17">
        <v>86</v>
      </c>
      <c r="K17" t="s">
        <v>971</v>
      </c>
      <c r="L17" t="s">
        <v>972</v>
      </c>
      <c r="N17" t="s">
        <v>1003</v>
      </c>
    </row>
    <row r="18" spans="1:14" ht="14.5" x14ac:dyDescent="0.35">
      <c r="A18" t="s">
        <v>1004</v>
      </c>
      <c r="B18" s="2">
        <v>46033</v>
      </c>
      <c r="C18" t="s">
        <v>1005</v>
      </c>
      <c r="D18" t="s">
        <v>52</v>
      </c>
      <c r="E18" t="s">
        <v>176</v>
      </c>
      <c r="F18" t="s">
        <v>992</v>
      </c>
      <c r="G18">
        <v>2</v>
      </c>
      <c r="H18" t="s">
        <v>958</v>
      </c>
      <c r="I18">
        <v>55</v>
      </c>
      <c r="J18">
        <v>99</v>
      </c>
      <c r="K18" t="s">
        <v>982</v>
      </c>
      <c r="L18" t="s">
        <v>966</v>
      </c>
      <c r="N18" t="s">
        <v>1003</v>
      </c>
    </row>
    <row r="19" spans="1:14" ht="14.5" x14ac:dyDescent="0.35">
      <c r="A19" t="s">
        <v>1006</v>
      </c>
      <c r="B19" s="2">
        <v>45863</v>
      </c>
      <c r="C19" t="s">
        <v>737</v>
      </c>
      <c r="D19" t="s">
        <v>69</v>
      </c>
      <c r="E19" t="s">
        <v>70</v>
      </c>
      <c r="F19" t="s">
        <v>977</v>
      </c>
      <c r="G19">
        <v>11</v>
      </c>
      <c r="H19" t="s">
        <v>970</v>
      </c>
      <c r="I19">
        <v>56</v>
      </c>
      <c r="J19">
        <v>48</v>
      </c>
      <c r="K19" t="s">
        <v>982</v>
      </c>
      <c r="L19" t="s">
        <v>966</v>
      </c>
      <c r="N19" t="s">
        <v>973</v>
      </c>
    </row>
    <row r="20" spans="1:14" ht="14.5" x14ac:dyDescent="0.35">
      <c r="A20" t="s">
        <v>1007</v>
      </c>
      <c r="B20" s="2">
        <v>46127</v>
      </c>
      <c r="C20" t="s">
        <v>1008</v>
      </c>
      <c r="D20" t="s">
        <v>45</v>
      </c>
      <c r="E20" t="s">
        <v>296</v>
      </c>
      <c r="F20" t="s">
        <v>975</v>
      </c>
      <c r="G20">
        <v>0</v>
      </c>
      <c r="H20" t="s">
        <v>995</v>
      </c>
      <c r="I20">
        <v>68</v>
      </c>
      <c r="J20">
        <v>84</v>
      </c>
      <c r="K20" t="s">
        <v>993</v>
      </c>
      <c r="L20" t="s">
        <v>966</v>
      </c>
      <c r="N20" t="s">
        <v>961</v>
      </c>
    </row>
    <row r="21" spans="1:14" ht="14.5" x14ac:dyDescent="0.35">
      <c r="A21" t="s">
        <v>1009</v>
      </c>
      <c r="B21" s="2">
        <v>46258</v>
      </c>
      <c r="C21" t="s">
        <v>1010</v>
      </c>
      <c r="D21" t="s">
        <v>40</v>
      </c>
      <c r="E21" t="s">
        <v>65</v>
      </c>
      <c r="F21" t="s">
        <v>987</v>
      </c>
      <c r="G21">
        <v>1</v>
      </c>
      <c r="H21" t="s">
        <v>995</v>
      </c>
      <c r="I21">
        <v>50</v>
      </c>
      <c r="J21">
        <v>98</v>
      </c>
      <c r="K21" t="s">
        <v>982</v>
      </c>
      <c r="L21" t="s">
        <v>966</v>
      </c>
      <c r="N21" t="s">
        <v>978</v>
      </c>
    </row>
    <row r="22" spans="1:14" ht="14.5" x14ac:dyDescent="0.35">
      <c r="A22" t="s">
        <v>1011</v>
      </c>
      <c r="B22" s="2">
        <v>45667</v>
      </c>
      <c r="C22" t="s">
        <v>895</v>
      </c>
      <c r="D22" t="s">
        <v>159</v>
      </c>
      <c r="E22" t="s">
        <v>324</v>
      </c>
      <c r="F22" t="s">
        <v>1012</v>
      </c>
      <c r="G22">
        <v>0</v>
      </c>
      <c r="H22" t="s">
        <v>964</v>
      </c>
      <c r="I22">
        <v>77</v>
      </c>
      <c r="J22">
        <v>42</v>
      </c>
      <c r="K22" t="s">
        <v>965</v>
      </c>
      <c r="L22" t="s">
        <v>966</v>
      </c>
      <c r="N22" t="s">
        <v>973</v>
      </c>
    </row>
    <row r="23" spans="1:14" ht="14.5" x14ac:dyDescent="0.35">
      <c r="A23" t="s">
        <v>1013</v>
      </c>
      <c r="B23" s="2">
        <v>46002</v>
      </c>
      <c r="C23" t="s">
        <v>1014</v>
      </c>
      <c r="D23" t="s">
        <v>36</v>
      </c>
      <c r="E23" t="s">
        <v>84</v>
      </c>
      <c r="F23" t="s">
        <v>957</v>
      </c>
      <c r="G23">
        <v>9</v>
      </c>
      <c r="H23" t="s">
        <v>970</v>
      </c>
      <c r="I23">
        <v>74</v>
      </c>
      <c r="J23">
        <v>95</v>
      </c>
      <c r="K23" t="s">
        <v>1000</v>
      </c>
      <c r="L23" t="s">
        <v>966</v>
      </c>
      <c r="N23" t="s">
        <v>1003</v>
      </c>
    </row>
    <row r="24" spans="1:14" ht="14.5" x14ac:dyDescent="0.35">
      <c r="A24" t="s">
        <v>1015</v>
      </c>
      <c r="B24" s="2">
        <v>46024</v>
      </c>
      <c r="C24" t="s">
        <v>422</v>
      </c>
      <c r="D24" t="s">
        <v>27</v>
      </c>
      <c r="E24" t="s">
        <v>87</v>
      </c>
      <c r="F24" t="s">
        <v>975</v>
      </c>
      <c r="G24">
        <v>7</v>
      </c>
      <c r="H24" t="s">
        <v>958</v>
      </c>
      <c r="I24">
        <v>50</v>
      </c>
      <c r="J24">
        <v>78</v>
      </c>
      <c r="K24" t="s">
        <v>965</v>
      </c>
      <c r="L24" t="s">
        <v>966</v>
      </c>
      <c r="N24" t="s">
        <v>967</v>
      </c>
    </row>
    <row r="25" spans="1:14" ht="14.5" x14ac:dyDescent="0.35">
      <c r="A25" t="s">
        <v>1016</v>
      </c>
      <c r="B25" s="2">
        <v>46051</v>
      </c>
      <c r="C25" t="s">
        <v>510</v>
      </c>
      <c r="D25" t="s">
        <v>21</v>
      </c>
      <c r="E25" t="s">
        <v>163</v>
      </c>
      <c r="F25" t="s">
        <v>977</v>
      </c>
      <c r="G25">
        <v>3</v>
      </c>
      <c r="H25" t="s">
        <v>970</v>
      </c>
      <c r="I25">
        <v>90</v>
      </c>
      <c r="J25">
        <v>72</v>
      </c>
      <c r="K25" t="s">
        <v>982</v>
      </c>
      <c r="L25" t="s">
        <v>966</v>
      </c>
      <c r="N25" t="s">
        <v>973</v>
      </c>
    </row>
    <row r="26" spans="1:14" ht="14.5" x14ac:dyDescent="0.35">
      <c r="A26" t="s">
        <v>1017</v>
      </c>
      <c r="B26" s="2">
        <v>45870</v>
      </c>
      <c r="C26" t="s">
        <v>182</v>
      </c>
      <c r="D26" t="s">
        <v>159</v>
      </c>
      <c r="E26" t="s">
        <v>160</v>
      </c>
      <c r="F26" t="s">
        <v>975</v>
      </c>
      <c r="G26">
        <v>1</v>
      </c>
      <c r="H26" t="s">
        <v>970</v>
      </c>
      <c r="I26">
        <v>76</v>
      </c>
      <c r="J26">
        <v>84</v>
      </c>
      <c r="K26" t="s">
        <v>965</v>
      </c>
      <c r="L26" t="s">
        <v>966</v>
      </c>
      <c r="N26" t="s">
        <v>973</v>
      </c>
    </row>
    <row r="27" spans="1:14" ht="14.5" x14ac:dyDescent="0.35">
      <c r="A27" t="s">
        <v>1018</v>
      </c>
      <c r="B27" s="2">
        <v>45975</v>
      </c>
      <c r="C27" t="s">
        <v>194</v>
      </c>
      <c r="D27" t="s">
        <v>27</v>
      </c>
      <c r="E27" t="s">
        <v>87</v>
      </c>
      <c r="F27" t="s">
        <v>957</v>
      </c>
      <c r="G27">
        <v>6</v>
      </c>
      <c r="H27" t="s">
        <v>964</v>
      </c>
      <c r="I27">
        <v>79</v>
      </c>
      <c r="J27">
        <v>61</v>
      </c>
      <c r="K27" t="s">
        <v>993</v>
      </c>
      <c r="L27" t="s">
        <v>966</v>
      </c>
      <c r="N27" t="s">
        <v>978</v>
      </c>
    </row>
    <row r="28" spans="1:14" ht="14.5" x14ac:dyDescent="0.35">
      <c r="A28" t="s">
        <v>1019</v>
      </c>
      <c r="B28" s="2">
        <v>45660</v>
      </c>
      <c r="C28" t="s">
        <v>660</v>
      </c>
      <c r="D28" t="s">
        <v>159</v>
      </c>
      <c r="E28" t="s">
        <v>269</v>
      </c>
      <c r="F28" t="s">
        <v>987</v>
      </c>
      <c r="G28">
        <v>0</v>
      </c>
      <c r="H28" t="s">
        <v>988</v>
      </c>
      <c r="I28">
        <v>96</v>
      </c>
      <c r="J28">
        <v>42</v>
      </c>
      <c r="K28" t="s">
        <v>971</v>
      </c>
      <c r="L28" t="s">
        <v>972</v>
      </c>
      <c r="N28" t="s">
        <v>978</v>
      </c>
    </row>
    <row r="29" spans="1:14" ht="14.5" x14ac:dyDescent="0.35">
      <c r="A29" t="s">
        <v>1020</v>
      </c>
      <c r="B29" s="2">
        <v>45969</v>
      </c>
      <c r="C29" t="s">
        <v>747</v>
      </c>
      <c r="D29" t="s">
        <v>52</v>
      </c>
      <c r="E29" t="s">
        <v>176</v>
      </c>
      <c r="F29" t="s">
        <v>987</v>
      </c>
      <c r="G29">
        <v>10</v>
      </c>
      <c r="H29" t="s">
        <v>988</v>
      </c>
      <c r="I29">
        <v>92</v>
      </c>
      <c r="J29">
        <v>64</v>
      </c>
      <c r="K29" t="s">
        <v>959</v>
      </c>
      <c r="L29" t="s">
        <v>960</v>
      </c>
      <c r="M29">
        <v>30</v>
      </c>
      <c r="N29" t="s">
        <v>1003</v>
      </c>
    </row>
    <row r="30" spans="1:14" ht="14.5" x14ac:dyDescent="0.35">
      <c r="A30" t="s">
        <v>1021</v>
      </c>
      <c r="B30" s="2">
        <v>45804</v>
      </c>
      <c r="C30" t="s">
        <v>638</v>
      </c>
      <c r="D30" t="s">
        <v>36</v>
      </c>
      <c r="E30" t="s">
        <v>93</v>
      </c>
      <c r="F30" t="s">
        <v>992</v>
      </c>
      <c r="G30">
        <v>7</v>
      </c>
      <c r="H30" t="s">
        <v>964</v>
      </c>
      <c r="I30">
        <v>52</v>
      </c>
      <c r="J30">
        <v>65</v>
      </c>
      <c r="K30" t="s">
        <v>982</v>
      </c>
      <c r="L30" t="s">
        <v>966</v>
      </c>
      <c r="N30" t="s">
        <v>973</v>
      </c>
    </row>
    <row r="31" spans="1:14" ht="14.5" x14ac:dyDescent="0.35">
      <c r="A31" t="s">
        <v>1022</v>
      </c>
      <c r="B31" s="2">
        <v>46088</v>
      </c>
      <c r="C31" t="s">
        <v>1023</v>
      </c>
      <c r="D31" t="s">
        <v>69</v>
      </c>
      <c r="E31" t="s">
        <v>150</v>
      </c>
      <c r="F31" t="s">
        <v>977</v>
      </c>
      <c r="G31">
        <v>10</v>
      </c>
      <c r="H31" t="s">
        <v>995</v>
      </c>
      <c r="I31">
        <v>58</v>
      </c>
      <c r="J31">
        <v>64</v>
      </c>
      <c r="K31" t="s">
        <v>1000</v>
      </c>
      <c r="L31" t="s">
        <v>966</v>
      </c>
      <c r="N31" t="s">
        <v>961</v>
      </c>
    </row>
    <row r="32" spans="1:14" ht="14.5" x14ac:dyDescent="0.35">
      <c r="A32" t="s">
        <v>1024</v>
      </c>
      <c r="B32" s="2">
        <v>45696</v>
      </c>
      <c r="C32" t="s">
        <v>597</v>
      </c>
      <c r="D32" t="s">
        <v>52</v>
      </c>
      <c r="E32" t="s">
        <v>176</v>
      </c>
      <c r="F32" t="s">
        <v>987</v>
      </c>
      <c r="G32">
        <v>9</v>
      </c>
      <c r="H32" t="s">
        <v>988</v>
      </c>
      <c r="I32">
        <v>48</v>
      </c>
      <c r="J32">
        <v>73</v>
      </c>
      <c r="K32" t="s">
        <v>982</v>
      </c>
      <c r="L32" t="s">
        <v>966</v>
      </c>
      <c r="N32" t="s">
        <v>978</v>
      </c>
    </row>
    <row r="33" spans="1:14" ht="14.5" x14ac:dyDescent="0.35">
      <c r="A33" t="s">
        <v>1025</v>
      </c>
      <c r="B33" s="2">
        <v>45661</v>
      </c>
      <c r="C33" t="s">
        <v>842</v>
      </c>
      <c r="D33" t="s">
        <v>27</v>
      </c>
      <c r="E33" t="s">
        <v>28</v>
      </c>
      <c r="F33" t="s">
        <v>1012</v>
      </c>
      <c r="G33">
        <v>12</v>
      </c>
      <c r="H33" t="s">
        <v>964</v>
      </c>
      <c r="I33">
        <v>64</v>
      </c>
      <c r="J33">
        <v>94</v>
      </c>
      <c r="K33" t="s">
        <v>982</v>
      </c>
      <c r="L33" t="s">
        <v>966</v>
      </c>
      <c r="N33" t="s">
        <v>973</v>
      </c>
    </row>
    <row r="34" spans="1:14" ht="14.5" x14ac:dyDescent="0.35">
      <c r="A34" t="s">
        <v>1026</v>
      </c>
      <c r="B34" s="2">
        <v>45724</v>
      </c>
      <c r="C34" t="s">
        <v>1027</v>
      </c>
      <c r="D34" t="s">
        <v>40</v>
      </c>
      <c r="E34" t="s">
        <v>293</v>
      </c>
      <c r="F34" t="s">
        <v>1012</v>
      </c>
      <c r="G34">
        <v>5</v>
      </c>
      <c r="H34" t="s">
        <v>964</v>
      </c>
      <c r="I34">
        <v>79</v>
      </c>
      <c r="J34">
        <v>96</v>
      </c>
      <c r="K34" t="s">
        <v>982</v>
      </c>
      <c r="L34" t="s">
        <v>966</v>
      </c>
      <c r="N34" t="s">
        <v>961</v>
      </c>
    </row>
    <row r="35" spans="1:14" ht="14.5" x14ac:dyDescent="0.35">
      <c r="A35" t="s">
        <v>1028</v>
      </c>
      <c r="B35" s="2">
        <v>45708</v>
      </c>
      <c r="C35" t="s">
        <v>111</v>
      </c>
      <c r="D35" t="s">
        <v>45</v>
      </c>
      <c r="E35" t="s">
        <v>234</v>
      </c>
      <c r="F35" t="s">
        <v>987</v>
      </c>
      <c r="G35">
        <v>4</v>
      </c>
      <c r="H35" t="s">
        <v>1029</v>
      </c>
      <c r="I35">
        <v>90</v>
      </c>
      <c r="J35">
        <v>54</v>
      </c>
      <c r="K35" t="s">
        <v>971</v>
      </c>
      <c r="L35" t="s">
        <v>972</v>
      </c>
      <c r="N35" t="s">
        <v>978</v>
      </c>
    </row>
    <row r="36" spans="1:14" ht="14.5" x14ac:dyDescent="0.35">
      <c r="A36" t="s">
        <v>1030</v>
      </c>
      <c r="B36" s="2">
        <v>46204</v>
      </c>
      <c r="C36" t="s">
        <v>1031</v>
      </c>
      <c r="D36" t="s">
        <v>56</v>
      </c>
      <c r="E36" t="s">
        <v>112</v>
      </c>
      <c r="F36" t="s">
        <v>992</v>
      </c>
      <c r="G36">
        <v>10</v>
      </c>
      <c r="H36" t="s">
        <v>964</v>
      </c>
      <c r="I36">
        <v>46</v>
      </c>
      <c r="J36">
        <v>72</v>
      </c>
      <c r="K36" t="s">
        <v>959</v>
      </c>
      <c r="L36" t="s">
        <v>960</v>
      </c>
      <c r="M36">
        <v>15</v>
      </c>
      <c r="N36" t="s">
        <v>978</v>
      </c>
    </row>
    <row r="37" spans="1:14" ht="14.5" x14ac:dyDescent="0.35">
      <c r="A37" t="s">
        <v>1032</v>
      </c>
      <c r="B37" s="2">
        <v>46015</v>
      </c>
      <c r="C37" t="s">
        <v>475</v>
      </c>
      <c r="D37" t="s">
        <v>27</v>
      </c>
      <c r="E37" t="s">
        <v>28</v>
      </c>
      <c r="F37" t="s">
        <v>977</v>
      </c>
      <c r="G37">
        <v>12</v>
      </c>
      <c r="H37" t="s">
        <v>995</v>
      </c>
      <c r="I37">
        <v>81</v>
      </c>
      <c r="J37">
        <v>59</v>
      </c>
      <c r="K37" t="s">
        <v>959</v>
      </c>
      <c r="L37" t="s">
        <v>960</v>
      </c>
      <c r="M37">
        <v>54</v>
      </c>
      <c r="N37" t="s">
        <v>1003</v>
      </c>
    </row>
    <row r="38" spans="1:14" ht="14.5" x14ac:dyDescent="0.35">
      <c r="A38" t="s">
        <v>1033</v>
      </c>
      <c r="B38" s="2">
        <v>45748</v>
      </c>
      <c r="C38" t="s">
        <v>26</v>
      </c>
      <c r="D38" t="s">
        <v>69</v>
      </c>
      <c r="E38" t="s">
        <v>105</v>
      </c>
      <c r="F38" t="s">
        <v>987</v>
      </c>
      <c r="G38">
        <v>0</v>
      </c>
      <c r="H38" t="s">
        <v>981</v>
      </c>
      <c r="I38">
        <v>67</v>
      </c>
      <c r="J38">
        <v>83</v>
      </c>
      <c r="K38" t="s">
        <v>1000</v>
      </c>
      <c r="L38" t="s">
        <v>966</v>
      </c>
      <c r="N38" t="s">
        <v>967</v>
      </c>
    </row>
    <row r="39" spans="1:14" ht="14.5" x14ac:dyDescent="0.35">
      <c r="A39" t="s">
        <v>1034</v>
      </c>
      <c r="B39" s="2">
        <v>45865</v>
      </c>
      <c r="C39" t="s">
        <v>784</v>
      </c>
      <c r="D39" t="s">
        <v>56</v>
      </c>
      <c r="E39" t="s">
        <v>217</v>
      </c>
      <c r="F39" t="s">
        <v>1012</v>
      </c>
      <c r="G39">
        <v>9</v>
      </c>
      <c r="H39" t="s">
        <v>988</v>
      </c>
      <c r="I39">
        <v>73</v>
      </c>
      <c r="J39">
        <v>79</v>
      </c>
      <c r="K39" t="s">
        <v>1000</v>
      </c>
      <c r="L39" t="s">
        <v>966</v>
      </c>
      <c r="N39" t="s">
        <v>961</v>
      </c>
    </row>
    <row r="40" spans="1:14" ht="14.5" x14ac:dyDescent="0.35">
      <c r="A40" t="s">
        <v>1035</v>
      </c>
      <c r="B40" s="2">
        <v>46090</v>
      </c>
      <c r="C40" t="s">
        <v>404</v>
      </c>
      <c r="D40" t="s">
        <v>36</v>
      </c>
      <c r="E40" t="s">
        <v>93</v>
      </c>
      <c r="F40" t="s">
        <v>992</v>
      </c>
      <c r="G40">
        <v>9</v>
      </c>
      <c r="H40" t="s">
        <v>995</v>
      </c>
      <c r="I40">
        <v>59</v>
      </c>
      <c r="J40">
        <v>70</v>
      </c>
      <c r="K40" t="s">
        <v>982</v>
      </c>
      <c r="L40" t="s">
        <v>966</v>
      </c>
      <c r="N40" t="s">
        <v>961</v>
      </c>
    </row>
    <row r="41" spans="1:14" ht="14.5" x14ac:dyDescent="0.35">
      <c r="A41" t="s">
        <v>1036</v>
      </c>
      <c r="B41" s="2">
        <v>46095</v>
      </c>
      <c r="C41" t="s">
        <v>121</v>
      </c>
      <c r="D41" t="s">
        <v>56</v>
      </c>
      <c r="E41" t="s">
        <v>217</v>
      </c>
      <c r="F41" t="s">
        <v>975</v>
      </c>
      <c r="G41">
        <v>7</v>
      </c>
      <c r="H41" t="s">
        <v>981</v>
      </c>
      <c r="I41">
        <v>89</v>
      </c>
      <c r="J41">
        <v>95</v>
      </c>
      <c r="K41" t="s">
        <v>965</v>
      </c>
      <c r="L41" t="s">
        <v>966</v>
      </c>
      <c r="N41" t="s">
        <v>973</v>
      </c>
    </row>
    <row r="42" spans="1:14" ht="14.5" x14ac:dyDescent="0.35">
      <c r="A42" t="s">
        <v>1037</v>
      </c>
      <c r="B42" s="2">
        <v>46076</v>
      </c>
      <c r="C42" t="s">
        <v>1038</v>
      </c>
      <c r="D42" t="s">
        <v>27</v>
      </c>
      <c r="E42" t="s">
        <v>87</v>
      </c>
      <c r="F42" t="s">
        <v>987</v>
      </c>
      <c r="G42">
        <v>3</v>
      </c>
      <c r="H42" t="s">
        <v>995</v>
      </c>
      <c r="I42">
        <v>72</v>
      </c>
      <c r="J42">
        <v>74</v>
      </c>
      <c r="K42" t="s">
        <v>1000</v>
      </c>
      <c r="L42" t="s">
        <v>966</v>
      </c>
      <c r="N42" t="s">
        <v>978</v>
      </c>
    </row>
    <row r="43" spans="1:14" ht="14.5" x14ac:dyDescent="0.35">
      <c r="A43" t="s">
        <v>1039</v>
      </c>
      <c r="B43" s="2">
        <v>46069</v>
      </c>
      <c r="C43" t="s">
        <v>111</v>
      </c>
      <c r="D43" t="s">
        <v>159</v>
      </c>
      <c r="E43" t="s">
        <v>324</v>
      </c>
      <c r="F43" t="s">
        <v>975</v>
      </c>
      <c r="G43">
        <v>2</v>
      </c>
      <c r="H43" t="s">
        <v>988</v>
      </c>
      <c r="I43">
        <v>82</v>
      </c>
      <c r="J43">
        <v>50</v>
      </c>
      <c r="K43" t="s">
        <v>965</v>
      </c>
      <c r="L43" t="s">
        <v>966</v>
      </c>
      <c r="N43" t="s">
        <v>967</v>
      </c>
    </row>
    <row r="44" spans="1:14" ht="14.5" x14ac:dyDescent="0.35">
      <c r="A44" t="s">
        <v>1040</v>
      </c>
      <c r="B44" s="2">
        <v>45857</v>
      </c>
      <c r="C44" t="s">
        <v>1041</v>
      </c>
      <c r="D44" t="s">
        <v>52</v>
      </c>
      <c r="E44" t="s">
        <v>102</v>
      </c>
      <c r="F44" t="s">
        <v>957</v>
      </c>
      <c r="G44">
        <v>7</v>
      </c>
      <c r="H44" t="s">
        <v>1029</v>
      </c>
      <c r="I44">
        <v>86</v>
      </c>
      <c r="J44">
        <v>65</v>
      </c>
      <c r="K44" t="s">
        <v>965</v>
      </c>
      <c r="L44" t="s">
        <v>966</v>
      </c>
      <c r="N44" t="s">
        <v>967</v>
      </c>
    </row>
    <row r="45" spans="1:14" ht="14.5" x14ac:dyDescent="0.35">
      <c r="A45" t="s">
        <v>1042</v>
      </c>
      <c r="B45" s="2">
        <v>46132</v>
      </c>
      <c r="C45" t="s">
        <v>417</v>
      </c>
      <c r="D45" t="s">
        <v>45</v>
      </c>
      <c r="E45" t="s">
        <v>296</v>
      </c>
      <c r="F45" t="s">
        <v>1012</v>
      </c>
      <c r="G45">
        <v>4</v>
      </c>
      <c r="H45" t="s">
        <v>995</v>
      </c>
      <c r="I45">
        <v>82</v>
      </c>
      <c r="J45">
        <v>77</v>
      </c>
      <c r="K45" t="s">
        <v>965</v>
      </c>
      <c r="L45" t="s">
        <v>966</v>
      </c>
      <c r="N45" t="s">
        <v>973</v>
      </c>
    </row>
    <row r="46" spans="1:14" ht="14.5" x14ac:dyDescent="0.35">
      <c r="A46" t="s">
        <v>1043</v>
      </c>
      <c r="B46" s="2">
        <v>46146</v>
      </c>
      <c r="C46" t="s">
        <v>906</v>
      </c>
      <c r="D46" t="s">
        <v>40</v>
      </c>
      <c r="E46" t="s">
        <v>293</v>
      </c>
      <c r="F46" t="s">
        <v>975</v>
      </c>
      <c r="G46">
        <v>7</v>
      </c>
      <c r="H46" t="s">
        <v>970</v>
      </c>
      <c r="I46">
        <v>74</v>
      </c>
      <c r="J46">
        <v>49</v>
      </c>
      <c r="K46" t="s">
        <v>993</v>
      </c>
      <c r="L46" t="s">
        <v>966</v>
      </c>
      <c r="N46" t="s">
        <v>961</v>
      </c>
    </row>
    <row r="47" spans="1:14" ht="14.5" x14ac:dyDescent="0.35">
      <c r="A47" t="s">
        <v>1044</v>
      </c>
      <c r="B47" s="2">
        <v>46228</v>
      </c>
      <c r="C47" t="s">
        <v>555</v>
      </c>
      <c r="D47" t="s">
        <v>27</v>
      </c>
      <c r="E47" t="s">
        <v>87</v>
      </c>
      <c r="F47" t="s">
        <v>992</v>
      </c>
      <c r="G47">
        <v>5</v>
      </c>
      <c r="H47" t="s">
        <v>970</v>
      </c>
      <c r="I47">
        <v>92</v>
      </c>
      <c r="J47">
        <v>74</v>
      </c>
      <c r="K47" t="s">
        <v>965</v>
      </c>
      <c r="L47" t="s">
        <v>966</v>
      </c>
      <c r="N47" t="s">
        <v>961</v>
      </c>
    </row>
    <row r="48" spans="1:14" ht="14.5" x14ac:dyDescent="0.35">
      <c r="A48" t="s">
        <v>1045</v>
      </c>
      <c r="B48" s="2">
        <v>46054</v>
      </c>
      <c r="C48" t="s">
        <v>737</v>
      </c>
      <c r="D48" t="s">
        <v>108</v>
      </c>
      <c r="E48" t="s">
        <v>114</v>
      </c>
      <c r="F48" t="s">
        <v>977</v>
      </c>
      <c r="G48">
        <v>5</v>
      </c>
      <c r="H48" t="s">
        <v>1029</v>
      </c>
      <c r="I48">
        <v>75</v>
      </c>
      <c r="J48">
        <v>75</v>
      </c>
      <c r="K48" t="s">
        <v>1000</v>
      </c>
      <c r="L48" t="s">
        <v>966</v>
      </c>
      <c r="N48" t="s">
        <v>967</v>
      </c>
    </row>
    <row r="49" spans="1:14" ht="14.5" x14ac:dyDescent="0.35">
      <c r="A49" t="s">
        <v>1046</v>
      </c>
      <c r="B49" s="2">
        <v>46017</v>
      </c>
      <c r="C49" t="s">
        <v>779</v>
      </c>
      <c r="D49" t="s">
        <v>40</v>
      </c>
      <c r="E49" t="s">
        <v>65</v>
      </c>
      <c r="F49" t="s">
        <v>977</v>
      </c>
      <c r="G49">
        <v>12</v>
      </c>
      <c r="H49" t="s">
        <v>970</v>
      </c>
      <c r="I49">
        <v>50</v>
      </c>
      <c r="J49">
        <v>74</v>
      </c>
      <c r="K49" t="s">
        <v>1000</v>
      </c>
      <c r="L49" t="s">
        <v>966</v>
      </c>
      <c r="N49" t="s">
        <v>967</v>
      </c>
    </row>
    <row r="50" spans="1:14" ht="14.5" x14ac:dyDescent="0.35">
      <c r="A50" t="s">
        <v>1047</v>
      </c>
      <c r="B50" s="2">
        <v>45715</v>
      </c>
      <c r="C50" t="s">
        <v>1048</v>
      </c>
      <c r="D50" t="s">
        <v>56</v>
      </c>
      <c r="E50" t="s">
        <v>79</v>
      </c>
      <c r="F50" t="s">
        <v>957</v>
      </c>
      <c r="G50">
        <v>10</v>
      </c>
      <c r="H50" t="s">
        <v>970</v>
      </c>
      <c r="I50">
        <v>68</v>
      </c>
      <c r="J50">
        <v>89</v>
      </c>
      <c r="K50" t="s">
        <v>965</v>
      </c>
      <c r="L50" t="s">
        <v>966</v>
      </c>
      <c r="N50" t="s">
        <v>1003</v>
      </c>
    </row>
    <row r="51" spans="1:14" ht="14.5" x14ac:dyDescent="0.35">
      <c r="A51" t="s">
        <v>1049</v>
      </c>
      <c r="B51" s="2">
        <v>46193</v>
      </c>
      <c r="C51" t="s">
        <v>526</v>
      </c>
      <c r="D51" t="s">
        <v>45</v>
      </c>
      <c r="E51" t="s">
        <v>234</v>
      </c>
      <c r="F51" t="s">
        <v>987</v>
      </c>
      <c r="G51">
        <v>7</v>
      </c>
      <c r="H51" t="s">
        <v>964</v>
      </c>
      <c r="I51">
        <v>80</v>
      </c>
      <c r="J51">
        <v>93</v>
      </c>
      <c r="K51" t="s">
        <v>982</v>
      </c>
      <c r="L51" t="s">
        <v>966</v>
      </c>
      <c r="N51" t="s">
        <v>973</v>
      </c>
    </row>
    <row r="52" spans="1:14" ht="14.5" x14ac:dyDescent="0.35">
      <c r="A52" t="s">
        <v>1050</v>
      </c>
      <c r="B52" s="2">
        <v>46261</v>
      </c>
      <c r="C52" t="s">
        <v>1051</v>
      </c>
      <c r="D52" t="s">
        <v>52</v>
      </c>
      <c r="E52" t="s">
        <v>195</v>
      </c>
      <c r="F52" t="s">
        <v>963</v>
      </c>
      <c r="G52">
        <v>3</v>
      </c>
      <c r="H52" t="s">
        <v>964</v>
      </c>
      <c r="I52">
        <v>46</v>
      </c>
      <c r="J52">
        <v>47</v>
      </c>
      <c r="K52" t="s">
        <v>965</v>
      </c>
      <c r="L52" t="s">
        <v>966</v>
      </c>
      <c r="N52" t="s">
        <v>961</v>
      </c>
    </row>
    <row r="53" spans="1:14" ht="14.5" x14ac:dyDescent="0.35">
      <c r="A53" t="s">
        <v>1052</v>
      </c>
      <c r="B53" s="2">
        <v>46058</v>
      </c>
      <c r="C53" t="s">
        <v>1053</v>
      </c>
      <c r="D53" t="s">
        <v>21</v>
      </c>
      <c r="E53" t="s">
        <v>49</v>
      </c>
      <c r="F53" t="s">
        <v>975</v>
      </c>
      <c r="G53">
        <v>10</v>
      </c>
      <c r="H53" t="s">
        <v>964</v>
      </c>
      <c r="I53">
        <v>47</v>
      </c>
      <c r="J53">
        <v>71</v>
      </c>
      <c r="K53" t="s">
        <v>993</v>
      </c>
      <c r="L53" t="s">
        <v>966</v>
      </c>
      <c r="N53" t="s">
        <v>967</v>
      </c>
    </row>
    <row r="54" spans="1:14" ht="14.5" x14ac:dyDescent="0.35">
      <c r="A54" t="s">
        <v>1054</v>
      </c>
      <c r="B54" s="2">
        <v>45843</v>
      </c>
      <c r="C54" t="s">
        <v>1055</v>
      </c>
      <c r="D54" t="s">
        <v>40</v>
      </c>
      <c r="E54" t="s">
        <v>90</v>
      </c>
      <c r="F54" t="s">
        <v>977</v>
      </c>
      <c r="G54">
        <v>2</v>
      </c>
      <c r="H54" t="s">
        <v>995</v>
      </c>
      <c r="I54">
        <v>59</v>
      </c>
      <c r="J54">
        <v>94</v>
      </c>
      <c r="K54" t="s">
        <v>965</v>
      </c>
      <c r="L54" t="s">
        <v>966</v>
      </c>
      <c r="N54" t="s">
        <v>967</v>
      </c>
    </row>
    <row r="55" spans="1:14" ht="14.5" x14ac:dyDescent="0.35">
      <c r="A55" t="s">
        <v>1056</v>
      </c>
      <c r="B55" s="2">
        <v>45830</v>
      </c>
      <c r="C55" t="s">
        <v>540</v>
      </c>
      <c r="D55" t="s">
        <v>52</v>
      </c>
      <c r="E55" t="s">
        <v>224</v>
      </c>
      <c r="F55" t="s">
        <v>987</v>
      </c>
      <c r="G55">
        <v>0</v>
      </c>
      <c r="H55" t="s">
        <v>1029</v>
      </c>
      <c r="I55">
        <v>45</v>
      </c>
      <c r="J55">
        <v>90</v>
      </c>
      <c r="K55" t="s">
        <v>982</v>
      </c>
      <c r="L55" t="s">
        <v>966</v>
      </c>
      <c r="N55" t="s">
        <v>1003</v>
      </c>
    </row>
    <row r="56" spans="1:14" ht="14.5" x14ac:dyDescent="0.35">
      <c r="A56" t="s">
        <v>1057</v>
      </c>
      <c r="B56" s="2">
        <v>46091</v>
      </c>
      <c r="C56" t="s">
        <v>1058</v>
      </c>
      <c r="D56" t="s">
        <v>159</v>
      </c>
      <c r="E56" t="s">
        <v>324</v>
      </c>
      <c r="F56" t="s">
        <v>957</v>
      </c>
      <c r="G56">
        <v>2</v>
      </c>
      <c r="H56" t="s">
        <v>958</v>
      </c>
      <c r="I56">
        <v>61</v>
      </c>
      <c r="J56">
        <v>84</v>
      </c>
      <c r="K56" t="s">
        <v>982</v>
      </c>
      <c r="L56" t="s">
        <v>966</v>
      </c>
      <c r="N56" t="s">
        <v>1003</v>
      </c>
    </row>
    <row r="57" spans="1:14" ht="14.5" x14ac:dyDescent="0.35">
      <c r="A57" t="s">
        <v>1059</v>
      </c>
      <c r="B57" s="2">
        <v>45992</v>
      </c>
      <c r="C57" t="s">
        <v>1060</v>
      </c>
      <c r="D57" t="s">
        <v>52</v>
      </c>
      <c r="E57" t="s">
        <v>53</v>
      </c>
      <c r="F57" t="s">
        <v>963</v>
      </c>
      <c r="G57">
        <v>7</v>
      </c>
      <c r="H57" t="s">
        <v>958</v>
      </c>
      <c r="I57">
        <v>95</v>
      </c>
      <c r="J57">
        <v>84</v>
      </c>
      <c r="K57" t="s">
        <v>965</v>
      </c>
      <c r="L57" t="s">
        <v>966</v>
      </c>
      <c r="N57" t="s">
        <v>967</v>
      </c>
    </row>
    <row r="58" spans="1:14" ht="14.5" x14ac:dyDescent="0.35">
      <c r="A58" t="s">
        <v>1061</v>
      </c>
      <c r="B58" s="2">
        <v>46165</v>
      </c>
      <c r="C58" t="s">
        <v>884</v>
      </c>
      <c r="D58" t="s">
        <v>40</v>
      </c>
      <c r="E58" t="s">
        <v>65</v>
      </c>
      <c r="F58" t="s">
        <v>977</v>
      </c>
      <c r="G58">
        <v>4</v>
      </c>
      <c r="H58" t="s">
        <v>1029</v>
      </c>
      <c r="I58">
        <v>48</v>
      </c>
      <c r="J58">
        <v>86</v>
      </c>
      <c r="K58" t="s">
        <v>993</v>
      </c>
      <c r="L58" t="s">
        <v>966</v>
      </c>
      <c r="N58" t="s">
        <v>1003</v>
      </c>
    </row>
    <row r="59" spans="1:14" ht="14.5" x14ac:dyDescent="0.35">
      <c r="A59" t="s">
        <v>1062</v>
      </c>
      <c r="B59" s="2">
        <v>46039</v>
      </c>
      <c r="C59" t="s">
        <v>1063</v>
      </c>
      <c r="D59" t="s">
        <v>36</v>
      </c>
      <c r="E59" t="s">
        <v>253</v>
      </c>
      <c r="F59" t="s">
        <v>992</v>
      </c>
      <c r="G59">
        <v>3</v>
      </c>
      <c r="H59" t="s">
        <v>958</v>
      </c>
      <c r="I59">
        <v>61</v>
      </c>
      <c r="J59">
        <v>61</v>
      </c>
      <c r="K59" t="s">
        <v>971</v>
      </c>
      <c r="L59" t="s">
        <v>972</v>
      </c>
      <c r="N59" t="s">
        <v>967</v>
      </c>
    </row>
    <row r="60" spans="1:14" ht="14.5" x14ac:dyDescent="0.35">
      <c r="A60" t="s">
        <v>1064</v>
      </c>
      <c r="B60" s="2">
        <v>46020</v>
      </c>
      <c r="C60" t="s">
        <v>252</v>
      </c>
      <c r="D60" t="s">
        <v>27</v>
      </c>
      <c r="E60" t="s">
        <v>76</v>
      </c>
      <c r="F60" t="s">
        <v>977</v>
      </c>
      <c r="G60">
        <v>8</v>
      </c>
      <c r="H60" t="s">
        <v>970</v>
      </c>
      <c r="I60">
        <v>57</v>
      </c>
      <c r="J60">
        <v>82</v>
      </c>
      <c r="K60" t="s">
        <v>959</v>
      </c>
      <c r="L60" t="s">
        <v>960</v>
      </c>
      <c r="M60">
        <v>27</v>
      </c>
      <c r="N60" t="s">
        <v>967</v>
      </c>
    </row>
    <row r="61" spans="1:14" ht="14.5" x14ac:dyDescent="0.35">
      <c r="A61" t="s">
        <v>1065</v>
      </c>
      <c r="B61" s="2">
        <v>46218</v>
      </c>
      <c r="C61" t="s">
        <v>298</v>
      </c>
      <c r="D61" t="s">
        <v>69</v>
      </c>
      <c r="E61" t="s">
        <v>150</v>
      </c>
      <c r="F61" t="s">
        <v>957</v>
      </c>
      <c r="G61">
        <v>6</v>
      </c>
      <c r="H61" t="s">
        <v>958</v>
      </c>
      <c r="I61">
        <v>85</v>
      </c>
      <c r="J61">
        <v>50</v>
      </c>
      <c r="K61" t="s">
        <v>982</v>
      </c>
      <c r="L61" t="s">
        <v>966</v>
      </c>
      <c r="N61" t="s">
        <v>978</v>
      </c>
    </row>
    <row r="62" spans="1:14" ht="14.5" x14ac:dyDescent="0.35">
      <c r="A62" t="s">
        <v>1066</v>
      </c>
      <c r="B62" s="2">
        <v>45978</v>
      </c>
      <c r="C62" t="s">
        <v>512</v>
      </c>
      <c r="D62" t="s">
        <v>36</v>
      </c>
      <c r="E62" t="s">
        <v>62</v>
      </c>
      <c r="F62" t="s">
        <v>975</v>
      </c>
      <c r="G62">
        <v>3</v>
      </c>
      <c r="H62" t="s">
        <v>970</v>
      </c>
      <c r="I62">
        <v>54</v>
      </c>
      <c r="J62">
        <v>41</v>
      </c>
      <c r="K62" t="s">
        <v>982</v>
      </c>
      <c r="L62" t="s">
        <v>966</v>
      </c>
      <c r="N62" t="s">
        <v>967</v>
      </c>
    </row>
    <row r="63" spans="1:14" ht="14.5" x14ac:dyDescent="0.35">
      <c r="A63" t="s">
        <v>1067</v>
      </c>
      <c r="B63" s="2">
        <v>46178</v>
      </c>
      <c r="C63" t="s">
        <v>1068</v>
      </c>
      <c r="D63" t="s">
        <v>108</v>
      </c>
      <c r="E63" t="s">
        <v>114</v>
      </c>
      <c r="F63" t="s">
        <v>977</v>
      </c>
      <c r="G63">
        <v>9</v>
      </c>
      <c r="H63" t="s">
        <v>981</v>
      </c>
      <c r="I63">
        <v>63</v>
      </c>
      <c r="J63">
        <v>55</v>
      </c>
      <c r="K63" t="s">
        <v>965</v>
      </c>
      <c r="L63" t="s">
        <v>966</v>
      </c>
      <c r="N63" t="s">
        <v>967</v>
      </c>
    </row>
    <row r="64" spans="1:14" ht="14.5" x14ac:dyDescent="0.35">
      <c r="A64" t="s">
        <v>1069</v>
      </c>
      <c r="B64" s="2">
        <v>45915</v>
      </c>
      <c r="C64" t="s">
        <v>1070</v>
      </c>
      <c r="D64" t="s">
        <v>27</v>
      </c>
      <c r="E64" t="s">
        <v>87</v>
      </c>
      <c r="F64" t="s">
        <v>992</v>
      </c>
      <c r="G64">
        <v>4</v>
      </c>
      <c r="H64" t="s">
        <v>970</v>
      </c>
      <c r="I64">
        <v>60</v>
      </c>
      <c r="J64">
        <v>95</v>
      </c>
      <c r="K64" t="s">
        <v>982</v>
      </c>
      <c r="L64" t="s">
        <v>966</v>
      </c>
      <c r="N64" t="s">
        <v>967</v>
      </c>
    </row>
    <row r="65" spans="1:14" ht="14.5" x14ac:dyDescent="0.35">
      <c r="A65" t="s">
        <v>1071</v>
      </c>
      <c r="B65" s="2">
        <v>45682</v>
      </c>
      <c r="C65" t="s">
        <v>338</v>
      </c>
      <c r="D65" t="s">
        <v>52</v>
      </c>
      <c r="E65" t="s">
        <v>498</v>
      </c>
      <c r="F65" t="s">
        <v>963</v>
      </c>
      <c r="G65">
        <v>12</v>
      </c>
      <c r="H65" t="s">
        <v>964</v>
      </c>
      <c r="I65">
        <v>91</v>
      </c>
      <c r="J65">
        <v>90</v>
      </c>
      <c r="K65" t="s">
        <v>993</v>
      </c>
      <c r="L65" t="s">
        <v>966</v>
      </c>
      <c r="N65" t="s">
        <v>961</v>
      </c>
    </row>
    <row r="66" spans="1:14" ht="14.5" x14ac:dyDescent="0.35">
      <c r="A66" t="s">
        <v>1072</v>
      </c>
      <c r="B66" s="2">
        <v>46202</v>
      </c>
      <c r="C66" t="s">
        <v>1073</v>
      </c>
      <c r="D66" t="s">
        <v>45</v>
      </c>
      <c r="E66" t="s">
        <v>234</v>
      </c>
      <c r="F66" t="s">
        <v>987</v>
      </c>
      <c r="G66">
        <v>4</v>
      </c>
      <c r="H66" t="s">
        <v>958</v>
      </c>
      <c r="I66">
        <v>70</v>
      </c>
      <c r="J66">
        <v>69</v>
      </c>
      <c r="K66" t="s">
        <v>965</v>
      </c>
      <c r="L66" t="s">
        <v>966</v>
      </c>
      <c r="N66" t="s">
        <v>973</v>
      </c>
    </row>
    <row r="67" spans="1:14" ht="14.5" x14ac:dyDescent="0.35">
      <c r="A67" t="s">
        <v>1074</v>
      </c>
      <c r="B67" s="2">
        <v>46275</v>
      </c>
      <c r="C67" t="s">
        <v>830</v>
      </c>
      <c r="D67" t="s">
        <v>36</v>
      </c>
      <c r="E67" t="s">
        <v>93</v>
      </c>
      <c r="F67" t="s">
        <v>957</v>
      </c>
      <c r="G67">
        <v>12</v>
      </c>
      <c r="H67" t="s">
        <v>964</v>
      </c>
      <c r="I67">
        <v>57</v>
      </c>
      <c r="J67">
        <v>76</v>
      </c>
      <c r="K67" t="s">
        <v>965</v>
      </c>
      <c r="L67" t="s">
        <v>966</v>
      </c>
      <c r="N67" t="s">
        <v>978</v>
      </c>
    </row>
    <row r="68" spans="1:14" ht="14.5" x14ac:dyDescent="0.35">
      <c r="A68" t="s">
        <v>1075</v>
      </c>
      <c r="B68" s="2">
        <v>45980</v>
      </c>
      <c r="C68" t="s">
        <v>1076</v>
      </c>
      <c r="D68" t="s">
        <v>159</v>
      </c>
      <c r="E68" t="s">
        <v>187</v>
      </c>
      <c r="F68" t="s">
        <v>957</v>
      </c>
      <c r="G68">
        <v>4</v>
      </c>
      <c r="H68" t="s">
        <v>988</v>
      </c>
      <c r="I68">
        <v>85</v>
      </c>
      <c r="J68">
        <v>90</v>
      </c>
      <c r="K68" t="s">
        <v>982</v>
      </c>
      <c r="L68" t="s">
        <v>966</v>
      </c>
      <c r="N68" t="s">
        <v>961</v>
      </c>
    </row>
    <row r="69" spans="1:14" ht="14.5" x14ac:dyDescent="0.35">
      <c r="A69" t="s">
        <v>1077</v>
      </c>
      <c r="B69" s="2">
        <v>45799</v>
      </c>
      <c r="C69" t="s">
        <v>1078</v>
      </c>
      <c r="D69" t="s">
        <v>21</v>
      </c>
      <c r="E69" t="s">
        <v>153</v>
      </c>
      <c r="F69" t="s">
        <v>992</v>
      </c>
      <c r="G69">
        <v>5</v>
      </c>
      <c r="H69" t="s">
        <v>964</v>
      </c>
      <c r="I69">
        <v>80</v>
      </c>
      <c r="J69">
        <v>62</v>
      </c>
      <c r="K69" t="s">
        <v>965</v>
      </c>
      <c r="L69" t="s">
        <v>966</v>
      </c>
      <c r="N69" t="s">
        <v>961</v>
      </c>
    </row>
    <row r="70" spans="1:14" ht="14.5" x14ac:dyDescent="0.35">
      <c r="A70" t="s">
        <v>1079</v>
      </c>
      <c r="B70" s="2">
        <v>45681</v>
      </c>
      <c r="C70" t="s">
        <v>462</v>
      </c>
      <c r="D70" t="s">
        <v>36</v>
      </c>
      <c r="E70" t="s">
        <v>253</v>
      </c>
      <c r="F70" t="s">
        <v>957</v>
      </c>
      <c r="G70">
        <v>10</v>
      </c>
      <c r="H70" t="s">
        <v>995</v>
      </c>
      <c r="I70">
        <v>56</v>
      </c>
      <c r="J70">
        <v>75</v>
      </c>
      <c r="K70" t="s">
        <v>965</v>
      </c>
      <c r="L70" t="s">
        <v>966</v>
      </c>
      <c r="N70" t="s">
        <v>973</v>
      </c>
    </row>
    <row r="71" spans="1:14" ht="14.5" x14ac:dyDescent="0.35">
      <c r="A71" t="s">
        <v>1080</v>
      </c>
      <c r="B71" s="2">
        <v>45896</v>
      </c>
      <c r="C71" t="s">
        <v>479</v>
      </c>
      <c r="D71" t="s">
        <v>108</v>
      </c>
      <c r="E71" t="s">
        <v>126</v>
      </c>
      <c r="F71" t="s">
        <v>957</v>
      </c>
      <c r="G71">
        <v>3</v>
      </c>
      <c r="H71" t="s">
        <v>995</v>
      </c>
      <c r="I71">
        <v>93</v>
      </c>
      <c r="J71">
        <v>71</v>
      </c>
      <c r="K71" t="s">
        <v>1000</v>
      </c>
      <c r="L71" t="s">
        <v>966</v>
      </c>
      <c r="N71" t="s">
        <v>961</v>
      </c>
    </row>
    <row r="72" spans="1:14" ht="14.5" x14ac:dyDescent="0.35">
      <c r="A72" t="s">
        <v>1081</v>
      </c>
      <c r="B72" s="2">
        <v>45902</v>
      </c>
      <c r="C72" t="s">
        <v>1082</v>
      </c>
      <c r="D72" t="s">
        <v>21</v>
      </c>
      <c r="E72" t="s">
        <v>133</v>
      </c>
      <c r="F72" t="s">
        <v>975</v>
      </c>
      <c r="G72">
        <v>10</v>
      </c>
      <c r="H72" t="s">
        <v>970</v>
      </c>
      <c r="I72">
        <v>67</v>
      </c>
      <c r="J72">
        <v>76</v>
      </c>
      <c r="K72" t="s">
        <v>965</v>
      </c>
      <c r="L72" t="s">
        <v>966</v>
      </c>
      <c r="N72" t="s">
        <v>973</v>
      </c>
    </row>
    <row r="73" spans="1:14" ht="14.5" x14ac:dyDescent="0.35">
      <c r="A73" t="s">
        <v>1083</v>
      </c>
      <c r="B73" s="2">
        <v>45810</v>
      </c>
      <c r="C73" t="s">
        <v>1084</v>
      </c>
      <c r="D73" t="s">
        <v>108</v>
      </c>
      <c r="E73" t="s">
        <v>126</v>
      </c>
      <c r="F73" t="s">
        <v>977</v>
      </c>
      <c r="G73">
        <v>8</v>
      </c>
      <c r="H73" t="s">
        <v>964</v>
      </c>
      <c r="I73">
        <v>72</v>
      </c>
      <c r="J73">
        <v>93</v>
      </c>
      <c r="K73" t="s">
        <v>971</v>
      </c>
      <c r="L73" t="s">
        <v>972</v>
      </c>
      <c r="N73" t="s">
        <v>1003</v>
      </c>
    </row>
    <row r="74" spans="1:14" ht="14.5" x14ac:dyDescent="0.35">
      <c r="A74" t="s">
        <v>1085</v>
      </c>
      <c r="B74" s="2">
        <v>46194</v>
      </c>
      <c r="C74" t="s">
        <v>969</v>
      </c>
      <c r="D74" t="s">
        <v>21</v>
      </c>
      <c r="E74" t="s">
        <v>22</v>
      </c>
      <c r="F74" t="s">
        <v>963</v>
      </c>
      <c r="G74">
        <v>5</v>
      </c>
      <c r="H74" t="s">
        <v>970</v>
      </c>
      <c r="I74">
        <v>76</v>
      </c>
      <c r="J74">
        <v>54</v>
      </c>
      <c r="K74" t="s">
        <v>1000</v>
      </c>
      <c r="L74" t="s">
        <v>966</v>
      </c>
      <c r="N74" t="s">
        <v>1003</v>
      </c>
    </row>
    <row r="75" spans="1:14" ht="14.5" x14ac:dyDescent="0.35">
      <c r="A75" t="s">
        <v>1086</v>
      </c>
      <c r="B75" s="2">
        <v>46099</v>
      </c>
      <c r="C75" t="s">
        <v>714</v>
      </c>
      <c r="D75" t="s">
        <v>21</v>
      </c>
      <c r="E75" t="s">
        <v>163</v>
      </c>
      <c r="F75" t="s">
        <v>1012</v>
      </c>
      <c r="G75">
        <v>0</v>
      </c>
      <c r="H75" t="s">
        <v>1029</v>
      </c>
      <c r="I75">
        <v>96</v>
      </c>
      <c r="J75">
        <v>78</v>
      </c>
      <c r="K75" t="s">
        <v>982</v>
      </c>
      <c r="L75" t="s">
        <v>966</v>
      </c>
      <c r="N75" t="s">
        <v>1003</v>
      </c>
    </row>
    <row r="76" spans="1:14" ht="14.5" x14ac:dyDescent="0.35">
      <c r="A76" t="s">
        <v>1087</v>
      </c>
      <c r="B76" s="2">
        <v>46146</v>
      </c>
      <c r="C76" t="s">
        <v>246</v>
      </c>
      <c r="D76" t="s">
        <v>21</v>
      </c>
      <c r="E76" t="s">
        <v>22</v>
      </c>
      <c r="F76" t="s">
        <v>992</v>
      </c>
      <c r="G76">
        <v>10</v>
      </c>
      <c r="H76" t="s">
        <v>958</v>
      </c>
      <c r="I76">
        <v>64</v>
      </c>
      <c r="J76">
        <v>62</v>
      </c>
      <c r="K76" t="s">
        <v>982</v>
      </c>
      <c r="L76" t="s">
        <v>966</v>
      </c>
      <c r="N76" t="s">
        <v>961</v>
      </c>
    </row>
    <row r="77" spans="1:14" ht="14.5" x14ac:dyDescent="0.35">
      <c r="A77" t="s">
        <v>1088</v>
      </c>
      <c r="B77" s="2">
        <v>46143</v>
      </c>
      <c r="C77" t="s">
        <v>722</v>
      </c>
      <c r="D77" t="s">
        <v>56</v>
      </c>
      <c r="E77" t="s">
        <v>112</v>
      </c>
      <c r="F77" t="s">
        <v>957</v>
      </c>
      <c r="G77">
        <v>2</v>
      </c>
      <c r="H77" t="s">
        <v>958</v>
      </c>
      <c r="I77">
        <v>79</v>
      </c>
      <c r="J77">
        <v>94</v>
      </c>
      <c r="K77" t="s">
        <v>965</v>
      </c>
      <c r="L77" t="s">
        <v>966</v>
      </c>
      <c r="N77" t="s">
        <v>1003</v>
      </c>
    </row>
    <row r="78" spans="1:14" ht="14.5" x14ac:dyDescent="0.35">
      <c r="A78" t="s">
        <v>1089</v>
      </c>
      <c r="B78" s="2">
        <v>45801</v>
      </c>
      <c r="C78" t="s">
        <v>259</v>
      </c>
      <c r="D78" t="s">
        <v>56</v>
      </c>
      <c r="E78" t="s">
        <v>79</v>
      </c>
      <c r="F78" t="s">
        <v>992</v>
      </c>
      <c r="G78">
        <v>1</v>
      </c>
      <c r="H78" t="s">
        <v>964</v>
      </c>
      <c r="I78">
        <v>87</v>
      </c>
      <c r="J78">
        <v>60</v>
      </c>
      <c r="K78" t="s">
        <v>982</v>
      </c>
      <c r="L78" t="s">
        <v>966</v>
      </c>
      <c r="N78" t="s">
        <v>973</v>
      </c>
    </row>
    <row r="79" spans="1:14" ht="14.5" x14ac:dyDescent="0.35">
      <c r="A79" t="s">
        <v>1090</v>
      </c>
      <c r="B79" s="2">
        <v>45761</v>
      </c>
      <c r="C79" t="s">
        <v>1091</v>
      </c>
      <c r="D79" t="s">
        <v>56</v>
      </c>
      <c r="E79" t="s">
        <v>57</v>
      </c>
      <c r="F79" t="s">
        <v>987</v>
      </c>
      <c r="G79">
        <v>2</v>
      </c>
      <c r="H79" t="s">
        <v>988</v>
      </c>
      <c r="I79">
        <v>93</v>
      </c>
      <c r="J79">
        <v>67</v>
      </c>
      <c r="K79" t="s">
        <v>965</v>
      </c>
      <c r="L79" t="s">
        <v>966</v>
      </c>
      <c r="N79" t="s">
        <v>978</v>
      </c>
    </row>
    <row r="80" spans="1:14" ht="14.5" x14ac:dyDescent="0.35">
      <c r="A80" t="s">
        <v>1092</v>
      </c>
      <c r="B80" s="2">
        <v>45672</v>
      </c>
      <c r="C80" t="s">
        <v>597</v>
      </c>
      <c r="D80" t="s">
        <v>56</v>
      </c>
      <c r="E80" t="s">
        <v>112</v>
      </c>
      <c r="F80" t="s">
        <v>987</v>
      </c>
      <c r="G80">
        <v>9</v>
      </c>
      <c r="H80" t="s">
        <v>988</v>
      </c>
      <c r="I80">
        <v>84</v>
      </c>
      <c r="J80">
        <v>99</v>
      </c>
      <c r="K80" t="s">
        <v>965</v>
      </c>
      <c r="L80" t="s">
        <v>966</v>
      </c>
      <c r="N80" t="s">
        <v>978</v>
      </c>
    </row>
    <row r="81" spans="1:14" ht="14.5" x14ac:dyDescent="0.35">
      <c r="A81" t="s">
        <v>1093</v>
      </c>
      <c r="B81" s="2">
        <v>45898</v>
      </c>
      <c r="C81" t="s">
        <v>1094</v>
      </c>
      <c r="D81" t="s">
        <v>69</v>
      </c>
      <c r="E81" t="s">
        <v>105</v>
      </c>
      <c r="F81" t="s">
        <v>987</v>
      </c>
      <c r="G81">
        <v>9</v>
      </c>
      <c r="H81" t="s">
        <v>970</v>
      </c>
      <c r="I81">
        <v>83</v>
      </c>
      <c r="J81">
        <v>61</v>
      </c>
      <c r="K81" t="s">
        <v>982</v>
      </c>
      <c r="L81" t="s">
        <v>966</v>
      </c>
      <c r="N81" t="s">
        <v>1003</v>
      </c>
    </row>
    <row r="82" spans="1:14" ht="14.5" x14ac:dyDescent="0.35">
      <c r="A82" t="s">
        <v>1095</v>
      </c>
      <c r="B82" s="2">
        <v>45995</v>
      </c>
      <c r="C82" t="s">
        <v>1031</v>
      </c>
      <c r="D82" t="s">
        <v>52</v>
      </c>
      <c r="E82" t="s">
        <v>53</v>
      </c>
      <c r="F82" t="s">
        <v>992</v>
      </c>
      <c r="G82">
        <v>11</v>
      </c>
      <c r="H82" t="s">
        <v>964</v>
      </c>
      <c r="I82">
        <v>84</v>
      </c>
      <c r="J82">
        <v>92</v>
      </c>
      <c r="K82" t="s">
        <v>1000</v>
      </c>
      <c r="L82" t="s">
        <v>966</v>
      </c>
      <c r="N82" t="s">
        <v>978</v>
      </c>
    </row>
    <row r="83" spans="1:14" ht="14.5" x14ac:dyDescent="0.35">
      <c r="A83" t="s">
        <v>1096</v>
      </c>
      <c r="B83" s="2">
        <v>45760</v>
      </c>
      <c r="C83" t="s">
        <v>717</v>
      </c>
      <c r="D83" t="s">
        <v>108</v>
      </c>
      <c r="E83" t="s">
        <v>109</v>
      </c>
      <c r="F83" t="s">
        <v>1012</v>
      </c>
      <c r="G83">
        <v>2</v>
      </c>
      <c r="H83" t="s">
        <v>988</v>
      </c>
      <c r="I83">
        <v>93</v>
      </c>
      <c r="J83">
        <v>53</v>
      </c>
      <c r="K83" t="s">
        <v>993</v>
      </c>
      <c r="L83" t="s">
        <v>966</v>
      </c>
      <c r="N83" t="s">
        <v>961</v>
      </c>
    </row>
    <row r="84" spans="1:14" ht="14.5" x14ac:dyDescent="0.35">
      <c r="A84" t="s">
        <v>1097</v>
      </c>
      <c r="B84" s="2">
        <v>46010</v>
      </c>
      <c r="C84" t="s">
        <v>1078</v>
      </c>
      <c r="D84" t="s">
        <v>36</v>
      </c>
      <c r="E84" t="s">
        <v>62</v>
      </c>
      <c r="F84" t="s">
        <v>963</v>
      </c>
      <c r="G84">
        <v>1</v>
      </c>
      <c r="H84" t="s">
        <v>988</v>
      </c>
      <c r="I84">
        <v>87</v>
      </c>
      <c r="J84">
        <v>58</v>
      </c>
      <c r="K84" t="s">
        <v>971</v>
      </c>
      <c r="L84" t="s">
        <v>972</v>
      </c>
      <c r="N84" t="s">
        <v>973</v>
      </c>
    </row>
    <row r="85" spans="1:14" ht="14.5" x14ac:dyDescent="0.35">
      <c r="A85" t="s">
        <v>1098</v>
      </c>
      <c r="B85" s="2">
        <v>46033</v>
      </c>
      <c r="C85" t="s">
        <v>1099</v>
      </c>
      <c r="D85" t="s">
        <v>56</v>
      </c>
      <c r="E85" t="s">
        <v>57</v>
      </c>
      <c r="F85" t="s">
        <v>987</v>
      </c>
      <c r="G85">
        <v>0</v>
      </c>
      <c r="H85" t="s">
        <v>1029</v>
      </c>
      <c r="I85">
        <v>99</v>
      </c>
      <c r="J85">
        <v>83</v>
      </c>
      <c r="K85" t="s">
        <v>965</v>
      </c>
      <c r="L85" t="s">
        <v>966</v>
      </c>
      <c r="N85" t="s">
        <v>1003</v>
      </c>
    </row>
    <row r="86" spans="1:14" ht="14.5" x14ac:dyDescent="0.35">
      <c r="A86" t="s">
        <v>1100</v>
      </c>
      <c r="B86" s="2">
        <v>46028</v>
      </c>
      <c r="C86" t="s">
        <v>924</v>
      </c>
      <c r="D86" t="s">
        <v>159</v>
      </c>
      <c r="E86" t="s">
        <v>324</v>
      </c>
      <c r="F86" t="s">
        <v>1012</v>
      </c>
      <c r="G86">
        <v>12</v>
      </c>
      <c r="H86" t="s">
        <v>995</v>
      </c>
      <c r="I86">
        <v>68</v>
      </c>
      <c r="J86">
        <v>68</v>
      </c>
      <c r="K86" t="s">
        <v>993</v>
      </c>
      <c r="L86" t="s">
        <v>966</v>
      </c>
      <c r="N86" t="s">
        <v>961</v>
      </c>
    </row>
    <row r="87" spans="1:14" ht="14.5" x14ac:dyDescent="0.35">
      <c r="A87" t="s">
        <v>1101</v>
      </c>
      <c r="B87" s="2">
        <v>46262</v>
      </c>
      <c r="C87" t="s">
        <v>1102</v>
      </c>
      <c r="D87" t="s">
        <v>40</v>
      </c>
      <c r="E87" t="s">
        <v>293</v>
      </c>
      <c r="F87" t="s">
        <v>1012</v>
      </c>
      <c r="G87">
        <v>0</v>
      </c>
      <c r="H87" t="s">
        <v>981</v>
      </c>
      <c r="I87">
        <v>92</v>
      </c>
      <c r="J87">
        <v>58</v>
      </c>
      <c r="K87" t="s">
        <v>1000</v>
      </c>
      <c r="L87" t="s">
        <v>966</v>
      </c>
      <c r="N87" t="s">
        <v>973</v>
      </c>
    </row>
    <row r="88" spans="1:14" ht="14.5" x14ac:dyDescent="0.35">
      <c r="A88" t="s">
        <v>1103</v>
      </c>
      <c r="B88" s="2">
        <v>46104</v>
      </c>
      <c r="C88" t="s">
        <v>101</v>
      </c>
      <c r="D88" t="s">
        <v>36</v>
      </c>
      <c r="E88" t="s">
        <v>93</v>
      </c>
      <c r="F88" t="s">
        <v>992</v>
      </c>
      <c r="G88">
        <v>9</v>
      </c>
      <c r="H88" t="s">
        <v>964</v>
      </c>
      <c r="I88">
        <v>68</v>
      </c>
      <c r="J88">
        <v>54</v>
      </c>
      <c r="K88" t="s">
        <v>982</v>
      </c>
      <c r="L88" t="s">
        <v>966</v>
      </c>
      <c r="N88" t="s">
        <v>973</v>
      </c>
    </row>
    <row r="89" spans="1:14" ht="14.5" x14ac:dyDescent="0.35">
      <c r="A89" t="s">
        <v>1104</v>
      </c>
      <c r="B89" s="2">
        <v>46153</v>
      </c>
      <c r="C89" t="s">
        <v>1105</v>
      </c>
      <c r="D89" t="s">
        <v>45</v>
      </c>
      <c r="E89" t="s">
        <v>239</v>
      </c>
      <c r="F89" t="s">
        <v>957</v>
      </c>
      <c r="G89">
        <v>1</v>
      </c>
      <c r="H89" t="s">
        <v>964</v>
      </c>
      <c r="I89">
        <v>88</v>
      </c>
      <c r="J89">
        <v>81</v>
      </c>
      <c r="K89" t="s">
        <v>965</v>
      </c>
      <c r="L89" t="s">
        <v>966</v>
      </c>
      <c r="N89" t="s">
        <v>967</v>
      </c>
    </row>
    <row r="90" spans="1:14" ht="14.5" x14ac:dyDescent="0.35">
      <c r="A90" t="s">
        <v>1106</v>
      </c>
      <c r="B90" s="2">
        <v>46277</v>
      </c>
      <c r="C90" t="s">
        <v>732</v>
      </c>
      <c r="D90" t="s">
        <v>21</v>
      </c>
      <c r="E90" t="s">
        <v>153</v>
      </c>
      <c r="F90" t="s">
        <v>975</v>
      </c>
      <c r="G90">
        <v>2</v>
      </c>
      <c r="H90" t="s">
        <v>1029</v>
      </c>
      <c r="I90">
        <v>69</v>
      </c>
      <c r="J90">
        <v>97</v>
      </c>
      <c r="K90" t="s">
        <v>959</v>
      </c>
      <c r="L90" t="s">
        <v>960</v>
      </c>
      <c r="M90">
        <v>31</v>
      </c>
      <c r="N90" t="s">
        <v>973</v>
      </c>
    </row>
    <row r="91" spans="1:14" ht="14.5" x14ac:dyDescent="0.35">
      <c r="A91" t="s">
        <v>1107</v>
      </c>
      <c r="B91" s="2">
        <v>46095</v>
      </c>
      <c r="C91" t="s">
        <v>1108</v>
      </c>
      <c r="D91" t="s">
        <v>27</v>
      </c>
      <c r="E91" t="s">
        <v>28</v>
      </c>
      <c r="F91" t="s">
        <v>975</v>
      </c>
      <c r="G91">
        <v>2</v>
      </c>
      <c r="H91" t="s">
        <v>1029</v>
      </c>
      <c r="I91">
        <v>88</v>
      </c>
      <c r="J91">
        <v>79</v>
      </c>
      <c r="K91" t="s">
        <v>965</v>
      </c>
      <c r="L91" t="s">
        <v>966</v>
      </c>
      <c r="N91" t="s">
        <v>967</v>
      </c>
    </row>
    <row r="92" spans="1:14" ht="14.5" x14ac:dyDescent="0.35">
      <c r="A92" t="s">
        <v>1109</v>
      </c>
      <c r="B92" s="2">
        <v>45758</v>
      </c>
      <c r="C92" t="s">
        <v>1110</v>
      </c>
      <c r="D92" t="s">
        <v>159</v>
      </c>
      <c r="E92" t="s">
        <v>482</v>
      </c>
      <c r="F92" t="s">
        <v>977</v>
      </c>
      <c r="G92">
        <v>9</v>
      </c>
      <c r="H92" t="s">
        <v>970</v>
      </c>
      <c r="I92">
        <v>80</v>
      </c>
      <c r="J92">
        <v>55</v>
      </c>
      <c r="K92" t="s">
        <v>993</v>
      </c>
      <c r="L92" t="s">
        <v>966</v>
      </c>
      <c r="N92" t="s">
        <v>978</v>
      </c>
    </row>
    <row r="93" spans="1:14" ht="14.5" x14ac:dyDescent="0.35">
      <c r="A93" t="s">
        <v>1111</v>
      </c>
      <c r="B93" s="2">
        <v>46103</v>
      </c>
      <c r="C93" t="s">
        <v>275</v>
      </c>
      <c r="D93" t="s">
        <v>69</v>
      </c>
      <c r="E93" t="s">
        <v>70</v>
      </c>
      <c r="F93" t="s">
        <v>1012</v>
      </c>
      <c r="G93">
        <v>12</v>
      </c>
      <c r="H93" t="s">
        <v>964</v>
      </c>
      <c r="I93">
        <v>75</v>
      </c>
      <c r="J93">
        <v>47</v>
      </c>
      <c r="K93" t="s">
        <v>959</v>
      </c>
      <c r="L93" t="s">
        <v>960</v>
      </c>
      <c r="M93">
        <v>32</v>
      </c>
      <c r="N93" t="s">
        <v>978</v>
      </c>
    </row>
    <row r="94" spans="1:14" ht="14.5" x14ac:dyDescent="0.35">
      <c r="A94" t="s">
        <v>1112</v>
      </c>
      <c r="B94" s="2">
        <v>46110</v>
      </c>
      <c r="C94" t="s">
        <v>1113</v>
      </c>
      <c r="D94" t="s">
        <v>108</v>
      </c>
      <c r="E94" t="s">
        <v>114</v>
      </c>
      <c r="F94" t="s">
        <v>977</v>
      </c>
      <c r="G94">
        <v>10</v>
      </c>
      <c r="H94" t="s">
        <v>964</v>
      </c>
      <c r="I94">
        <v>63</v>
      </c>
      <c r="J94">
        <v>62</v>
      </c>
      <c r="K94" t="s">
        <v>982</v>
      </c>
      <c r="L94" t="s">
        <v>966</v>
      </c>
      <c r="N94" t="s">
        <v>961</v>
      </c>
    </row>
    <row r="95" spans="1:14" ht="14.5" x14ac:dyDescent="0.35">
      <c r="A95" t="s">
        <v>1114</v>
      </c>
      <c r="B95" s="2">
        <v>45715</v>
      </c>
      <c r="C95" t="s">
        <v>162</v>
      </c>
      <c r="D95" t="s">
        <v>40</v>
      </c>
      <c r="E95" t="s">
        <v>90</v>
      </c>
      <c r="F95" t="s">
        <v>987</v>
      </c>
      <c r="G95">
        <v>4</v>
      </c>
      <c r="H95" t="s">
        <v>1029</v>
      </c>
      <c r="I95">
        <v>62</v>
      </c>
      <c r="J95">
        <v>60</v>
      </c>
      <c r="K95" t="s">
        <v>965</v>
      </c>
      <c r="L95" t="s">
        <v>966</v>
      </c>
      <c r="N95" t="s">
        <v>978</v>
      </c>
    </row>
    <row r="96" spans="1:14" ht="14.5" x14ac:dyDescent="0.35">
      <c r="A96" t="s">
        <v>1115</v>
      </c>
      <c r="B96" s="2">
        <v>46231</v>
      </c>
      <c r="C96" t="s">
        <v>125</v>
      </c>
      <c r="D96" t="s">
        <v>27</v>
      </c>
      <c r="E96" t="s">
        <v>87</v>
      </c>
      <c r="F96" t="s">
        <v>992</v>
      </c>
      <c r="G96">
        <v>7</v>
      </c>
      <c r="H96" t="s">
        <v>970</v>
      </c>
      <c r="I96">
        <v>80</v>
      </c>
      <c r="J96">
        <v>79</v>
      </c>
      <c r="K96" t="s">
        <v>965</v>
      </c>
      <c r="L96" t="s">
        <v>966</v>
      </c>
      <c r="N96" t="s">
        <v>961</v>
      </c>
    </row>
    <row r="97" spans="1:14" ht="14.5" x14ac:dyDescent="0.35">
      <c r="A97" t="s">
        <v>1116</v>
      </c>
      <c r="B97" s="2">
        <v>45981</v>
      </c>
      <c r="C97" t="s">
        <v>593</v>
      </c>
      <c r="D97" t="s">
        <v>159</v>
      </c>
      <c r="E97" t="s">
        <v>187</v>
      </c>
      <c r="F97" t="s">
        <v>963</v>
      </c>
      <c r="G97">
        <v>8</v>
      </c>
      <c r="H97" t="s">
        <v>995</v>
      </c>
      <c r="I97">
        <v>70</v>
      </c>
      <c r="J97">
        <v>68</v>
      </c>
      <c r="K97" t="s">
        <v>959</v>
      </c>
      <c r="L97" t="s">
        <v>960</v>
      </c>
      <c r="M97">
        <v>13</v>
      </c>
      <c r="N97" t="s">
        <v>967</v>
      </c>
    </row>
    <row r="98" spans="1:14" ht="14.5" x14ac:dyDescent="0.35">
      <c r="A98" t="s">
        <v>1117</v>
      </c>
      <c r="B98" s="2">
        <v>46075</v>
      </c>
      <c r="C98" t="s">
        <v>1118</v>
      </c>
      <c r="D98" t="s">
        <v>69</v>
      </c>
      <c r="E98" t="s">
        <v>150</v>
      </c>
      <c r="F98" t="s">
        <v>1012</v>
      </c>
      <c r="G98">
        <v>10</v>
      </c>
      <c r="H98" t="s">
        <v>964</v>
      </c>
      <c r="I98">
        <v>89</v>
      </c>
      <c r="J98">
        <v>69</v>
      </c>
      <c r="K98" t="s">
        <v>971</v>
      </c>
      <c r="L98" t="s">
        <v>972</v>
      </c>
      <c r="N98" t="s">
        <v>973</v>
      </c>
    </row>
    <row r="99" spans="1:14" ht="14.5" x14ac:dyDescent="0.35">
      <c r="A99" t="s">
        <v>1119</v>
      </c>
      <c r="B99" s="2">
        <v>46212</v>
      </c>
      <c r="C99" t="s">
        <v>1120</v>
      </c>
      <c r="D99" t="s">
        <v>69</v>
      </c>
      <c r="E99" t="s">
        <v>70</v>
      </c>
      <c r="F99" t="s">
        <v>992</v>
      </c>
      <c r="G99">
        <v>8</v>
      </c>
      <c r="H99" t="s">
        <v>1029</v>
      </c>
      <c r="I99">
        <v>51</v>
      </c>
      <c r="J99">
        <v>42</v>
      </c>
      <c r="K99" t="s">
        <v>965</v>
      </c>
      <c r="L99" t="s">
        <v>966</v>
      </c>
      <c r="N99" t="s">
        <v>978</v>
      </c>
    </row>
    <row r="100" spans="1:14" ht="14.5" x14ac:dyDescent="0.35">
      <c r="A100" t="s">
        <v>1121</v>
      </c>
      <c r="B100" s="2">
        <v>45707</v>
      </c>
      <c r="C100" t="s">
        <v>1063</v>
      </c>
      <c r="D100" t="s">
        <v>159</v>
      </c>
      <c r="E100" t="s">
        <v>160</v>
      </c>
      <c r="F100" t="s">
        <v>987</v>
      </c>
      <c r="G100">
        <v>12</v>
      </c>
      <c r="H100" t="s">
        <v>995</v>
      </c>
      <c r="I100">
        <v>65</v>
      </c>
      <c r="J100">
        <v>46</v>
      </c>
      <c r="K100" t="s">
        <v>965</v>
      </c>
      <c r="L100" t="s">
        <v>966</v>
      </c>
      <c r="N100" t="s">
        <v>967</v>
      </c>
    </row>
    <row r="101" spans="1:14" ht="14.5" x14ac:dyDescent="0.35">
      <c r="A101" t="s">
        <v>1122</v>
      </c>
      <c r="B101" s="2">
        <v>45810</v>
      </c>
      <c r="C101" t="s">
        <v>346</v>
      </c>
      <c r="D101" t="s">
        <v>36</v>
      </c>
      <c r="E101" t="s">
        <v>93</v>
      </c>
      <c r="F101" t="s">
        <v>963</v>
      </c>
      <c r="G101">
        <v>0</v>
      </c>
      <c r="H101" t="s">
        <v>981</v>
      </c>
      <c r="I101">
        <v>51</v>
      </c>
      <c r="J101">
        <v>55</v>
      </c>
      <c r="K101" t="s">
        <v>1000</v>
      </c>
      <c r="L101" t="s">
        <v>966</v>
      </c>
      <c r="N101" t="s">
        <v>973</v>
      </c>
    </row>
    <row r="102" spans="1:14" ht="14.5" x14ac:dyDescent="0.35">
      <c r="A102" t="s">
        <v>1123</v>
      </c>
      <c r="B102" s="2">
        <v>46221</v>
      </c>
      <c r="C102" t="s">
        <v>565</v>
      </c>
      <c r="D102" t="s">
        <v>159</v>
      </c>
      <c r="E102" t="s">
        <v>160</v>
      </c>
      <c r="F102" t="s">
        <v>987</v>
      </c>
      <c r="G102">
        <v>11</v>
      </c>
      <c r="H102" t="s">
        <v>964</v>
      </c>
      <c r="I102">
        <v>57</v>
      </c>
      <c r="J102">
        <v>83</v>
      </c>
      <c r="K102" t="s">
        <v>959</v>
      </c>
      <c r="L102" t="s">
        <v>960</v>
      </c>
      <c r="M102">
        <v>53</v>
      </c>
      <c r="N102" t="s">
        <v>978</v>
      </c>
    </row>
    <row r="103" spans="1:14" ht="14.5" x14ac:dyDescent="0.35">
      <c r="A103" t="s">
        <v>1124</v>
      </c>
      <c r="B103" s="2">
        <v>45667</v>
      </c>
      <c r="C103" t="s">
        <v>839</v>
      </c>
      <c r="D103" t="s">
        <v>69</v>
      </c>
      <c r="E103" t="s">
        <v>70</v>
      </c>
      <c r="F103" t="s">
        <v>992</v>
      </c>
      <c r="G103">
        <v>3</v>
      </c>
      <c r="H103" t="s">
        <v>964</v>
      </c>
      <c r="I103">
        <v>79</v>
      </c>
      <c r="J103">
        <v>76</v>
      </c>
      <c r="K103" t="s">
        <v>971</v>
      </c>
      <c r="L103" t="s">
        <v>972</v>
      </c>
      <c r="N103" t="s">
        <v>978</v>
      </c>
    </row>
    <row r="104" spans="1:14" ht="14.5" x14ac:dyDescent="0.35">
      <c r="A104" t="s">
        <v>1125</v>
      </c>
      <c r="B104" s="2">
        <v>46272</v>
      </c>
      <c r="C104" t="s">
        <v>288</v>
      </c>
      <c r="D104" t="s">
        <v>69</v>
      </c>
      <c r="E104" t="s">
        <v>70</v>
      </c>
      <c r="F104" t="s">
        <v>992</v>
      </c>
      <c r="G104">
        <v>0</v>
      </c>
      <c r="H104" t="s">
        <v>958</v>
      </c>
      <c r="I104">
        <v>74</v>
      </c>
      <c r="J104">
        <v>87</v>
      </c>
      <c r="K104" t="s">
        <v>1000</v>
      </c>
      <c r="L104" t="s">
        <v>966</v>
      </c>
      <c r="N104" t="s">
        <v>978</v>
      </c>
    </row>
    <row r="105" spans="1:14" ht="14.5" x14ac:dyDescent="0.35">
      <c r="A105" t="s">
        <v>1126</v>
      </c>
      <c r="B105" s="2">
        <v>45705</v>
      </c>
      <c r="C105" t="s">
        <v>1127</v>
      </c>
      <c r="D105" t="s">
        <v>108</v>
      </c>
      <c r="E105" t="s">
        <v>109</v>
      </c>
      <c r="F105" t="s">
        <v>977</v>
      </c>
      <c r="G105">
        <v>0</v>
      </c>
      <c r="H105" t="s">
        <v>995</v>
      </c>
      <c r="I105">
        <v>46</v>
      </c>
      <c r="J105">
        <v>62</v>
      </c>
      <c r="K105" t="s">
        <v>965</v>
      </c>
      <c r="L105" t="s">
        <v>966</v>
      </c>
      <c r="N105" t="s">
        <v>978</v>
      </c>
    </row>
    <row r="106" spans="1:14" ht="14.5" x14ac:dyDescent="0.35">
      <c r="A106" t="s">
        <v>1128</v>
      </c>
      <c r="B106" s="2">
        <v>45774</v>
      </c>
      <c r="C106" t="s">
        <v>1129</v>
      </c>
      <c r="D106" t="s">
        <v>52</v>
      </c>
      <c r="E106" t="s">
        <v>224</v>
      </c>
      <c r="F106" t="s">
        <v>977</v>
      </c>
      <c r="G106">
        <v>6</v>
      </c>
      <c r="H106" t="s">
        <v>964</v>
      </c>
      <c r="I106">
        <v>60</v>
      </c>
      <c r="J106">
        <v>57</v>
      </c>
      <c r="K106" t="s">
        <v>1000</v>
      </c>
      <c r="L106" t="s">
        <v>966</v>
      </c>
      <c r="N106" t="s">
        <v>967</v>
      </c>
    </row>
    <row r="107" spans="1:14" ht="14.5" x14ac:dyDescent="0.35">
      <c r="A107" t="s">
        <v>1130</v>
      </c>
      <c r="B107" s="2">
        <v>45764</v>
      </c>
      <c r="C107" t="s">
        <v>489</v>
      </c>
      <c r="D107" t="s">
        <v>45</v>
      </c>
      <c r="E107" t="s">
        <v>46</v>
      </c>
      <c r="F107" t="s">
        <v>977</v>
      </c>
      <c r="G107">
        <v>2</v>
      </c>
      <c r="H107" t="s">
        <v>995</v>
      </c>
      <c r="I107">
        <v>58</v>
      </c>
      <c r="J107">
        <v>69</v>
      </c>
      <c r="K107" t="s">
        <v>965</v>
      </c>
      <c r="L107" t="s">
        <v>966</v>
      </c>
      <c r="N107" t="s">
        <v>967</v>
      </c>
    </row>
    <row r="108" spans="1:14" ht="14.5" x14ac:dyDescent="0.35">
      <c r="A108" t="s">
        <v>1131</v>
      </c>
      <c r="B108" s="2">
        <v>45929</v>
      </c>
      <c r="C108" t="s">
        <v>141</v>
      </c>
      <c r="D108" t="s">
        <v>21</v>
      </c>
      <c r="E108" t="s">
        <v>49</v>
      </c>
      <c r="F108" t="s">
        <v>975</v>
      </c>
      <c r="G108">
        <v>12</v>
      </c>
      <c r="H108" t="s">
        <v>988</v>
      </c>
      <c r="I108">
        <v>86</v>
      </c>
      <c r="J108">
        <v>59</v>
      </c>
      <c r="K108" t="s">
        <v>993</v>
      </c>
      <c r="L108" t="s">
        <v>966</v>
      </c>
      <c r="N108" t="s">
        <v>978</v>
      </c>
    </row>
    <row r="109" spans="1:14" ht="14.5" x14ac:dyDescent="0.35">
      <c r="A109" t="s">
        <v>1132</v>
      </c>
      <c r="B109" s="2">
        <v>46062</v>
      </c>
      <c r="C109" t="s">
        <v>504</v>
      </c>
      <c r="D109" t="s">
        <v>159</v>
      </c>
      <c r="E109" t="s">
        <v>187</v>
      </c>
      <c r="F109" t="s">
        <v>975</v>
      </c>
      <c r="G109">
        <v>5</v>
      </c>
      <c r="H109" t="s">
        <v>958</v>
      </c>
      <c r="I109">
        <v>66</v>
      </c>
      <c r="J109">
        <v>64</v>
      </c>
      <c r="K109" t="s">
        <v>982</v>
      </c>
      <c r="L109" t="s">
        <v>966</v>
      </c>
      <c r="N109" t="s">
        <v>978</v>
      </c>
    </row>
    <row r="110" spans="1:14" ht="14.5" x14ac:dyDescent="0.35">
      <c r="A110" t="s">
        <v>1133</v>
      </c>
      <c r="B110" s="2">
        <v>46107</v>
      </c>
      <c r="C110" t="s">
        <v>1134</v>
      </c>
      <c r="D110" t="s">
        <v>21</v>
      </c>
      <c r="E110" t="s">
        <v>133</v>
      </c>
      <c r="F110" t="s">
        <v>1012</v>
      </c>
      <c r="G110">
        <v>7</v>
      </c>
      <c r="H110" t="s">
        <v>958</v>
      </c>
      <c r="I110">
        <v>91</v>
      </c>
      <c r="J110">
        <v>83</v>
      </c>
      <c r="K110" t="s">
        <v>982</v>
      </c>
      <c r="L110" t="s">
        <v>966</v>
      </c>
      <c r="N110" t="s">
        <v>973</v>
      </c>
    </row>
    <row r="111" spans="1:14" ht="14.5" x14ac:dyDescent="0.35">
      <c r="A111" t="s">
        <v>1135</v>
      </c>
      <c r="B111" s="2">
        <v>46256</v>
      </c>
      <c r="C111" t="s">
        <v>1136</v>
      </c>
      <c r="D111" t="s">
        <v>56</v>
      </c>
      <c r="E111" t="s">
        <v>112</v>
      </c>
      <c r="F111" t="s">
        <v>977</v>
      </c>
      <c r="G111">
        <v>5</v>
      </c>
      <c r="H111" t="s">
        <v>958</v>
      </c>
      <c r="I111">
        <v>70</v>
      </c>
      <c r="J111">
        <v>46</v>
      </c>
      <c r="K111" t="s">
        <v>965</v>
      </c>
      <c r="L111" t="s">
        <v>966</v>
      </c>
      <c r="N111" t="s">
        <v>967</v>
      </c>
    </row>
    <row r="112" spans="1:14" ht="14.5" x14ac:dyDescent="0.35">
      <c r="A112" t="s">
        <v>1137</v>
      </c>
      <c r="B112" s="2">
        <v>46039</v>
      </c>
      <c r="C112" t="s">
        <v>1138</v>
      </c>
      <c r="D112" t="s">
        <v>69</v>
      </c>
      <c r="E112" t="s">
        <v>105</v>
      </c>
      <c r="F112" t="s">
        <v>977</v>
      </c>
      <c r="G112">
        <v>5</v>
      </c>
      <c r="H112" t="s">
        <v>981</v>
      </c>
      <c r="I112">
        <v>76</v>
      </c>
      <c r="J112">
        <v>53</v>
      </c>
      <c r="K112" t="s">
        <v>1000</v>
      </c>
      <c r="L112" t="s">
        <v>966</v>
      </c>
      <c r="N112" t="s">
        <v>967</v>
      </c>
    </row>
    <row r="113" spans="1:14" ht="14.5" x14ac:dyDescent="0.35">
      <c r="A113" t="s">
        <v>1139</v>
      </c>
      <c r="B113" s="2">
        <v>45705</v>
      </c>
      <c r="C113" t="s">
        <v>542</v>
      </c>
      <c r="D113" t="s">
        <v>108</v>
      </c>
      <c r="E113" t="s">
        <v>126</v>
      </c>
      <c r="F113" t="s">
        <v>992</v>
      </c>
      <c r="G113">
        <v>2</v>
      </c>
      <c r="H113" t="s">
        <v>958</v>
      </c>
      <c r="I113">
        <v>91</v>
      </c>
      <c r="J113">
        <v>48</v>
      </c>
      <c r="K113" t="s">
        <v>965</v>
      </c>
      <c r="L113" t="s">
        <v>966</v>
      </c>
      <c r="N113" t="s">
        <v>961</v>
      </c>
    </row>
    <row r="114" spans="1:14" ht="14.5" x14ac:dyDescent="0.35">
      <c r="A114" t="s">
        <v>1140</v>
      </c>
      <c r="B114" s="2">
        <v>46058</v>
      </c>
      <c r="C114" t="s">
        <v>782</v>
      </c>
      <c r="D114" t="s">
        <v>36</v>
      </c>
      <c r="E114" t="s">
        <v>253</v>
      </c>
      <c r="F114" t="s">
        <v>987</v>
      </c>
      <c r="G114">
        <v>6</v>
      </c>
      <c r="H114" t="s">
        <v>970</v>
      </c>
      <c r="I114">
        <v>56</v>
      </c>
      <c r="J114">
        <v>71</v>
      </c>
      <c r="K114" t="s">
        <v>993</v>
      </c>
      <c r="L114" t="s">
        <v>966</v>
      </c>
      <c r="N114" t="s">
        <v>961</v>
      </c>
    </row>
    <row r="115" spans="1:14" ht="14.5" x14ac:dyDescent="0.35">
      <c r="A115" t="s">
        <v>1141</v>
      </c>
      <c r="B115" s="2">
        <v>46084</v>
      </c>
      <c r="C115" t="s">
        <v>1142</v>
      </c>
      <c r="D115" t="s">
        <v>21</v>
      </c>
      <c r="E115" t="s">
        <v>153</v>
      </c>
      <c r="F115" t="s">
        <v>963</v>
      </c>
      <c r="G115">
        <v>12</v>
      </c>
      <c r="H115" t="s">
        <v>1029</v>
      </c>
      <c r="I115">
        <v>51</v>
      </c>
      <c r="J115">
        <v>83</v>
      </c>
      <c r="K115" t="s">
        <v>993</v>
      </c>
      <c r="L115" t="s">
        <v>966</v>
      </c>
      <c r="N115" t="s">
        <v>1003</v>
      </c>
    </row>
    <row r="116" spans="1:14" ht="14.5" x14ac:dyDescent="0.35">
      <c r="A116" t="s">
        <v>1143</v>
      </c>
      <c r="B116" s="2">
        <v>45773</v>
      </c>
      <c r="C116" t="s">
        <v>1068</v>
      </c>
      <c r="D116" t="s">
        <v>27</v>
      </c>
      <c r="E116" t="s">
        <v>87</v>
      </c>
      <c r="F116" t="s">
        <v>963</v>
      </c>
      <c r="G116">
        <v>9</v>
      </c>
      <c r="H116" t="s">
        <v>958</v>
      </c>
      <c r="I116">
        <v>70</v>
      </c>
      <c r="J116">
        <v>74</v>
      </c>
      <c r="K116" t="s">
        <v>959</v>
      </c>
      <c r="L116" t="s">
        <v>960</v>
      </c>
      <c r="M116">
        <v>23</v>
      </c>
      <c r="N116" t="s">
        <v>961</v>
      </c>
    </row>
    <row r="117" spans="1:14" ht="14.5" x14ac:dyDescent="0.35">
      <c r="A117" t="s">
        <v>1144</v>
      </c>
      <c r="B117" s="2">
        <v>45978</v>
      </c>
      <c r="C117" t="s">
        <v>745</v>
      </c>
      <c r="D117" t="s">
        <v>36</v>
      </c>
      <c r="E117" t="s">
        <v>84</v>
      </c>
      <c r="F117" t="s">
        <v>987</v>
      </c>
      <c r="G117">
        <v>6</v>
      </c>
      <c r="H117" t="s">
        <v>1029</v>
      </c>
      <c r="I117">
        <v>79</v>
      </c>
      <c r="J117">
        <v>76</v>
      </c>
      <c r="K117" t="s">
        <v>993</v>
      </c>
      <c r="L117" t="s">
        <v>966</v>
      </c>
      <c r="N117" t="s">
        <v>978</v>
      </c>
    </row>
    <row r="118" spans="1:14" ht="14.5" x14ac:dyDescent="0.35">
      <c r="A118" t="s">
        <v>1145</v>
      </c>
      <c r="B118" s="2">
        <v>45661</v>
      </c>
      <c r="C118" t="s">
        <v>190</v>
      </c>
      <c r="D118" t="s">
        <v>27</v>
      </c>
      <c r="E118" t="s">
        <v>87</v>
      </c>
      <c r="F118" t="s">
        <v>992</v>
      </c>
      <c r="G118">
        <v>0</v>
      </c>
      <c r="H118" t="s">
        <v>1029</v>
      </c>
      <c r="I118">
        <v>62</v>
      </c>
      <c r="J118">
        <v>74</v>
      </c>
      <c r="K118" t="s">
        <v>965</v>
      </c>
      <c r="L118" t="s">
        <v>966</v>
      </c>
      <c r="N118" t="s">
        <v>978</v>
      </c>
    </row>
    <row r="119" spans="1:14" ht="14.5" x14ac:dyDescent="0.35">
      <c r="A119" t="s">
        <v>1146</v>
      </c>
      <c r="B119" s="2">
        <v>46010</v>
      </c>
      <c r="C119" t="s">
        <v>1147</v>
      </c>
      <c r="D119" t="s">
        <v>69</v>
      </c>
      <c r="E119" t="s">
        <v>105</v>
      </c>
      <c r="F119" t="s">
        <v>987</v>
      </c>
      <c r="G119">
        <v>9</v>
      </c>
      <c r="H119" t="s">
        <v>964</v>
      </c>
      <c r="I119">
        <v>56</v>
      </c>
      <c r="J119">
        <v>87</v>
      </c>
      <c r="K119" t="s">
        <v>982</v>
      </c>
      <c r="L119" t="s">
        <v>966</v>
      </c>
      <c r="N119" t="s">
        <v>973</v>
      </c>
    </row>
    <row r="120" spans="1:14" ht="14.5" x14ac:dyDescent="0.35">
      <c r="A120" t="s">
        <v>1148</v>
      </c>
      <c r="B120" s="2">
        <v>46050</v>
      </c>
      <c r="C120" t="s">
        <v>1149</v>
      </c>
      <c r="D120" t="s">
        <v>108</v>
      </c>
      <c r="E120" t="s">
        <v>114</v>
      </c>
      <c r="F120" t="s">
        <v>987</v>
      </c>
      <c r="G120">
        <v>5</v>
      </c>
      <c r="H120" t="s">
        <v>958</v>
      </c>
      <c r="I120">
        <v>83</v>
      </c>
      <c r="J120">
        <v>54</v>
      </c>
      <c r="K120" t="s">
        <v>993</v>
      </c>
      <c r="L120" t="s">
        <v>966</v>
      </c>
      <c r="N120" t="s">
        <v>973</v>
      </c>
    </row>
    <row r="121" spans="1:14" ht="14.5" x14ac:dyDescent="0.35">
      <c r="A121" t="s">
        <v>1150</v>
      </c>
      <c r="B121" s="2">
        <v>45741</v>
      </c>
      <c r="C121" t="s">
        <v>95</v>
      </c>
      <c r="D121" t="s">
        <v>45</v>
      </c>
      <c r="E121" t="s">
        <v>296</v>
      </c>
      <c r="F121" t="s">
        <v>975</v>
      </c>
      <c r="G121">
        <v>8</v>
      </c>
      <c r="H121" t="s">
        <v>995</v>
      </c>
      <c r="I121">
        <v>73</v>
      </c>
      <c r="J121">
        <v>50</v>
      </c>
      <c r="K121" t="s">
        <v>965</v>
      </c>
      <c r="L121" t="s">
        <v>966</v>
      </c>
      <c r="N121" t="s">
        <v>967</v>
      </c>
    </row>
    <row r="122" spans="1:14" ht="14.5" x14ac:dyDescent="0.35">
      <c r="A122" t="s">
        <v>1151</v>
      </c>
      <c r="B122" s="2">
        <v>45747</v>
      </c>
      <c r="C122" t="s">
        <v>1152</v>
      </c>
      <c r="D122" t="s">
        <v>69</v>
      </c>
      <c r="E122" t="s">
        <v>105</v>
      </c>
      <c r="F122" t="s">
        <v>992</v>
      </c>
      <c r="G122">
        <v>8</v>
      </c>
      <c r="H122" t="s">
        <v>995</v>
      </c>
      <c r="I122">
        <v>52</v>
      </c>
      <c r="J122">
        <v>68</v>
      </c>
      <c r="K122" t="s">
        <v>971</v>
      </c>
      <c r="L122" t="s">
        <v>972</v>
      </c>
      <c r="N122" t="s">
        <v>978</v>
      </c>
    </row>
    <row r="123" spans="1:14" ht="14.5" x14ac:dyDescent="0.35">
      <c r="A123" t="s">
        <v>1153</v>
      </c>
      <c r="B123" s="2">
        <v>46196</v>
      </c>
      <c r="C123" t="s">
        <v>78</v>
      </c>
      <c r="D123" t="s">
        <v>40</v>
      </c>
      <c r="E123" t="s">
        <v>65</v>
      </c>
      <c r="F123" t="s">
        <v>977</v>
      </c>
      <c r="G123">
        <v>9</v>
      </c>
      <c r="H123" t="s">
        <v>988</v>
      </c>
      <c r="I123">
        <v>91</v>
      </c>
      <c r="J123">
        <v>90</v>
      </c>
      <c r="K123" t="s">
        <v>982</v>
      </c>
      <c r="L123" t="s">
        <v>966</v>
      </c>
      <c r="N123" t="s">
        <v>978</v>
      </c>
    </row>
    <row r="124" spans="1:14" ht="14.5" x14ac:dyDescent="0.35">
      <c r="A124" t="s">
        <v>1154</v>
      </c>
      <c r="B124" s="2">
        <v>46117</v>
      </c>
      <c r="C124" t="s">
        <v>1155</v>
      </c>
      <c r="D124" t="s">
        <v>36</v>
      </c>
      <c r="E124" t="s">
        <v>62</v>
      </c>
      <c r="F124" t="s">
        <v>987</v>
      </c>
      <c r="G124">
        <v>9</v>
      </c>
      <c r="H124" t="s">
        <v>958</v>
      </c>
      <c r="I124">
        <v>83</v>
      </c>
      <c r="J124">
        <v>43</v>
      </c>
      <c r="K124" t="s">
        <v>993</v>
      </c>
      <c r="L124" t="s">
        <v>966</v>
      </c>
      <c r="N124" t="s">
        <v>961</v>
      </c>
    </row>
    <row r="125" spans="1:14" ht="14.5" x14ac:dyDescent="0.35">
      <c r="A125" t="s">
        <v>1156</v>
      </c>
      <c r="B125" s="2">
        <v>46217</v>
      </c>
      <c r="C125" t="s">
        <v>1157</v>
      </c>
      <c r="D125" t="s">
        <v>21</v>
      </c>
      <c r="E125" t="s">
        <v>163</v>
      </c>
      <c r="F125" t="s">
        <v>992</v>
      </c>
      <c r="G125">
        <v>6</v>
      </c>
      <c r="H125" t="s">
        <v>995</v>
      </c>
      <c r="I125">
        <v>95</v>
      </c>
      <c r="J125">
        <v>61</v>
      </c>
      <c r="K125" t="s">
        <v>982</v>
      </c>
      <c r="L125" t="s">
        <v>966</v>
      </c>
      <c r="N125" t="s">
        <v>967</v>
      </c>
    </row>
    <row r="126" spans="1:14" ht="14.5" x14ac:dyDescent="0.35">
      <c r="A126" t="s">
        <v>1158</v>
      </c>
      <c r="B126" s="2">
        <v>45667</v>
      </c>
      <c r="C126" t="s">
        <v>1159</v>
      </c>
      <c r="D126" t="s">
        <v>45</v>
      </c>
      <c r="E126" t="s">
        <v>296</v>
      </c>
      <c r="F126" t="s">
        <v>975</v>
      </c>
      <c r="G126">
        <v>6</v>
      </c>
      <c r="H126" t="s">
        <v>981</v>
      </c>
      <c r="I126">
        <v>49</v>
      </c>
      <c r="J126">
        <v>71</v>
      </c>
      <c r="K126" t="s">
        <v>965</v>
      </c>
      <c r="L126" t="s">
        <v>966</v>
      </c>
      <c r="N126" t="s">
        <v>973</v>
      </c>
    </row>
    <row r="127" spans="1:14" ht="14.5" x14ac:dyDescent="0.35">
      <c r="A127" t="s">
        <v>1160</v>
      </c>
      <c r="B127" s="2">
        <v>45862</v>
      </c>
      <c r="C127" t="s">
        <v>920</v>
      </c>
      <c r="D127" t="s">
        <v>21</v>
      </c>
      <c r="E127" t="s">
        <v>153</v>
      </c>
      <c r="F127" t="s">
        <v>975</v>
      </c>
      <c r="G127">
        <v>1</v>
      </c>
      <c r="H127" t="s">
        <v>981</v>
      </c>
      <c r="I127">
        <v>55</v>
      </c>
      <c r="J127">
        <v>78</v>
      </c>
      <c r="K127" t="s">
        <v>1000</v>
      </c>
      <c r="L127" t="s">
        <v>966</v>
      </c>
      <c r="N127" t="s">
        <v>973</v>
      </c>
    </row>
    <row r="128" spans="1:14" ht="14.5" x14ac:dyDescent="0.35">
      <c r="A128" t="s">
        <v>1161</v>
      </c>
      <c r="B128" s="2">
        <v>46086</v>
      </c>
      <c r="C128" t="s">
        <v>1162</v>
      </c>
      <c r="D128" t="s">
        <v>56</v>
      </c>
      <c r="E128" t="s">
        <v>79</v>
      </c>
      <c r="F128" t="s">
        <v>1012</v>
      </c>
      <c r="G128">
        <v>9</v>
      </c>
      <c r="H128" t="s">
        <v>995</v>
      </c>
      <c r="I128">
        <v>64</v>
      </c>
      <c r="J128">
        <v>78</v>
      </c>
      <c r="K128" t="s">
        <v>993</v>
      </c>
      <c r="L128" t="s">
        <v>966</v>
      </c>
      <c r="N128" t="s">
        <v>961</v>
      </c>
    </row>
    <row r="129" spans="1:14" ht="14.5" x14ac:dyDescent="0.35">
      <c r="A129" t="s">
        <v>1163</v>
      </c>
      <c r="B129" s="2">
        <v>46196</v>
      </c>
      <c r="C129" t="s">
        <v>194</v>
      </c>
      <c r="D129" t="s">
        <v>45</v>
      </c>
      <c r="E129" t="s">
        <v>234</v>
      </c>
      <c r="F129" t="s">
        <v>987</v>
      </c>
      <c r="G129">
        <v>11</v>
      </c>
      <c r="H129" t="s">
        <v>958</v>
      </c>
      <c r="I129">
        <v>90</v>
      </c>
      <c r="J129">
        <v>77</v>
      </c>
      <c r="K129" t="s">
        <v>971</v>
      </c>
      <c r="L129" t="s">
        <v>972</v>
      </c>
      <c r="N129" t="s">
        <v>967</v>
      </c>
    </row>
    <row r="130" spans="1:14" ht="14.5" x14ac:dyDescent="0.35">
      <c r="A130" t="s">
        <v>1164</v>
      </c>
      <c r="B130" s="2">
        <v>45774</v>
      </c>
      <c r="C130" t="s">
        <v>1165</v>
      </c>
      <c r="D130" t="s">
        <v>159</v>
      </c>
      <c r="E130" t="s">
        <v>160</v>
      </c>
      <c r="F130" t="s">
        <v>975</v>
      </c>
      <c r="G130">
        <v>12</v>
      </c>
      <c r="H130" t="s">
        <v>958</v>
      </c>
      <c r="I130">
        <v>58</v>
      </c>
      <c r="J130">
        <v>81</v>
      </c>
      <c r="K130" t="s">
        <v>982</v>
      </c>
      <c r="L130" t="s">
        <v>966</v>
      </c>
      <c r="N130" t="s">
        <v>1003</v>
      </c>
    </row>
    <row r="131" spans="1:14" ht="14.5" x14ac:dyDescent="0.35">
      <c r="A131" t="s">
        <v>1166</v>
      </c>
      <c r="B131" s="2">
        <v>45775</v>
      </c>
      <c r="C131" t="s">
        <v>1167</v>
      </c>
      <c r="D131" t="s">
        <v>69</v>
      </c>
      <c r="E131" t="s">
        <v>117</v>
      </c>
      <c r="F131" t="s">
        <v>987</v>
      </c>
      <c r="G131">
        <v>6</v>
      </c>
      <c r="H131" t="s">
        <v>981</v>
      </c>
      <c r="I131">
        <v>59</v>
      </c>
      <c r="J131">
        <v>91</v>
      </c>
      <c r="K131" t="s">
        <v>982</v>
      </c>
      <c r="L131" t="s">
        <v>966</v>
      </c>
      <c r="N131" t="s">
        <v>973</v>
      </c>
    </row>
    <row r="132" spans="1:14" ht="14.5" x14ac:dyDescent="0.35">
      <c r="A132" t="s">
        <v>1168</v>
      </c>
      <c r="B132" s="2">
        <v>46197</v>
      </c>
      <c r="C132" t="s">
        <v>677</v>
      </c>
      <c r="D132" t="s">
        <v>21</v>
      </c>
      <c r="E132" t="s">
        <v>153</v>
      </c>
      <c r="F132" t="s">
        <v>963</v>
      </c>
      <c r="G132">
        <v>5</v>
      </c>
      <c r="H132" t="s">
        <v>964</v>
      </c>
      <c r="I132">
        <v>62</v>
      </c>
      <c r="J132">
        <v>77</v>
      </c>
      <c r="K132" t="s">
        <v>965</v>
      </c>
      <c r="L132" t="s">
        <v>966</v>
      </c>
      <c r="N132" t="s">
        <v>967</v>
      </c>
    </row>
    <row r="133" spans="1:14" ht="14.5" x14ac:dyDescent="0.35">
      <c r="A133" t="s">
        <v>1169</v>
      </c>
      <c r="B133" s="2">
        <v>46145</v>
      </c>
      <c r="C133" t="s">
        <v>407</v>
      </c>
      <c r="D133" t="s">
        <v>52</v>
      </c>
      <c r="E133" t="s">
        <v>195</v>
      </c>
      <c r="F133" t="s">
        <v>1012</v>
      </c>
      <c r="G133">
        <v>10</v>
      </c>
      <c r="H133" t="s">
        <v>981</v>
      </c>
      <c r="I133">
        <v>55</v>
      </c>
      <c r="J133">
        <v>78</v>
      </c>
      <c r="K133" t="s">
        <v>993</v>
      </c>
      <c r="L133" t="s">
        <v>966</v>
      </c>
      <c r="N133" t="s">
        <v>1003</v>
      </c>
    </row>
    <row r="134" spans="1:14" ht="14.5" x14ac:dyDescent="0.35">
      <c r="A134" t="s">
        <v>1170</v>
      </c>
      <c r="B134" s="2">
        <v>46007</v>
      </c>
      <c r="C134" t="s">
        <v>165</v>
      </c>
      <c r="D134" t="s">
        <v>27</v>
      </c>
      <c r="E134" t="s">
        <v>87</v>
      </c>
      <c r="F134" t="s">
        <v>992</v>
      </c>
      <c r="G134">
        <v>11</v>
      </c>
      <c r="H134" t="s">
        <v>988</v>
      </c>
      <c r="I134">
        <v>71</v>
      </c>
      <c r="J134">
        <v>97</v>
      </c>
      <c r="K134" t="s">
        <v>982</v>
      </c>
      <c r="L134" t="s">
        <v>966</v>
      </c>
      <c r="N134" t="s">
        <v>967</v>
      </c>
    </row>
    <row r="135" spans="1:14" ht="14.5" x14ac:dyDescent="0.35">
      <c r="A135" t="s">
        <v>1171</v>
      </c>
      <c r="B135" s="2">
        <v>45814</v>
      </c>
      <c r="C135" t="s">
        <v>673</v>
      </c>
      <c r="D135" t="s">
        <v>27</v>
      </c>
      <c r="E135" t="s">
        <v>28</v>
      </c>
      <c r="F135" t="s">
        <v>992</v>
      </c>
      <c r="G135">
        <v>7</v>
      </c>
      <c r="H135" t="s">
        <v>1029</v>
      </c>
      <c r="I135">
        <v>99</v>
      </c>
      <c r="J135">
        <v>57</v>
      </c>
      <c r="K135" t="s">
        <v>982</v>
      </c>
      <c r="L135" t="s">
        <v>966</v>
      </c>
      <c r="N135" t="s">
        <v>973</v>
      </c>
    </row>
    <row r="136" spans="1:14" ht="14.5" x14ac:dyDescent="0.35">
      <c r="A136" t="s">
        <v>1172</v>
      </c>
      <c r="B136" s="2">
        <v>45766</v>
      </c>
      <c r="C136" t="s">
        <v>504</v>
      </c>
      <c r="D136" t="s">
        <v>40</v>
      </c>
      <c r="E136" t="s">
        <v>293</v>
      </c>
      <c r="F136" t="s">
        <v>963</v>
      </c>
      <c r="G136">
        <v>7</v>
      </c>
      <c r="H136" t="s">
        <v>988</v>
      </c>
      <c r="I136">
        <v>96</v>
      </c>
      <c r="J136">
        <v>57</v>
      </c>
      <c r="K136" t="s">
        <v>965</v>
      </c>
      <c r="L136" t="s">
        <v>966</v>
      </c>
      <c r="N136" t="s">
        <v>961</v>
      </c>
    </row>
    <row r="137" spans="1:14" ht="14.5" x14ac:dyDescent="0.35">
      <c r="A137" t="s">
        <v>1173</v>
      </c>
      <c r="B137" s="2">
        <v>46089</v>
      </c>
      <c r="C137" t="s">
        <v>263</v>
      </c>
      <c r="D137" t="s">
        <v>36</v>
      </c>
      <c r="E137" t="s">
        <v>84</v>
      </c>
      <c r="F137" t="s">
        <v>975</v>
      </c>
      <c r="G137">
        <v>2</v>
      </c>
      <c r="H137" t="s">
        <v>981</v>
      </c>
      <c r="I137">
        <v>51</v>
      </c>
      <c r="J137">
        <v>92</v>
      </c>
      <c r="K137" t="s">
        <v>971</v>
      </c>
      <c r="L137" t="s">
        <v>972</v>
      </c>
      <c r="N137" t="s">
        <v>961</v>
      </c>
    </row>
    <row r="138" spans="1:14" ht="14.5" x14ac:dyDescent="0.35">
      <c r="A138" t="s">
        <v>1174</v>
      </c>
      <c r="B138" s="2">
        <v>46062</v>
      </c>
      <c r="C138" t="s">
        <v>1127</v>
      </c>
      <c r="D138" t="s">
        <v>21</v>
      </c>
      <c r="E138" t="s">
        <v>49</v>
      </c>
      <c r="F138" t="s">
        <v>977</v>
      </c>
      <c r="G138">
        <v>3</v>
      </c>
      <c r="H138" t="s">
        <v>1029</v>
      </c>
      <c r="I138">
        <v>81</v>
      </c>
      <c r="J138">
        <v>78</v>
      </c>
      <c r="K138" t="s">
        <v>993</v>
      </c>
      <c r="L138" t="s">
        <v>966</v>
      </c>
      <c r="N138" t="s">
        <v>967</v>
      </c>
    </row>
    <row r="139" spans="1:14" ht="14.5" x14ac:dyDescent="0.35">
      <c r="A139" t="s">
        <v>1175</v>
      </c>
      <c r="B139" s="2">
        <v>45897</v>
      </c>
      <c r="C139" t="s">
        <v>1176</v>
      </c>
      <c r="D139" t="s">
        <v>36</v>
      </c>
      <c r="E139" t="s">
        <v>253</v>
      </c>
      <c r="F139" t="s">
        <v>957</v>
      </c>
      <c r="G139">
        <v>1</v>
      </c>
      <c r="H139" t="s">
        <v>995</v>
      </c>
      <c r="I139">
        <v>65</v>
      </c>
      <c r="J139">
        <v>64</v>
      </c>
      <c r="K139" t="s">
        <v>965</v>
      </c>
      <c r="L139" t="s">
        <v>966</v>
      </c>
      <c r="N139" t="s">
        <v>978</v>
      </c>
    </row>
    <row r="140" spans="1:14" ht="14.5" x14ac:dyDescent="0.35">
      <c r="A140" t="s">
        <v>1177</v>
      </c>
      <c r="B140" s="2">
        <v>46191</v>
      </c>
      <c r="C140" t="s">
        <v>1178</v>
      </c>
      <c r="D140" t="s">
        <v>45</v>
      </c>
      <c r="E140" t="s">
        <v>239</v>
      </c>
      <c r="F140" t="s">
        <v>975</v>
      </c>
      <c r="G140">
        <v>10</v>
      </c>
      <c r="H140" t="s">
        <v>964</v>
      </c>
      <c r="I140">
        <v>92</v>
      </c>
      <c r="J140">
        <v>61</v>
      </c>
      <c r="K140" t="s">
        <v>959</v>
      </c>
      <c r="L140" t="s">
        <v>960</v>
      </c>
      <c r="M140">
        <v>49</v>
      </c>
      <c r="N140" t="s">
        <v>1003</v>
      </c>
    </row>
    <row r="141" spans="1:14" ht="14.5" x14ac:dyDescent="0.35">
      <c r="A141" t="s">
        <v>1179</v>
      </c>
      <c r="B141" s="2">
        <v>45796</v>
      </c>
      <c r="C141" t="s">
        <v>1180</v>
      </c>
      <c r="D141" t="s">
        <v>40</v>
      </c>
      <c r="E141" t="s">
        <v>65</v>
      </c>
      <c r="F141" t="s">
        <v>1012</v>
      </c>
      <c r="G141">
        <v>10</v>
      </c>
      <c r="H141" t="s">
        <v>981</v>
      </c>
      <c r="I141">
        <v>62</v>
      </c>
      <c r="J141">
        <v>98</v>
      </c>
      <c r="K141" t="s">
        <v>971</v>
      </c>
      <c r="L141" t="s">
        <v>972</v>
      </c>
      <c r="N141" t="s">
        <v>973</v>
      </c>
    </row>
    <row r="142" spans="1:14" ht="14.5" x14ac:dyDescent="0.35">
      <c r="A142" t="s">
        <v>1181</v>
      </c>
      <c r="B142" s="2">
        <v>46153</v>
      </c>
      <c r="C142" t="s">
        <v>714</v>
      </c>
      <c r="D142" t="s">
        <v>21</v>
      </c>
      <c r="E142" t="s">
        <v>153</v>
      </c>
      <c r="F142" t="s">
        <v>975</v>
      </c>
      <c r="G142">
        <v>10</v>
      </c>
      <c r="H142" t="s">
        <v>958</v>
      </c>
      <c r="I142">
        <v>94</v>
      </c>
      <c r="J142">
        <v>97</v>
      </c>
      <c r="K142" t="s">
        <v>965</v>
      </c>
      <c r="L142" t="s">
        <v>966</v>
      </c>
      <c r="N142" t="s">
        <v>967</v>
      </c>
    </row>
    <row r="143" spans="1:14" ht="14.5" x14ac:dyDescent="0.35">
      <c r="A143" t="s">
        <v>1182</v>
      </c>
      <c r="B143" s="2">
        <v>45869</v>
      </c>
      <c r="C143" t="s">
        <v>1183</v>
      </c>
      <c r="D143" t="s">
        <v>21</v>
      </c>
      <c r="E143" t="s">
        <v>22</v>
      </c>
      <c r="F143" t="s">
        <v>987</v>
      </c>
      <c r="G143">
        <v>3</v>
      </c>
      <c r="H143" t="s">
        <v>958</v>
      </c>
      <c r="I143">
        <v>84</v>
      </c>
      <c r="J143">
        <v>70</v>
      </c>
      <c r="K143" t="s">
        <v>965</v>
      </c>
      <c r="L143" t="s">
        <v>966</v>
      </c>
      <c r="N143" t="s">
        <v>973</v>
      </c>
    </row>
    <row r="144" spans="1:14" ht="14.5" x14ac:dyDescent="0.35">
      <c r="A144" t="s">
        <v>1184</v>
      </c>
      <c r="B144" s="2">
        <v>45889</v>
      </c>
      <c r="C144" t="s">
        <v>1185</v>
      </c>
      <c r="D144" t="s">
        <v>21</v>
      </c>
      <c r="E144" t="s">
        <v>153</v>
      </c>
      <c r="F144" t="s">
        <v>957</v>
      </c>
      <c r="G144">
        <v>11</v>
      </c>
      <c r="H144" t="s">
        <v>964</v>
      </c>
      <c r="I144">
        <v>63</v>
      </c>
      <c r="J144">
        <v>40</v>
      </c>
      <c r="K144" t="s">
        <v>971</v>
      </c>
      <c r="L144" t="s">
        <v>972</v>
      </c>
      <c r="N144" t="s">
        <v>973</v>
      </c>
    </row>
    <row r="145" spans="1:14" ht="14.5" x14ac:dyDescent="0.35">
      <c r="A145" t="s">
        <v>1186</v>
      </c>
      <c r="B145" s="2">
        <v>45754</v>
      </c>
      <c r="C145" t="s">
        <v>1187</v>
      </c>
      <c r="D145" t="s">
        <v>159</v>
      </c>
      <c r="E145" t="s">
        <v>269</v>
      </c>
      <c r="F145" t="s">
        <v>977</v>
      </c>
      <c r="G145">
        <v>11</v>
      </c>
      <c r="H145" t="s">
        <v>981</v>
      </c>
      <c r="I145">
        <v>84</v>
      </c>
      <c r="J145">
        <v>73</v>
      </c>
      <c r="K145" t="s">
        <v>982</v>
      </c>
      <c r="L145" t="s">
        <v>966</v>
      </c>
      <c r="N145" t="s">
        <v>961</v>
      </c>
    </row>
    <row r="146" spans="1:14" ht="14.5" x14ac:dyDescent="0.35">
      <c r="A146" t="s">
        <v>1188</v>
      </c>
      <c r="B146" s="2">
        <v>45847</v>
      </c>
      <c r="C146" t="s">
        <v>1189</v>
      </c>
      <c r="D146" t="s">
        <v>56</v>
      </c>
      <c r="E146" t="s">
        <v>112</v>
      </c>
      <c r="F146" t="s">
        <v>987</v>
      </c>
      <c r="G146">
        <v>11</v>
      </c>
      <c r="H146" t="s">
        <v>988</v>
      </c>
      <c r="I146">
        <v>60</v>
      </c>
      <c r="J146">
        <v>67</v>
      </c>
      <c r="K146" t="s">
        <v>993</v>
      </c>
      <c r="L146" t="s">
        <v>966</v>
      </c>
      <c r="N146" t="s">
        <v>961</v>
      </c>
    </row>
    <row r="147" spans="1:14" ht="14.5" x14ac:dyDescent="0.35">
      <c r="A147" t="s">
        <v>1190</v>
      </c>
      <c r="B147" s="2">
        <v>45932</v>
      </c>
      <c r="C147" t="s">
        <v>1191</v>
      </c>
      <c r="D147" t="s">
        <v>36</v>
      </c>
      <c r="E147" t="s">
        <v>253</v>
      </c>
      <c r="F147" t="s">
        <v>957</v>
      </c>
      <c r="G147">
        <v>2</v>
      </c>
      <c r="H147" t="s">
        <v>964</v>
      </c>
      <c r="I147">
        <v>63</v>
      </c>
      <c r="J147">
        <v>88</v>
      </c>
      <c r="K147" t="s">
        <v>982</v>
      </c>
      <c r="L147" t="s">
        <v>966</v>
      </c>
      <c r="N147" t="s">
        <v>961</v>
      </c>
    </row>
    <row r="148" spans="1:14" ht="14.5" x14ac:dyDescent="0.35">
      <c r="A148" t="s">
        <v>1192</v>
      </c>
      <c r="B148" s="2">
        <v>45908</v>
      </c>
      <c r="C148" t="s">
        <v>1048</v>
      </c>
      <c r="D148" t="s">
        <v>159</v>
      </c>
      <c r="E148" t="s">
        <v>269</v>
      </c>
      <c r="F148" t="s">
        <v>963</v>
      </c>
      <c r="G148">
        <v>12</v>
      </c>
      <c r="H148" t="s">
        <v>958</v>
      </c>
      <c r="I148">
        <v>98</v>
      </c>
      <c r="J148">
        <v>88</v>
      </c>
      <c r="K148" t="s">
        <v>993</v>
      </c>
      <c r="L148" t="s">
        <v>966</v>
      </c>
      <c r="N148" t="s">
        <v>978</v>
      </c>
    </row>
    <row r="149" spans="1:14" ht="14.5" x14ac:dyDescent="0.35">
      <c r="A149" t="s">
        <v>1193</v>
      </c>
      <c r="B149" s="2">
        <v>45778</v>
      </c>
      <c r="C149" t="s">
        <v>99</v>
      </c>
      <c r="D149" t="s">
        <v>40</v>
      </c>
      <c r="E149" t="s">
        <v>41</v>
      </c>
      <c r="F149" t="s">
        <v>975</v>
      </c>
      <c r="G149">
        <v>10</v>
      </c>
      <c r="H149" t="s">
        <v>970</v>
      </c>
      <c r="I149">
        <v>92</v>
      </c>
      <c r="J149">
        <v>72</v>
      </c>
      <c r="K149" t="s">
        <v>993</v>
      </c>
      <c r="L149" t="s">
        <v>966</v>
      </c>
      <c r="N149" t="s">
        <v>961</v>
      </c>
    </row>
    <row r="150" spans="1:14" ht="14.5" x14ac:dyDescent="0.35">
      <c r="A150" t="s">
        <v>1194</v>
      </c>
      <c r="B150" s="2">
        <v>45763</v>
      </c>
      <c r="C150" t="s">
        <v>1180</v>
      </c>
      <c r="D150" t="s">
        <v>45</v>
      </c>
      <c r="E150" t="s">
        <v>46</v>
      </c>
      <c r="F150" t="s">
        <v>992</v>
      </c>
      <c r="G150">
        <v>4</v>
      </c>
      <c r="H150" t="s">
        <v>995</v>
      </c>
      <c r="I150">
        <v>76</v>
      </c>
      <c r="J150">
        <v>62</v>
      </c>
      <c r="K150" t="s">
        <v>965</v>
      </c>
      <c r="L150" t="s">
        <v>966</v>
      </c>
      <c r="N150" t="s">
        <v>973</v>
      </c>
    </row>
    <row r="151" spans="1:14" ht="14.5" x14ac:dyDescent="0.35">
      <c r="A151" t="s">
        <v>1195</v>
      </c>
      <c r="B151" s="2">
        <v>45985</v>
      </c>
      <c r="C151" t="s">
        <v>479</v>
      </c>
      <c r="D151" t="s">
        <v>108</v>
      </c>
      <c r="E151" t="s">
        <v>114</v>
      </c>
      <c r="F151" t="s">
        <v>987</v>
      </c>
      <c r="G151">
        <v>4</v>
      </c>
      <c r="H151" t="s">
        <v>964</v>
      </c>
      <c r="I151">
        <v>98</v>
      </c>
      <c r="J151">
        <v>80</v>
      </c>
      <c r="K151" t="s">
        <v>965</v>
      </c>
      <c r="L151" t="s">
        <v>966</v>
      </c>
      <c r="N151" t="s">
        <v>967</v>
      </c>
    </row>
    <row r="152" spans="1:14" ht="14.5" x14ac:dyDescent="0.35">
      <c r="A152" t="s">
        <v>1196</v>
      </c>
      <c r="B152" s="2">
        <v>45841</v>
      </c>
      <c r="C152" t="s">
        <v>273</v>
      </c>
      <c r="D152" t="s">
        <v>52</v>
      </c>
      <c r="E152" t="s">
        <v>102</v>
      </c>
      <c r="F152" t="s">
        <v>987</v>
      </c>
      <c r="G152">
        <v>6</v>
      </c>
      <c r="H152" t="s">
        <v>964</v>
      </c>
      <c r="I152">
        <v>100</v>
      </c>
      <c r="J152">
        <v>44</v>
      </c>
      <c r="K152" t="s">
        <v>971</v>
      </c>
      <c r="L152" t="s">
        <v>972</v>
      </c>
      <c r="N152" t="s">
        <v>973</v>
      </c>
    </row>
    <row r="153" spans="1:14" ht="14.5" x14ac:dyDescent="0.35">
      <c r="A153" t="s">
        <v>1197</v>
      </c>
      <c r="B153" s="2">
        <v>45985</v>
      </c>
      <c r="C153" t="s">
        <v>811</v>
      </c>
      <c r="D153" t="s">
        <v>40</v>
      </c>
      <c r="E153" t="s">
        <v>65</v>
      </c>
      <c r="F153" t="s">
        <v>992</v>
      </c>
      <c r="G153">
        <v>9</v>
      </c>
      <c r="H153" t="s">
        <v>1029</v>
      </c>
      <c r="I153">
        <v>62</v>
      </c>
      <c r="J153">
        <v>51</v>
      </c>
      <c r="K153" t="s">
        <v>959</v>
      </c>
      <c r="L153" t="s">
        <v>960</v>
      </c>
      <c r="M153">
        <v>47</v>
      </c>
      <c r="N153" t="s">
        <v>973</v>
      </c>
    </row>
    <row r="154" spans="1:14" ht="14.5" x14ac:dyDescent="0.35">
      <c r="A154" t="s">
        <v>1198</v>
      </c>
      <c r="B154" s="2">
        <v>46048</v>
      </c>
      <c r="C154" t="s">
        <v>1070</v>
      </c>
      <c r="D154" t="s">
        <v>108</v>
      </c>
      <c r="E154" t="s">
        <v>206</v>
      </c>
      <c r="F154" t="s">
        <v>957</v>
      </c>
      <c r="G154">
        <v>6</v>
      </c>
      <c r="H154" t="s">
        <v>981</v>
      </c>
      <c r="I154">
        <v>82</v>
      </c>
      <c r="J154">
        <v>82</v>
      </c>
      <c r="K154" t="s">
        <v>982</v>
      </c>
      <c r="L154" t="s">
        <v>966</v>
      </c>
      <c r="N154" t="s">
        <v>973</v>
      </c>
    </row>
    <row r="155" spans="1:14" ht="14.5" x14ac:dyDescent="0.35">
      <c r="A155" t="s">
        <v>1199</v>
      </c>
      <c r="B155" s="2">
        <v>45897</v>
      </c>
      <c r="C155" t="s">
        <v>1200</v>
      </c>
      <c r="D155" t="s">
        <v>45</v>
      </c>
      <c r="E155" t="s">
        <v>46</v>
      </c>
      <c r="F155" t="s">
        <v>977</v>
      </c>
      <c r="G155">
        <v>3</v>
      </c>
      <c r="H155" t="s">
        <v>995</v>
      </c>
      <c r="I155">
        <v>79</v>
      </c>
      <c r="J155">
        <v>64</v>
      </c>
      <c r="K155" t="s">
        <v>965</v>
      </c>
      <c r="L155" t="s">
        <v>966</v>
      </c>
      <c r="N155" t="s">
        <v>967</v>
      </c>
    </row>
    <row r="156" spans="1:14" ht="14.5" x14ac:dyDescent="0.35">
      <c r="A156" t="s">
        <v>1201</v>
      </c>
      <c r="B156" s="2">
        <v>45674</v>
      </c>
      <c r="C156" t="s">
        <v>634</v>
      </c>
      <c r="D156" t="s">
        <v>69</v>
      </c>
      <c r="E156" t="s">
        <v>319</v>
      </c>
      <c r="F156" t="s">
        <v>992</v>
      </c>
      <c r="G156">
        <v>9</v>
      </c>
      <c r="H156" t="s">
        <v>964</v>
      </c>
      <c r="I156">
        <v>95</v>
      </c>
      <c r="J156">
        <v>54</v>
      </c>
      <c r="K156" t="s">
        <v>959</v>
      </c>
      <c r="L156" t="s">
        <v>960</v>
      </c>
      <c r="M156">
        <v>29</v>
      </c>
      <c r="N156" t="s">
        <v>973</v>
      </c>
    </row>
    <row r="157" spans="1:14" ht="14.5" x14ac:dyDescent="0.35">
      <c r="A157" t="s">
        <v>1202</v>
      </c>
      <c r="B157" s="2">
        <v>46045</v>
      </c>
      <c r="C157" t="s">
        <v>280</v>
      </c>
      <c r="D157" t="s">
        <v>36</v>
      </c>
      <c r="E157" t="s">
        <v>37</v>
      </c>
      <c r="F157" t="s">
        <v>975</v>
      </c>
      <c r="G157">
        <v>6</v>
      </c>
      <c r="H157" t="s">
        <v>1029</v>
      </c>
      <c r="I157">
        <v>88</v>
      </c>
      <c r="J157">
        <v>51</v>
      </c>
      <c r="K157" t="s">
        <v>1000</v>
      </c>
      <c r="L157" t="s">
        <v>966</v>
      </c>
      <c r="N157" t="s">
        <v>973</v>
      </c>
    </row>
    <row r="158" spans="1:14" ht="14.5" x14ac:dyDescent="0.35">
      <c r="A158" t="s">
        <v>1203</v>
      </c>
      <c r="B158" s="2">
        <v>46209</v>
      </c>
      <c r="C158" t="s">
        <v>1204</v>
      </c>
      <c r="D158" t="s">
        <v>36</v>
      </c>
      <c r="E158" t="s">
        <v>62</v>
      </c>
      <c r="F158" t="s">
        <v>963</v>
      </c>
      <c r="G158">
        <v>9</v>
      </c>
      <c r="H158" t="s">
        <v>995</v>
      </c>
      <c r="I158">
        <v>59</v>
      </c>
      <c r="J158">
        <v>100</v>
      </c>
      <c r="K158" t="s">
        <v>965</v>
      </c>
      <c r="L158" t="s">
        <v>966</v>
      </c>
      <c r="N158" t="s">
        <v>967</v>
      </c>
    </row>
    <row r="159" spans="1:14" ht="14.5" x14ac:dyDescent="0.35">
      <c r="A159" t="s">
        <v>1205</v>
      </c>
      <c r="B159" s="2">
        <v>45918</v>
      </c>
      <c r="C159" t="s">
        <v>1206</v>
      </c>
      <c r="D159" t="s">
        <v>56</v>
      </c>
      <c r="E159" t="s">
        <v>217</v>
      </c>
      <c r="F159" t="s">
        <v>977</v>
      </c>
      <c r="G159">
        <v>11</v>
      </c>
      <c r="H159" t="s">
        <v>970</v>
      </c>
      <c r="I159">
        <v>47</v>
      </c>
      <c r="J159">
        <v>72</v>
      </c>
      <c r="K159" t="s">
        <v>993</v>
      </c>
      <c r="L159" t="s">
        <v>966</v>
      </c>
      <c r="N159" t="s">
        <v>973</v>
      </c>
    </row>
    <row r="160" spans="1:14" ht="14.5" x14ac:dyDescent="0.35">
      <c r="A160" t="s">
        <v>1207</v>
      </c>
      <c r="B160" s="2">
        <v>46233</v>
      </c>
      <c r="C160" t="s">
        <v>1208</v>
      </c>
      <c r="D160" t="s">
        <v>36</v>
      </c>
      <c r="E160" t="s">
        <v>93</v>
      </c>
      <c r="F160" t="s">
        <v>963</v>
      </c>
      <c r="G160">
        <v>2</v>
      </c>
      <c r="H160" t="s">
        <v>970</v>
      </c>
      <c r="I160">
        <v>69</v>
      </c>
      <c r="J160">
        <v>100</v>
      </c>
      <c r="K160" t="s">
        <v>1000</v>
      </c>
      <c r="L160" t="s">
        <v>966</v>
      </c>
      <c r="N160" t="s">
        <v>961</v>
      </c>
    </row>
    <row r="161" spans="1:14" ht="14.5" x14ac:dyDescent="0.35">
      <c r="A161" t="s">
        <v>1209</v>
      </c>
      <c r="B161" s="2">
        <v>45867</v>
      </c>
      <c r="C161" t="s">
        <v>39</v>
      </c>
      <c r="D161" t="s">
        <v>108</v>
      </c>
      <c r="E161" t="s">
        <v>126</v>
      </c>
      <c r="F161" t="s">
        <v>957</v>
      </c>
      <c r="G161">
        <v>5</v>
      </c>
      <c r="H161" t="s">
        <v>981</v>
      </c>
      <c r="I161">
        <v>97</v>
      </c>
      <c r="J161">
        <v>93</v>
      </c>
      <c r="K161" t="s">
        <v>965</v>
      </c>
      <c r="L161" t="s">
        <v>966</v>
      </c>
      <c r="N161" t="s">
        <v>967</v>
      </c>
    </row>
    <row r="162" spans="1:14" ht="14.5" x14ac:dyDescent="0.35">
      <c r="A162" t="s">
        <v>1210</v>
      </c>
      <c r="B162" s="2">
        <v>45936</v>
      </c>
      <c r="C162" t="s">
        <v>684</v>
      </c>
      <c r="D162" t="s">
        <v>27</v>
      </c>
      <c r="E162" t="s">
        <v>73</v>
      </c>
      <c r="F162" t="s">
        <v>975</v>
      </c>
      <c r="G162">
        <v>7</v>
      </c>
      <c r="H162" t="s">
        <v>981</v>
      </c>
      <c r="I162">
        <v>98</v>
      </c>
      <c r="J162">
        <v>80</v>
      </c>
      <c r="K162" t="s">
        <v>982</v>
      </c>
      <c r="L162" t="s">
        <v>966</v>
      </c>
      <c r="N162" t="s">
        <v>967</v>
      </c>
    </row>
    <row r="163" spans="1:14" ht="14.5" x14ac:dyDescent="0.35">
      <c r="A163" t="s">
        <v>1211</v>
      </c>
      <c r="B163" s="2">
        <v>45992</v>
      </c>
      <c r="C163" t="s">
        <v>1212</v>
      </c>
      <c r="D163" t="s">
        <v>56</v>
      </c>
      <c r="E163" t="s">
        <v>57</v>
      </c>
      <c r="F163" t="s">
        <v>975</v>
      </c>
      <c r="G163">
        <v>3</v>
      </c>
      <c r="H163" t="s">
        <v>970</v>
      </c>
      <c r="I163">
        <v>65</v>
      </c>
      <c r="J163">
        <v>78</v>
      </c>
      <c r="K163" t="s">
        <v>965</v>
      </c>
      <c r="L163" t="s">
        <v>966</v>
      </c>
      <c r="N163" t="s">
        <v>961</v>
      </c>
    </row>
    <row r="164" spans="1:14" ht="14.5" x14ac:dyDescent="0.35">
      <c r="A164" t="s">
        <v>1213</v>
      </c>
      <c r="B164" s="2">
        <v>45785</v>
      </c>
      <c r="C164" t="s">
        <v>1178</v>
      </c>
      <c r="D164" t="s">
        <v>36</v>
      </c>
      <c r="E164" t="s">
        <v>84</v>
      </c>
      <c r="F164" t="s">
        <v>977</v>
      </c>
      <c r="G164">
        <v>12</v>
      </c>
      <c r="H164" t="s">
        <v>988</v>
      </c>
      <c r="I164">
        <v>80</v>
      </c>
      <c r="J164">
        <v>73</v>
      </c>
      <c r="K164" t="s">
        <v>965</v>
      </c>
      <c r="L164" t="s">
        <v>966</v>
      </c>
      <c r="N164" t="s">
        <v>1003</v>
      </c>
    </row>
    <row r="165" spans="1:14" ht="14.5" x14ac:dyDescent="0.35">
      <c r="A165" t="s">
        <v>1214</v>
      </c>
      <c r="B165" s="2">
        <v>46221</v>
      </c>
      <c r="C165" t="s">
        <v>147</v>
      </c>
      <c r="D165" t="s">
        <v>36</v>
      </c>
      <c r="E165" t="s">
        <v>93</v>
      </c>
      <c r="F165" t="s">
        <v>992</v>
      </c>
      <c r="G165">
        <v>8</v>
      </c>
      <c r="H165" t="s">
        <v>958</v>
      </c>
      <c r="I165">
        <v>74</v>
      </c>
      <c r="J165">
        <v>53</v>
      </c>
      <c r="K165" t="s">
        <v>982</v>
      </c>
      <c r="L165" t="s">
        <v>966</v>
      </c>
      <c r="N165" t="s">
        <v>978</v>
      </c>
    </row>
    <row r="166" spans="1:14" ht="14.5" x14ac:dyDescent="0.35">
      <c r="A166" t="s">
        <v>1215</v>
      </c>
      <c r="B166" s="2">
        <v>46098</v>
      </c>
      <c r="C166" t="s">
        <v>475</v>
      </c>
      <c r="D166" t="s">
        <v>27</v>
      </c>
      <c r="E166" t="s">
        <v>76</v>
      </c>
      <c r="F166" t="s">
        <v>987</v>
      </c>
      <c r="G166">
        <v>7</v>
      </c>
      <c r="H166" t="s">
        <v>958</v>
      </c>
      <c r="I166">
        <v>82</v>
      </c>
      <c r="J166">
        <v>74</v>
      </c>
      <c r="K166" t="s">
        <v>1000</v>
      </c>
      <c r="L166" t="s">
        <v>966</v>
      </c>
      <c r="N166" t="s">
        <v>961</v>
      </c>
    </row>
    <row r="167" spans="1:14" ht="14.5" x14ac:dyDescent="0.35">
      <c r="A167" t="s">
        <v>1216</v>
      </c>
      <c r="B167" s="2">
        <v>46101</v>
      </c>
      <c r="C167" t="s">
        <v>1217</v>
      </c>
      <c r="D167" t="s">
        <v>108</v>
      </c>
      <c r="E167" t="s">
        <v>114</v>
      </c>
      <c r="F167" t="s">
        <v>987</v>
      </c>
      <c r="G167">
        <v>9</v>
      </c>
      <c r="H167" t="s">
        <v>995</v>
      </c>
      <c r="I167">
        <v>48</v>
      </c>
      <c r="J167">
        <v>45</v>
      </c>
      <c r="K167" t="s">
        <v>982</v>
      </c>
      <c r="L167" t="s">
        <v>966</v>
      </c>
      <c r="N167" t="s">
        <v>961</v>
      </c>
    </row>
    <row r="168" spans="1:14" ht="14.5" x14ac:dyDescent="0.35">
      <c r="A168" t="s">
        <v>1218</v>
      </c>
      <c r="B168" s="2">
        <v>45924</v>
      </c>
      <c r="C168" t="s">
        <v>400</v>
      </c>
      <c r="D168" t="s">
        <v>69</v>
      </c>
      <c r="E168" t="s">
        <v>319</v>
      </c>
      <c r="F168" t="s">
        <v>975</v>
      </c>
      <c r="G168">
        <v>12</v>
      </c>
      <c r="H168" t="s">
        <v>958</v>
      </c>
      <c r="I168">
        <v>90</v>
      </c>
      <c r="J168">
        <v>99</v>
      </c>
      <c r="K168" t="s">
        <v>982</v>
      </c>
      <c r="L168" t="s">
        <v>966</v>
      </c>
      <c r="N168" t="s">
        <v>1003</v>
      </c>
    </row>
    <row r="169" spans="1:14" ht="14.5" x14ac:dyDescent="0.35">
      <c r="A169" t="s">
        <v>1219</v>
      </c>
      <c r="B169" s="2">
        <v>45991</v>
      </c>
      <c r="C169" t="s">
        <v>1220</v>
      </c>
      <c r="D169" t="s">
        <v>56</v>
      </c>
      <c r="E169" t="s">
        <v>217</v>
      </c>
      <c r="F169" t="s">
        <v>975</v>
      </c>
      <c r="G169">
        <v>0</v>
      </c>
      <c r="H169" t="s">
        <v>995</v>
      </c>
      <c r="I169">
        <v>86</v>
      </c>
      <c r="J169">
        <v>61</v>
      </c>
      <c r="K169" t="s">
        <v>965</v>
      </c>
      <c r="L169" t="s">
        <v>966</v>
      </c>
      <c r="N169" t="s">
        <v>961</v>
      </c>
    </row>
    <row r="170" spans="1:14" ht="14.5" x14ac:dyDescent="0.35">
      <c r="A170" t="s">
        <v>1221</v>
      </c>
      <c r="B170" s="2">
        <v>45957</v>
      </c>
      <c r="C170" t="s">
        <v>263</v>
      </c>
      <c r="D170" t="s">
        <v>56</v>
      </c>
      <c r="E170" t="s">
        <v>217</v>
      </c>
      <c r="F170" t="s">
        <v>963</v>
      </c>
      <c r="G170">
        <v>4</v>
      </c>
      <c r="H170" t="s">
        <v>964</v>
      </c>
      <c r="I170">
        <v>81</v>
      </c>
      <c r="J170">
        <v>96</v>
      </c>
      <c r="K170" t="s">
        <v>971</v>
      </c>
      <c r="L170" t="s">
        <v>972</v>
      </c>
      <c r="N170" t="s">
        <v>973</v>
      </c>
    </row>
    <row r="171" spans="1:14" ht="14.5" x14ac:dyDescent="0.35">
      <c r="A171" t="s">
        <v>1222</v>
      </c>
      <c r="B171" s="2">
        <v>46247</v>
      </c>
      <c r="C171" t="s">
        <v>909</v>
      </c>
      <c r="D171" t="s">
        <v>40</v>
      </c>
      <c r="E171" t="s">
        <v>65</v>
      </c>
      <c r="F171" t="s">
        <v>963</v>
      </c>
      <c r="G171">
        <v>8</v>
      </c>
      <c r="H171" t="s">
        <v>981</v>
      </c>
      <c r="I171">
        <v>65</v>
      </c>
      <c r="J171">
        <v>41</v>
      </c>
      <c r="K171" t="s">
        <v>982</v>
      </c>
      <c r="L171" t="s">
        <v>966</v>
      </c>
      <c r="N171" t="s">
        <v>961</v>
      </c>
    </row>
    <row r="172" spans="1:14" ht="14.5" x14ac:dyDescent="0.35">
      <c r="A172" t="s">
        <v>1223</v>
      </c>
      <c r="B172" s="2">
        <v>46076</v>
      </c>
      <c r="C172" t="s">
        <v>1224</v>
      </c>
      <c r="D172" t="s">
        <v>40</v>
      </c>
      <c r="E172" t="s">
        <v>65</v>
      </c>
      <c r="F172" t="s">
        <v>963</v>
      </c>
      <c r="G172">
        <v>11</v>
      </c>
      <c r="H172" t="s">
        <v>995</v>
      </c>
      <c r="I172">
        <v>81</v>
      </c>
      <c r="J172">
        <v>90</v>
      </c>
      <c r="K172" t="s">
        <v>982</v>
      </c>
      <c r="L172" t="s">
        <v>966</v>
      </c>
      <c r="N172" t="s">
        <v>973</v>
      </c>
    </row>
    <row r="173" spans="1:14" ht="14.5" x14ac:dyDescent="0.35">
      <c r="A173" t="s">
        <v>1225</v>
      </c>
      <c r="B173" s="2">
        <v>46232</v>
      </c>
      <c r="C173" t="s">
        <v>1226</v>
      </c>
      <c r="D173" t="s">
        <v>36</v>
      </c>
      <c r="E173" t="s">
        <v>93</v>
      </c>
      <c r="F173" t="s">
        <v>957</v>
      </c>
      <c r="G173">
        <v>6</v>
      </c>
      <c r="H173" t="s">
        <v>970</v>
      </c>
      <c r="I173">
        <v>49</v>
      </c>
      <c r="J173">
        <v>70</v>
      </c>
      <c r="K173" t="s">
        <v>982</v>
      </c>
      <c r="L173" t="s">
        <v>966</v>
      </c>
      <c r="N173" t="s">
        <v>978</v>
      </c>
    </row>
    <row r="174" spans="1:14" ht="14.5" x14ac:dyDescent="0.35">
      <c r="A174" t="s">
        <v>1227</v>
      </c>
      <c r="B174" s="2">
        <v>45692</v>
      </c>
      <c r="C174" t="s">
        <v>1008</v>
      </c>
      <c r="D174" t="s">
        <v>21</v>
      </c>
      <c r="E174" t="s">
        <v>163</v>
      </c>
      <c r="F174" t="s">
        <v>1012</v>
      </c>
      <c r="G174">
        <v>2</v>
      </c>
      <c r="H174" t="s">
        <v>970</v>
      </c>
      <c r="I174">
        <v>66</v>
      </c>
      <c r="J174">
        <v>43</v>
      </c>
      <c r="K174" t="s">
        <v>982</v>
      </c>
      <c r="L174" t="s">
        <v>966</v>
      </c>
      <c r="N174" t="s">
        <v>978</v>
      </c>
    </row>
    <row r="175" spans="1:14" ht="14.5" x14ac:dyDescent="0.35">
      <c r="A175" t="s">
        <v>1228</v>
      </c>
      <c r="B175" s="2">
        <v>46043</v>
      </c>
      <c r="C175" t="s">
        <v>1229</v>
      </c>
      <c r="D175" t="s">
        <v>56</v>
      </c>
      <c r="E175" t="s">
        <v>112</v>
      </c>
      <c r="F175" t="s">
        <v>1012</v>
      </c>
      <c r="G175">
        <v>4</v>
      </c>
      <c r="H175" t="s">
        <v>964</v>
      </c>
      <c r="I175">
        <v>77</v>
      </c>
      <c r="J175">
        <v>90</v>
      </c>
      <c r="K175" t="s">
        <v>965</v>
      </c>
      <c r="L175" t="s">
        <v>966</v>
      </c>
      <c r="N175" t="s">
        <v>1003</v>
      </c>
    </row>
    <row r="176" spans="1:14" ht="14.5" x14ac:dyDescent="0.35">
      <c r="A176" t="s">
        <v>1230</v>
      </c>
      <c r="B176" s="2">
        <v>46074</v>
      </c>
      <c r="C176" t="s">
        <v>462</v>
      </c>
      <c r="D176" t="s">
        <v>45</v>
      </c>
      <c r="E176" t="s">
        <v>234</v>
      </c>
      <c r="F176" t="s">
        <v>1012</v>
      </c>
      <c r="G176">
        <v>8</v>
      </c>
      <c r="H176" t="s">
        <v>970</v>
      </c>
      <c r="I176">
        <v>100</v>
      </c>
      <c r="J176">
        <v>43</v>
      </c>
      <c r="K176" t="s">
        <v>971</v>
      </c>
      <c r="L176" t="s">
        <v>972</v>
      </c>
      <c r="N176" t="s">
        <v>973</v>
      </c>
    </row>
    <row r="177" spans="1:14" ht="14.5" x14ac:dyDescent="0.35">
      <c r="A177" t="s">
        <v>1231</v>
      </c>
      <c r="B177" s="2">
        <v>45744</v>
      </c>
      <c r="C177" t="s">
        <v>647</v>
      </c>
      <c r="D177" t="s">
        <v>52</v>
      </c>
      <c r="E177" t="s">
        <v>53</v>
      </c>
      <c r="F177" t="s">
        <v>1012</v>
      </c>
      <c r="G177">
        <v>0</v>
      </c>
      <c r="H177" t="s">
        <v>988</v>
      </c>
      <c r="I177">
        <v>94</v>
      </c>
      <c r="J177">
        <v>45</v>
      </c>
      <c r="K177" t="s">
        <v>982</v>
      </c>
      <c r="L177" t="s">
        <v>966</v>
      </c>
      <c r="N177" t="s">
        <v>978</v>
      </c>
    </row>
    <row r="178" spans="1:14" ht="14.5" x14ac:dyDescent="0.35">
      <c r="A178" t="s">
        <v>1232</v>
      </c>
      <c r="B178" s="2">
        <v>45744</v>
      </c>
      <c r="C178" t="s">
        <v>1233</v>
      </c>
      <c r="D178" t="s">
        <v>45</v>
      </c>
      <c r="E178" t="s">
        <v>46</v>
      </c>
      <c r="F178" t="s">
        <v>992</v>
      </c>
      <c r="G178">
        <v>12</v>
      </c>
      <c r="H178" t="s">
        <v>988</v>
      </c>
      <c r="I178">
        <v>84</v>
      </c>
      <c r="J178">
        <v>81</v>
      </c>
      <c r="K178" t="s">
        <v>965</v>
      </c>
      <c r="L178" t="s">
        <v>966</v>
      </c>
      <c r="N178" t="s">
        <v>1003</v>
      </c>
    </row>
    <row r="179" spans="1:14" ht="14.5" x14ac:dyDescent="0.35">
      <c r="A179" t="s">
        <v>1234</v>
      </c>
      <c r="B179" s="2">
        <v>46128</v>
      </c>
      <c r="C179" t="s">
        <v>1235</v>
      </c>
      <c r="D179" t="s">
        <v>159</v>
      </c>
      <c r="E179" t="s">
        <v>324</v>
      </c>
      <c r="F179" t="s">
        <v>975</v>
      </c>
      <c r="G179">
        <v>5</v>
      </c>
      <c r="H179" t="s">
        <v>970</v>
      </c>
      <c r="I179">
        <v>78</v>
      </c>
      <c r="J179">
        <v>64</v>
      </c>
      <c r="K179" t="s">
        <v>959</v>
      </c>
      <c r="L179" t="s">
        <v>960</v>
      </c>
      <c r="M179">
        <v>13</v>
      </c>
      <c r="N179" t="s">
        <v>978</v>
      </c>
    </row>
    <row r="180" spans="1:14" ht="14.5" x14ac:dyDescent="0.35">
      <c r="A180" t="s">
        <v>1236</v>
      </c>
      <c r="B180" s="2">
        <v>45856</v>
      </c>
      <c r="C180" t="s">
        <v>506</v>
      </c>
      <c r="D180" t="s">
        <v>159</v>
      </c>
      <c r="E180" t="s">
        <v>160</v>
      </c>
      <c r="F180" t="s">
        <v>957</v>
      </c>
      <c r="G180">
        <v>11</v>
      </c>
      <c r="H180" t="s">
        <v>964</v>
      </c>
      <c r="I180">
        <v>72</v>
      </c>
      <c r="J180">
        <v>53</v>
      </c>
      <c r="K180" t="s">
        <v>993</v>
      </c>
      <c r="L180" t="s">
        <v>966</v>
      </c>
      <c r="N180" t="s">
        <v>967</v>
      </c>
    </row>
    <row r="181" spans="1:14" ht="14.5" x14ac:dyDescent="0.35">
      <c r="A181" t="s">
        <v>1237</v>
      </c>
      <c r="B181" s="2">
        <v>46178</v>
      </c>
      <c r="C181" t="s">
        <v>1238</v>
      </c>
      <c r="D181" t="s">
        <v>36</v>
      </c>
      <c r="E181" t="s">
        <v>84</v>
      </c>
      <c r="F181" t="s">
        <v>987</v>
      </c>
      <c r="G181">
        <v>12</v>
      </c>
      <c r="H181" t="s">
        <v>988</v>
      </c>
      <c r="I181">
        <v>83</v>
      </c>
      <c r="J181">
        <v>64</v>
      </c>
      <c r="K181" t="s">
        <v>959</v>
      </c>
      <c r="L181" t="s">
        <v>960</v>
      </c>
      <c r="M181">
        <v>55</v>
      </c>
      <c r="N181" t="s">
        <v>961</v>
      </c>
    </row>
    <row r="182" spans="1:14" ht="14.5" x14ac:dyDescent="0.35">
      <c r="A182" t="s">
        <v>1239</v>
      </c>
      <c r="B182" s="2">
        <v>45885</v>
      </c>
      <c r="C182" t="s">
        <v>1240</v>
      </c>
      <c r="D182" t="s">
        <v>159</v>
      </c>
      <c r="E182" t="s">
        <v>482</v>
      </c>
      <c r="F182" t="s">
        <v>975</v>
      </c>
      <c r="G182">
        <v>5</v>
      </c>
      <c r="H182" t="s">
        <v>1029</v>
      </c>
      <c r="I182">
        <v>73</v>
      </c>
      <c r="J182">
        <v>83</v>
      </c>
      <c r="K182" t="s">
        <v>993</v>
      </c>
      <c r="L182" t="s">
        <v>966</v>
      </c>
      <c r="N182" t="s">
        <v>961</v>
      </c>
    </row>
    <row r="183" spans="1:14" ht="14.5" x14ac:dyDescent="0.35">
      <c r="A183" t="s">
        <v>1241</v>
      </c>
      <c r="B183" s="2">
        <v>45944</v>
      </c>
      <c r="C183" t="s">
        <v>693</v>
      </c>
      <c r="D183" t="s">
        <v>108</v>
      </c>
      <c r="E183" t="s">
        <v>126</v>
      </c>
      <c r="F183" t="s">
        <v>957</v>
      </c>
      <c r="G183">
        <v>5</v>
      </c>
      <c r="H183" t="s">
        <v>958</v>
      </c>
      <c r="I183">
        <v>74</v>
      </c>
      <c r="J183">
        <v>69</v>
      </c>
      <c r="K183" t="s">
        <v>982</v>
      </c>
      <c r="L183" t="s">
        <v>966</v>
      </c>
      <c r="N183" t="s">
        <v>973</v>
      </c>
    </row>
    <row r="184" spans="1:14" ht="14.5" x14ac:dyDescent="0.35">
      <c r="A184" t="s">
        <v>1242</v>
      </c>
      <c r="B184" s="2">
        <v>46209</v>
      </c>
      <c r="C184" t="s">
        <v>847</v>
      </c>
      <c r="D184" t="s">
        <v>56</v>
      </c>
      <c r="E184" t="s">
        <v>217</v>
      </c>
      <c r="F184" t="s">
        <v>1012</v>
      </c>
      <c r="G184">
        <v>5</v>
      </c>
      <c r="H184" t="s">
        <v>958</v>
      </c>
      <c r="I184">
        <v>89</v>
      </c>
      <c r="J184">
        <v>42</v>
      </c>
      <c r="K184" t="s">
        <v>1000</v>
      </c>
      <c r="L184" t="s">
        <v>966</v>
      </c>
      <c r="N184" t="s">
        <v>978</v>
      </c>
    </row>
    <row r="185" spans="1:14" ht="14.5" x14ac:dyDescent="0.35">
      <c r="A185" t="s">
        <v>1243</v>
      </c>
      <c r="B185" s="2">
        <v>46041</v>
      </c>
      <c r="C185" t="s">
        <v>1244</v>
      </c>
      <c r="D185" t="s">
        <v>36</v>
      </c>
      <c r="E185" t="s">
        <v>84</v>
      </c>
      <c r="F185" t="s">
        <v>977</v>
      </c>
      <c r="G185">
        <v>9</v>
      </c>
      <c r="H185" t="s">
        <v>988</v>
      </c>
      <c r="I185">
        <v>62</v>
      </c>
      <c r="J185">
        <v>83</v>
      </c>
      <c r="K185" t="s">
        <v>993</v>
      </c>
      <c r="L185" t="s">
        <v>966</v>
      </c>
      <c r="N185" t="s">
        <v>1003</v>
      </c>
    </row>
    <row r="186" spans="1:14" ht="14.5" x14ac:dyDescent="0.35">
      <c r="A186" t="s">
        <v>1245</v>
      </c>
      <c r="B186" s="2">
        <v>46020</v>
      </c>
      <c r="C186" t="s">
        <v>626</v>
      </c>
      <c r="D186" t="s">
        <v>159</v>
      </c>
      <c r="E186" t="s">
        <v>187</v>
      </c>
      <c r="F186" t="s">
        <v>977</v>
      </c>
      <c r="G186">
        <v>3</v>
      </c>
      <c r="H186" t="s">
        <v>981</v>
      </c>
      <c r="I186">
        <v>73</v>
      </c>
      <c r="J186">
        <v>87</v>
      </c>
      <c r="K186" t="s">
        <v>1000</v>
      </c>
      <c r="L186" t="s">
        <v>966</v>
      </c>
      <c r="N186" t="s">
        <v>973</v>
      </c>
    </row>
    <row r="187" spans="1:14" ht="14.5" x14ac:dyDescent="0.35">
      <c r="A187" t="s">
        <v>1246</v>
      </c>
      <c r="B187" s="2">
        <v>46134</v>
      </c>
      <c r="C187" t="s">
        <v>1247</v>
      </c>
      <c r="D187" t="s">
        <v>108</v>
      </c>
      <c r="E187" t="s">
        <v>206</v>
      </c>
      <c r="F187" t="s">
        <v>987</v>
      </c>
      <c r="G187">
        <v>6</v>
      </c>
      <c r="H187" t="s">
        <v>981</v>
      </c>
      <c r="I187">
        <v>80</v>
      </c>
      <c r="J187">
        <v>70</v>
      </c>
      <c r="K187" t="s">
        <v>993</v>
      </c>
      <c r="L187" t="s">
        <v>966</v>
      </c>
      <c r="N187" t="s">
        <v>978</v>
      </c>
    </row>
    <row r="188" spans="1:14" ht="14.5" x14ac:dyDescent="0.35">
      <c r="A188" t="s">
        <v>1248</v>
      </c>
      <c r="B188" s="2">
        <v>46021</v>
      </c>
      <c r="C188" t="s">
        <v>125</v>
      </c>
      <c r="D188" t="s">
        <v>56</v>
      </c>
      <c r="E188" t="s">
        <v>217</v>
      </c>
      <c r="F188" t="s">
        <v>987</v>
      </c>
      <c r="G188">
        <v>1</v>
      </c>
      <c r="H188" t="s">
        <v>995</v>
      </c>
      <c r="I188">
        <v>64</v>
      </c>
      <c r="J188">
        <v>78</v>
      </c>
      <c r="K188" t="s">
        <v>993</v>
      </c>
      <c r="L188" t="s">
        <v>966</v>
      </c>
      <c r="N188" t="s">
        <v>1003</v>
      </c>
    </row>
    <row r="189" spans="1:14" ht="14.5" x14ac:dyDescent="0.35">
      <c r="A189" t="s">
        <v>1249</v>
      </c>
      <c r="B189" s="2">
        <v>45870</v>
      </c>
      <c r="C189" t="s">
        <v>557</v>
      </c>
      <c r="D189" t="s">
        <v>108</v>
      </c>
      <c r="E189" t="s">
        <v>109</v>
      </c>
      <c r="F189" t="s">
        <v>1012</v>
      </c>
      <c r="G189">
        <v>0</v>
      </c>
      <c r="H189" t="s">
        <v>981</v>
      </c>
      <c r="I189">
        <v>84</v>
      </c>
      <c r="J189">
        <v>77</v>
      </c>
      <c r="K189" t="s">
        <v>965</v>
      </c>
      <c r="L189" t="s">
        <v>966</v>
      </c>
      <c r="N189" t="s">
        <v>1003</v>
      </c>
    </row>
    <row r="190" spans="1:14" ht="14.5" x14ac:dyDescent="0.35">
      <c r="A190" t="s">
        <v>1250</v>
      </c>
      <c r="B190" s="2">
        <v>46039</v>
      </c>
      <c r="C190" t="s">
        <v>1244</v>
      </c>
      <c r="D190" t="s">
        <v>52</v>
      </c>
      <c r="E190" t="s">
        <v>224</v>
      </c>
      <c r="F190" t="s">
        <v>992</v>
      </c>
      <c r="G190">
        <v>6</v>
      </c>
      <c r="H190" t="s">
        <v>970</v>
      </c>
      <c r="I190">
        <v>67</v>
      </c>
      <c r="J190">
        <v>86</v>
      </c>
      <c r="K190" t="s">
        <v>1000</v>
      </c>
      <c r="L190" t="s">
        <v>966</v>
      </c>
      <c r="N190" t="s">
        <v>1003</v>
      </c>
    </row>
    <row r="191" spans="1:14" ht="14.5" x14ac:dyDescent="0.35">
      <c r="A191" t="s">
        <v>1251</v>
      </c>
      <c r="B191" s="2">
        <v>45999</v>
      </c>
      <c r="C191" t="s">
        <v>436</v>
      </c>
      <c r="D191" t="s">
        <v>69</v>
      </c>
      <c r="E191" t="s">
        <v>319</v>
      </c>
      <c r="F191" t="s">
        <v>957</v>
      </c>
      <c r="G191">
        <v>10</v>
      </c>
      <c r="H191" t="s">
        <v>981</v>
      </c>
      <c r="I191">
        <v>87</v>
      </c>
      <c r="J191">
        <v>67</v>
      </c>
      <c r="K191" t="s">
        <v>993</v>
      </c>
      <c r="L191" t="s">
        <v>966</v>
      </c>
      <c r="N191" t="s">
        <v>973</v>
      </c>
    </row>
    <row r="192" spans="1:14" ht="14.5" x14ac:dyDescent="0.35">
      <c r="A192" t="s">
        <v>1252</v>
      </c>
      <c r="B192" s="2">
        <v>45690</v>
      </c>
      <c r="C192" t="s">
        <v>1253</v>
      </c>
      <c r="D192" t="s">
        <v>56</v>
      </c>
      <c r="E192" t="s">
        <v>217</v>
      </c>
      <c r="F192" t="s">
        <v>977</v>
      </c>
      <c r="G192">
        <v>10</v>
      </c>
      <c r="H192" t="s">
        <v>995</v>
      </c>
      <c r="I192">
        <v>88</v>
      </c>
      <c r="J192">
        <v>98</v>
      </c>
      <c r="K192" t="s">
        <v>982</v>
      </c>
      <c r="L192" t="s">
        <v>966</v>
      </c>
      <c r="N192" t="s">
        <v>1003</v>
      </c>
    </row>
    <row r="193" spans="1:14" ht="14.5" x14ac:dyDescent="0.35">
      <c r="A193" t="s">
        <v>1254</v>
      </c>
      <c r="B193" s="2">
        <v>46242</v>
      </c>
      <c r="C193" t="s">
        <v>1244</v>
      </c>
      <c r="D193" t="s">
        <v>108</v>
      </c>
      <c r="E193" t="s">
        <v>114</v>
      </c>
      <c r="F193" t="s">
        <v>1012</v>
      </c>
      <c r="G193">
        <v>11</v>
      </c>
      <c r="H193" t="s">
        <v>981</v>
      </c>
      <c r="I193">
        <v>50</v>
      </c>
      <c r="J193">
        <v>44</v>
      </c>
      <c r="K193" t="s">
        <v>965</v>
      </c>
      <c r="L193" t="s">
        <v>966</v>
      </c>
      <c r="N193" t="s">
        <v>1003</v>
      </c>
    </row>
    <row r="194" spans="1:14" ht="14.5" x14ac:dyDescent="0.35">
      <c r="A194" t="s">
        <v>1255</v>
      </c>
      <c r="B194" s="2">
        <v>45738</v>
      </c>
      <c r="C194" t="s">
        <v>610</v>
      </c>
      <c r="D194" t="s">
        <v>56</v>
      </c>
      <c r="E194" t="s">
        <v>79</v>
      </c>
      <c r="F194" t="s">
        <v>992</v>
      </c>
      <c r="G194">
        <v>9</v>
      </c>
      <c r="H194" t="s">
        <v>958</v>
      </c>
      <c r="I194">
        <v>89</v>
      </c>
      <c r="J194">
        <v>88</v>
      </c>
      <c r="K194" t="s">
        <v>1000</v>
      </c>
      <c r="L194" t="s">
        <v>966</v>
      </c>
      <c r="N194" t="s">
        <v>1003</v>
      </c>
    </row>
    <row r="195" spans="1:14" ht="14.5" x14ac:dyDescent="0.35">
      <c r="A195" t="s">
        <v>1256</v>
      </c>
      <c r="B195" s="2">
        <v>46218</v>
      </c>
      <c r="C195" t="s">
        <v>1257</v>
      </c>
      <c r="D195" t="s">
        <v>21</v>
      </c>
      <c r="E195" t="s">
        <v>22</v>
      </c>
      <c r="F195" t="s">
        <v>977</v>
      </c>
      <c r="G195">
        <v>1</v>
      </c>
      <c r="H195" t="s">
        <v>970</v>
      </c>
      <c r="I195">
        <v>88</v>
      </c>
      <c r="J195">
        <v>96</v>
      </c>
      <c r="K195" t="s">
        <v>993</v>
      </c>
      <c r="L195" t="s">
        <v>966</v>
      </c>
      <c r="N195" t="s">
        <v>978</v>
      </c>
    </row>
    <row r="196" spans="1:14" ht="14.5" x14ac:dyDescent="0.35">
      <c r="A196" t="s">
        <v>1258</v>
      </c>
      <c r="B196" s="2">
        <v>45977</v>
      </c>
      <c r="C196" t="s">
        <v>1259</v>
      </c>
      <c r="D196" t="s">
        <v>56</v>
      </c>
      <c r="E196" t="s">
        <v>79</v>
      </c>
      <c r="F196" t="s">
        <v>1012</v>
      </c>
      <c r="G196">
        <v>11</v>
      </c>
      <c r="H196" t="s">
        <v>964</v>
      </c>
      <c r="I196">
        <v>64</v>
      </c>
      <c r="J196">
        <v>70</v>
      </c>
      <c r="K196" t="s">
        <v>993</v>
      </c>
      <c r="L196" t="s">
        <v>966</v>
      </c>
      <c r="N196" t="s">
        <v>978</v>
      </c>
    </row>
    <row r="197" spans="1:14" ht="14.5" x14ac:dyDescent="0.35">
      <c r="A197" t="s">
        <v>1260</v>
      </c>
      <c r="B197" s="2">
        <v>45658</v>
      </c>
      <c r="C197" t="s">
        <v>1136</v>
      </c>
      <c r="D197" t="s">
        <v>27</v>
      </c>
      <c r="E197" t="s">
        <v>76</v>
      </c>
      <c r="F197" t="s">
        <v>1012</v>
      </c>
      <c r="G197">
        <v>4</v>
      </c>
      <c r="H197" t="s">
        <v>1029</v>
      </c>
      <c r="I197">
        <v>91</v>
      </c>
      <c r="J197">
        <v>69</v>
      </c>
      <c r="K197" t="s">
        <v>959</v>
      </c>
      <c r="L197" t="s">
        <v>960</v>
      </c>
      <c r="M197">
        <v>36</v>
      </c>
      <c r="N197" t="s">
        <v>967</v>
      </c>
    </row>
    <row r="198" spans="1:14" ht="14.5" x14ac:dyDescent="0.35">
      <c r="A198" t="s">
        <v>1261</v>
      </c>
      <c r="B198" s="2">
        <v>46039</v>
      </c>
      <c r="C198" t="s">
        <v>1262</v>
      </c>
      <c r="D198" t="s">
        <v>52</v>
      </c>
      <c r="E198" t="s">
        <v>53</v>
      </c>
      <c r="F198" t="s">
        <v>963</v>
      </c>
      <c r="G198">
        <v>11</v>
      </c>
      <c r="H198" t="s">
        <v>995</v>
      </c>
      <c r="I198">
        <v>53</v>
      </c>
      <c r="J198">
        <v>63</v>
      </c>
      <c r="K198" t="s">
        <v>993</v>
      </c>
      <c r="L198" t="s">
        <v>966</v>
      </c>
      <c r="N198" t="s">
        <v>967</v>
      </c>
    </row>
    <row r="199" spans="1:14" ht="14.5" x14ac:dyDescent="0.35">
      <c r="A199" t="s">
        <v>1263</v>
      </c>
      <c r="B199" s="2">
        <v>45940</v>
      </c>
      <c r="C199" t="s">
        <v>1264</v>
      </c>
      <c r="D199" t="s">
        <v>45</v>
      </c>
      <c r="E199" t="s">
        <v>296</v>
      </c>
      <c r="F199" t="s">
        <v>992</v>
      </c>
      <c r="G199">
        <v>11</v>
      </c>
      <c r="H199" t="s">
        <v>1029</v>
      </c>
      <c r="I199">
        <v>55</v>
      </c>
      <c r="J199">
        <v>84</v>
      </c>
      <c r="K199" t="s">
        <v>965</v>
      </c>
      <c r="L199" t="s">
        <v>966</v>
      </c>
      <c r="N199" t="s">
        <v>967</v>
      </c>
    </row>
    <row r="200" spans="1:14" ht="14.5" x14ac:dyDescent="0.35">
      <c r="A200" t="s">
        <v>1265</v>
      </c>
      <c r="B200" s="2">
        <v>46090</v>
      </c>
      <c r="C200" t="s">
        <v>298</v>
      </c>
      <c r="D200" t="s">
        <v>159</v>
      </c>
      <c r="E200" t="s">
        <v>324</v>
      </c>
      <c r="F200" t="s">
        <v>992</v>
      </c>
      <c r="G200">
        <v>4</v>
      </c>
      <c r="H200" t="s">
        <v>1029</v>
      </c>
      <c r="I200">
        <v>99</v>
      </c>
      <c r="J200">
        <v>41</v>
      </c>
      <c r="K200" t="s">
        <v>993</v>
      </c>
      <c r="L200" t="s">
        <v>966</v>
      </c>
      <c r="N200" t="s">
        <v>967</v>
      </c>
    </row>
    <row r="201" spans="1:14" ht="14.5" x14ac:dyDescent="0.35">
      <c r="A201" t="s">
        <v>1266</v>
      </c>
      <c r="B201" s="2">
        <v>45836</v>
      </c>
      <c r="C201" t="s">
        <v>1267</v>
      </c>
      <c r="D201" t="s">
        <v>27</v>
      </c>
      <c r="E201" t="s">
        <v>76</v>
      </c>
      <c r="F201" t="s">
        <v>987</v>
      </c>
      <c r="G201">
        <v>2</v>
      </c>
      <c r="H201" t="s">
        <v>988</v>
      </c>
      <c r="I201">
        <v>49</v>
      </c>
      <c r="J201">
        <v>56</v>
      </c>
      <c r="K201" t="s">
        <v>965</v>
      </c>
      <c r="L201" t="s">
        <v>966</v>
      </c>
      <c r="N201" t="s">
        <v>978</v>
      </c>
    </row>
    <row r="202" spans="1:14" ht="14.5" x14ac:dyDescent="0.35">
      <c r="A202" t="s">
        <v>1268</v>
      </c>
      <c r="B202" s="2">
        <v>45973</v>
      </c>
      <c r="C202" t="s">
        <v>1138</v>
      </c>
      <c r="D202" t="s">
        <v>56</v>
      </c>
      <c r="E202" t="s">
        <v>79</v>
      </c>
      <c r="F202" t="s">
        <v>1012</v>
      </c>
      <c r="G202">
        <v>7</v>
      </c>
      <c r="H202" t="s">
        <v>981</v>
      </c>
      <c r="I202">
        <v>64</v>
      </c>
      <c r="J202">
        <v>68</v>
      </c>
      <c r="K202" t="s">
        <v>982</v>
      </c>
      <c r="L202" t="s">
        <v>966</v>
      </c>
      <c r="N202" t="s">
        <v>961</v>
      </c>
    </row>
    <row r="203" spans="1:14" ht="14.5" x14ac:dyDescent="0.35">
      <c r="A203" t="s">
        <v>1269</v>
      </c>
      <c r="B203" s="2">
        <v>46170</v>
      </c>
      <c r="C203" t="s">
        <v>816</v>
      </c>
      <c r="D203" t="s">
        <v>36</v>
      </c>
      <c r="E203" t="s">
        <v>84</v>
      </c>
      <c r="F203" t="s">
        <v>977</v>
      </c>
      <c r="G203">
        <v>5</v>
      </c>
      <c r="H203" t="s">
        <v>1029</v>
      </c>
      <c r="I203">
        <v>55</v>
      </c>
      <c r="J203">
        <v>56</v>
      </c>
      <c r="K203" t="s">
        <v>1000</v>
      </c>
      <c r="L203" t="s">
        <v>966</v>
      </c>
      <c r="N203" t="s">
        <v>961</v>
      </c>
    </row>
    <row r="204" spans="1:14" ht="14.5" x14ac:dyDescent="0.35">
      <c r="A204" t="s">
        <v>1270</v>
      </c>
      <c r="B204" s="2">
        <v>46278</v>
      </c>
      <c r="C204" t="s">
        <v>1084</v>
      </c>
      <c r="D204" t="s">
        <v>69</v>
      </c>
      <c r="E204" t="s">
        <v>150</v>
      </c>
      <c r="F204" t="s">
        <v>992</v>
      </c>
      <c r="G204">
        <v>4</v>
      </c>
      <c r="H204" t="s">
        <v>1029</v>
      </c>
      <c r="I204">
        <v>63</v>
      </c>
      <c r="J204">
        <v>46</v>
      </c>
      <c r="K204" t="s">
        <v>965</v>
      </c>
      <c r="L204" t="s">
        <v>966</v>
      </c>
      <c r="N204" t="s">
        <v>967</v>
      </c>
    </row>
    <row r="205" spans="1:14" ht="14.5" x14ac:dyDescent="0.35">
      <c r="A205" t="s">
        <v>1271</v>
      </c>
      <c r="B205" s="2">
        <v>46023</v>
      </c>
      <c r="C205" t="s">
        <v>757</v>
      </c>
      <c r="D205" t="s">
        <v>108</v>
      </c>
      <c r="E205" t="s">
        <v>109</v>
      </c>
      <c r="F205" t="s">
        <v>975</v>
      </c>
      <c r="G205">
        <v>1</v>
      </c>
      <c r="H205" t="s">
        <v>970</v>
      </c>
      <c r="I205">
        <v>79</v>
      </c>
      <c r="J205">
        <v>98</v>
      </c>
      <c r="K205" t="s">
        <v>959</v>
      </c>
      <c r="L205" t="s">
        <v>960</v>
      </c>
      <c r="M205">
        <v>54</v>
      </c>
      <c r="N205" t="s">
        <v>978</v>
      </c>
    </row>
    <row r="206" spans="1:14" ht="14.5" x14ac:dyDescent="0.35">
      <c r="A206" t="s">
        <v>1272</v>
      </c>
      <c r="B206" s="2">
        <v>45755</v>
      </c>
      <c r="C206" t="s">
        <v>623</v>
      </c>
      <c r="D206" t="s">
        <v>108</v>
      </c>
      <c r="E206" t="s">
        <v>126</v>
      </c>
      <c r="F206" t="s">
        <v>992</v>
      </c>
      <c r="G206">
        <v>3</v>
      </c>
      <c r="H206" t="s">
        <v>1029</v>
      </c>
      <c r="I206">
        <v>50</v>
      </c>
      <c r="J206">
        <v>53</v>
      </c>
      <c r="K206" t="s">
        <v>982</v>
      </c>
      <c r="L206" t="s">
        <v>966</v>
      </c>
      <c r="N206" t="s">
        <v>961</v>
      </c>
    </row>
    <row r="207" spans="1:14" ht="14.5" x14ac:dyDescent="0.35">
      <c r="A207" t="s">
        <v>1273</v>
      </c>
      <c r="B207" s="2">
        <v>46184</v>
      </c>
      <c r="C207" t="s">
        <v>454</v>
      </c>
      <c r="D207" t="s">
        <v>159</v>
      </c>
      <c r="E207" t="s">
        <v>269</v>
      </c>
      <c r="F207" t="s">
        <v>1012</v>
      </c>
      <c r="G207">
        <v>5</v>
      </c>
      <c r="H207" t="s">
        <v>981</v>
      </c>
      <c r="I207">
        <v>57</v>
      </c>
      <c r="J207">
        <v>57</v>
      </c>
      <c r="K207" t="s">
        <v>982</v>
      </c>
      <c r="L207" t="s">
        <v>966</v>
      </c>
      <c r="N207" t="s">
        <v>961</v>
      </c>
    </row>
    <row r="208" spans="1:14" ht="14.5" x14ac:dyDescent="0.35">
      <c r="A208" t="s">
        <v>1274</v>
      </c>
      <c r="B208" s="2">
        <v>46197</v>
      </c>
      <c r="C208" t="s">
        <v>1275</v>
      </c>
      <c r="D208" t="s">
        <v>40</v>
      </c>
      <c r="E208" t="s">
        <v>90</v>
      </c>
      <c r="F208" t="s">
        <v>975</v>
      </c>
      <c r="G208">
        <v>12</v>
      </c>
      <c r="H208" t="s">
        <v>988</v>
      </c>
      <c r="I208">
        <v>79</v>
      </c>
      <c r="J208">
        <v>63</v>
      </c>
      <c r="K208" t="s">
        <v>971</v>
      </c>
      <c r="L208" t="s">
        <v>972</v>
      </c>
      <c r="N208" t="s">
        <v>967</v>
      </c>
    </row>
    <row r="209" spans="1:14" ht="14.5" x14ac:dyDescent="0.35">
      <c r="A209" t="s">
        <v>1276</v>
      </c>
      <c r="B209" s="2">
        <v>45717</v>
      </c>
      <c r="C209" t="s">
        <v>1110</v>
      </c>
      <c r="D209" t="s">
        <v>40</v>
      </c>
      <c r="E209" t="s">
        <v>293</v>
      </c>
      <c r="F209" t="s">
        <v>957</v>
      </c>
      <c r="G209">
        <v>12</v>
      </c>
      <c r="H209" t="s">
        <v>988</v>
      </c>
      <c r="I209">
        <v>81</v>
      </c>
      <c r="J209">
        <v>73</v>
      </c>
      <c r="K209" t="s">
        <v>993</v>
      </c>
      <c r="L209" t="s">
        <v>966</v>
      </c>
      <c r="N209" t="s">
        <v>978</v>
      </c>
    </row>
    <row r="210" spans="1:14" ht="14.5" x14ac:dyDescent="0.35">
      <c r="A210" t="s">
        <v>1277</v>
      </c>
      <c r="B210" s="2">
        <v>46189</v>
      </c>
      <c r="C210" t="s">
        <v>504</v>
      </c>
      <c r="D210" t="s">
        <v>40</v>
      </c>
      <c r="E210" t="s">
        <v>293</v>
      </c>
      <c r="F210" t="s">
        <v>957</v>
      </c>
      <c r="G210">
        <v>1</v>
      </c>
      <c r="H210" t="s">
        <v>988</v>
      </c>
      <c r="I210">
        <v>69</v>
      </c>
      <c r="J210">
        <v>69</v>
      </c>
      <c r="K210" t="s">
        <v>993</v>
      </c>
      <c r="L210" t="s">
        <v>966</v>
      </c>
      <c r="N210" t="s">
        <v>973</v>
      </c>
    </row>
    <row r="211" spans="1:14" ht="14.5" x14ac:dyDescent="0.35">
      <c r="A211" t="s">
        <v>1278</v>
      </c>
      <c r="B211" s="2">
        <v>45883</v>
      </c>
      <c r="C211" t="s">
        <v>1279</v>
      </c>
      <c r="D211" t="s">
        <v>21</v>
      </c>
      <c r="E211" t="s">
        <v>49</v>
      </c>
      <c r="F211" t="s">
        <v>992</v>
      </c>
      <c r="G211">
        <v>4</v>
      </c>
      <c r="H211" t="s">
        <v>981</v>
      </c>
      <c r="I211">
        <v>79</v>
      </c>
      <c r="J211">
        <v>88</v>
      </c>
      <c r="K211" t="s">
        <v>982</v>
      </c>
      <c r="L211" t="s">
        <v>966</v>
      </c>
      <c r="N211" t="s">
        <v>961</v>
      </c>
    </row>
    <row r="212" spans="1:14" ht="14.5" x14ac:dyDescent="0.35">
      <c r="A212" t="s">
        <v>1280</v>
      </c>
      <c r="B212" s="2">
        <v>46203</v>
      </c>
      <c r="C212" t="s">
        <v>280</v>
      </c>
      <c r="D212" t="s">
        <v>52</v>
      </c>
      <c r="E212" t="s">
        <v>195</v>
      </c>
      <c r="F212" t="s">
        <v>957</v>
      </c>
      <c r="G212">
        <v>1</v>
      </c>
      <c r="H212" t="s">
        <v>964</v>
      </c>
      <c r="I212">
        <v>97</v>
      </c>
      <c r="J212">
        <v>56</v>
      </c>
      <c r="K212" t="s">
        <v>982</v>
      </c>
      <c r="L212" t="s">
        <v>966</v>
      </c>
      <c r="N212" t="s">
        <v>967</v>
      </c>
    </row>
    <row r="213" spans="1:14" ht="14.5" x14ac:dyDescent="0.35">
      <c r="A213" t="s">
        <v>1281</v>
      </c>
      <c r="B213" s="2">
        <v>45818</v>
      </c>
      <c r="C213" t="s">
        <v>1282</v>
      </c>
      <c r="D213" t="s">
        <v>159</v>
      </c>
      <c r="E213" t="s">
        <v>269</v>
      </c>
      <c r="F213" t="s">
        <v>992</v>
      </c>
      <c r="G213">
        <v>1</v>
      </c>
      <c r="H213" t="s">
        <v>981</v>
      </c>
      <c r="I213">
        <v>89</v>
      </c>
      <c r="J213">
        <v>78</v>
      </c>
      <c r="K213" t="s">
        <v>982</v>
      </c>
      <c r="L213" t="s">
        <v>966</v>
      </c>
      <c r="N213" t="s">
        <v>973</v>
      </c>
    </row>
    <row r="214" spans="1:14" ht="14.5" x14ac:dyDescent="0.35">
      <c r="A214" t="s">
        <v>1283</v>
      </c>
      <c r="B214" s="2">
        <v>45762</v>
      </c>
      <c r="C214" t="s">
        <v>1284</v>
      </c>
      <c r="D214" t="s">
        <v>52</v>
      </c>
      <c r="E214" t="s">
        <v>102</v>
      </c>
      <c r="F214" t="s">
        <v>963</v>
      </c>
      <c r="G214">
        <v>2</v>
      </c>
      <c r="H214" t="s">
        <v>995</v>
      </c>
      <c r="I214">
        <v>49</v>
      </c>
      <c r="J214">
        <v>72</v>
      </c>
      <c r="K214" t="s">
        <v>993</v>
      </c>
      <c r="L214" t="s">
        <v>966</v>
      </c>
      <c r="N214" t="s">
        <v>961</v>
      </c>
    </row>
    <row r="215" spans="1:14" ht="14.5" x14ac:dyDescent="0.35">
      <c r="A215" t="s">
        <v>1285</v>
      </c>
      <c r="B215" s="2">
        <v>45748</v>
      </c>
      <c r="C215" t="s">
        <v>1286</v>
      </c>
      <c r="D215" t="s">
        <v>36</v>
      </c>
      <c r="E215" t="s">
        <v>84</v>
      </c>
      <c r="F215" t="s">
        <v>963</v>
      </c>
      <c r="G215">
        <v>3</v>
      </c>
      <c r="H215" t="s">
        <v>1029</v>
      </c>
      <c r="I215">
        <v>60</v>
      </c>
      <c r="J215">
        <v>45</v>
      </c>
      <c r="K215" t="s">
        <v>993</v>
      </c>
      <c r="L215" t="s">
        <v>966</v>
      </c>
      <c r="N215" t="s">
        <v>961</v>
      </c>
    </row>
    <row r="216" spans="1:14" ht="14.5" x14ac:dyDescent="0.35">
      <c r="A216" t="s">
        <v>1287</v>
      </c>
      <c r="B216" s="2">
        <v>45886</v>
      </c>
      <c r="C216" t="s">
        <v>880</v>
      </c>
      <c r="D216" t="s">
        <v>21</v>
      </c>
      <c r="E216" t="s">
        <v>163</v>
      </c>
      <c r="F216" t="s">
        <v>975</v>
      </c>
      <c r="G216">
        <v>0</v>
      </c>
      <c r="H216" t="s">
        <v>958</v>
      </c>
      <c r="I216">
        <v>57</v>
      </c>
      <c r="J216">
        <v>43</v>
      </c>
      <c r="K216" t="s">
        <v>982</v>
      </c>
      <c r="L216" t="s">
        <v>966</v>
      </c>
      <c r="N216" t="s">
        <v>967</v>
      </c>
    </row>
    <row r="217" spans="1:14" ht="14.5" x14ac:dyDescent="0.35">
      <c r="A217" t="s">
        <v>1288</v>
      </c>
      <c r="B217" s="2">
        <v>45706</v>
      </c>
      <c r="C217" t="s">
        <v>585</v>
      </c>
      <c r="D217" t="s">
        <v>21</v>
      </c>
      <c r="E217" t="s">
        <v>22</v>
      </c>
      <c r="F217" t="s">
        <v>992</v>
      </c>
      <c r="G217">
        <v>9</v>
      </c>
      <c r="H217" t="s">
        <v>981</v>
      </c>
      <c r="I217">
        <v>92</v>
      </c>
      <c r="J217">
        <v>66</v>
      </c>
      <c r="K217" t="s">
        <v>993</v>
      </c>
      <c r="L217" t="s">
        <v>966</v>
      </c>
      <c r="N217" t="s">
        <v>1003</v>
      </c>
    </row>
    <row r="218" spans="1:14" ht="14.5" x14ac:dyDescent="0.35">
      <c r="A218" t="s">
        <v>1289</v>
      </c>
      <c r="B218" s="2">
        <v>46074</v>
      </c>
      <c r="C218" t="s">
        <v>1290</v>
      </c>
      <c r="D218" t="s">
        <v>40</v>
      </c>
      <c r="E218" t="s">
        <v>65</v>
      </c>
      <c r="F218" t="s">
        <v>963</v>
      </c>
      <c r="G218">
        <v>11</v>
      </c>
      <c r="H218" t="s">
        <v>970</v>
      </c>
      <c r="I218">
        <v>98</v>
      </c>
      <c r="J218">
        <v>85</v>
      </c>
      <c r="K218" t="s">
        <v>993</v>
      </c>
      <c r="L218" t="s">
        <v>966</v>
      </c>
      <c r="N218" t="s">
        <v>961</v>
      </c>
    </row>
    <row r="219" spans="1:14" ht="14.5" x14ac:dyDescent="0.35">
      <c r="A219" t="s">
        <v>1291</v>
      </c>
      <c r="B219" s="2">
        <v>46269</v>
      </c>
      <c r="C219" t="s">
        <v>233</v>
      </c>
      <c r="D219" t="s">
        <v>27</v>
      </c>
      <c r="E219" t="s">
        <v>87</v>
      </c>
      <c r="F219" t="s">
        <v>963</v>
      </c>
      <c r="G219">
        <v>9</v>
      </c>
      <c r="H219" t="s">
        <v>970</v>
      </c>
      <c r="I219">
        <v>51</v>
      </c>
      <c r="J219">
        <v>49</v>
      </c>
      <c r="K219" t="s">
        <v>993</v>
      </c>
      <c r="L219" t="s">
        <v>966</v>
      </c>
      <c r="N219" t="s">
        <v>973</v>
      </c>
    </row>
    <row r="220" spans="1:14" ht="14.5" x14ac:dyDescent="0.35">
      <c r="A220" t="s">
        <v>1292</v>
      </c>
      <c r="B220" s="2">
        <v>45972</v>
      </c>
      <c r="C220" t="s">
        <v>20</v>
      </c>
      <c r="D220" t="s">
        <v>52</v>
      </c>
      <c r="E220" t="s">
        <v>224</v>
      </c>
      <c r="F220" t="s">
        <v>987</v>
      </c>
      <c r="G220">
        <v>10</v>
      </c>
      <c r="H220" t="s">
        <v>958</v>
      </c>
      <c r="I220">
        <v>50</v>
      </c>
      <c r="J220">
        <v>99</v>
      </c>
      <c r="K220" t="s">
        <v>1000</v>
      </c>
      <c r="L220" t="s">
        <v>966</v>
      </c>
      <c r="N220" t="s">
        <v>961</v>
      </c>
    </row>
    <row r="221" spans="1:14" ht="14.5" x14ac:dyDescent="0.35">
      <c r="A221" t="s">
        <v>1293</v>
      </c>
      <c r="B221" s="2">
        <v>45753</v>
      </c>
      <c r="C221" t="s">
        <v>1220</v>
      </c>
      <c r="D221" t="s">
        <v>56</v>
      </c>
      <c r="E221" t="s">
        <v>217</v>
      </c>
      <c r="F221" t="s">
        <v>992</v>
      </c>
      <c r="G221">
        <v>0</v>
      </c>
      <c r="H221" t="s">
        <v>1029</v>
      </c>
      <c r="I221">
        <v>48</v>
      </c>
      <c r="J221">
        <v>97</v>
      </c>
      <c r="K221" t="s">
        <v>959</v>
      </c>
      <c r="L221" t="s">
        <v>960</v>
      </c>
      <c r="M221">
        <v>54</v>
      </c>
      <c r="N221" t="s">
        <v>973</v>
      </c>
    </row>
    <row r="222" spans="1:14" ht="14.5" x14ac:dyDescent="0.35">
      <c r="A222" t="s">
        <v>1294</v>
      </c>
      <c r="B222" s="2">
        <v>45784</v>
      </c>
      <c r="C222" t="s">
        <v>1295</v>
      </c>
      <c r="D222" t="s">
        <v>36</v>
      </c>
      <c r="E222" t="s">
        <v>93</v>
      </c>
      <c r="F222" t="s">
        <v>957</v>
      </c>
      <c r="G222">
        <v>6</v>
      </c>
      <c r="H222" t="s">
        <v>964</v>
      </c>
      <c r="I222">
        <v>79</v>
      </c>
      <c r="J222">
        <v>49</v>
      </c>
      <c r="K222" t="s">
        <v>993</v>
      </c>
      <c r="L222" t="s">
        <v>966</v>
      </c>
      <c r="N222" t="s">
        <v>961</v>
      </c>
    </row>
    <row r="223" spans="1:14" ht="14.5" x14ac:dyDescent="0.35">
      <c r="A223" t="s">
        <v>1296</v>
      </c>
      <c r="B223" s="2">
        <v>46069</v>
      </c>
      <c r="C223" t="s">
        <v>1262</v>
      </c>
      <c r="D223" t="s">
        <v>108</v>
      </c>
      <c r="E223" t="s">
        <v>126</v>
      </c>
      <c r="F223" t="s">
        <v>977</v>
      </c>
      <c r="G223">
        <v>2</v>
      </c>
      <c r="H223" t="s">
        <v>958</v>
      </c>
      <c r="I223">
        <v>86</v>
      </c>
      <c r="J223">
        <v>90</v>
      </c>
      <c r="K223" t="s">
        <v>993</v>
      </c>
      <c r="L223" t="s">
        <v>966</v>
      </c>
      <c r="N223" t="s">
        <v>973</v>
      </c>
    </row>
    <row r="224" spans="1:14" ht="14.5" x14ac:dyDescent="0.35">
      <c r="A224" t="s">
        <v>1297</v>
      </c>
      <c r="B224" s="2">
        <v>45856</v>
      </c>
      <c r="C224" t="s">
        <v>1259</v>
      </c>
      <c r="D224" t="s">
        <v>52</v>
      </c>
      <c r="E224" t="s">
        <v>102</v>
      </c>
      <c r="F224" t="s">
        <v>992</v>
      </c>
      <c r="G224">
        <v>10</v>
      </c>
      <c r="H224" t="s">
        <v>995</v>
      </c>
      <c r="I224">
        <v>62</v>
      </c>
      <c r="J224">
        <v>71</v>
      </c>
      <c r="K224" t="s">
        <v>1000</v>
      </c>
      <c r="L224" t="s">
        <v>966</v>
      </c>
      <c r="N224" t="s">
        <v>961</v>
      </c>
    </row>
    <row r="225" spans="1:14" ht="14.5" x14ac:dyDescent="0.35">
      <c r="A225" t="s">
        <v>1298</v>
      </c>
      <c r="B225" s="2">
        <v>45800</v>
      </c>
      <c r="C225" t="s">
        <v>141</v>
      </c>
      <c r="D225" t="s">
        <v>40</v>
      </c>
      <c r="E225" t="s">
        <v>90</v>
      </c>
      <c r="F225" t="s">
        <v>975</v>
      </c>
      <c r="G225">
        <v>10</v>
      </c>
      <c r="H225" t="s">
        <v>1029</v>
      </c>
      <c r="I225">
        <v>96</v>
      </c>
      <c r="J225">
        <v>80</v>
      </c>
      <c r="K225" t="s">
        <v>971</v>
      </c>
      <c r="L225" t="s">
        <v>972</v>
      </c>
      <c r="N225" t="s">
        <v>973</v>
      </c>
    </row>
    <row r="226" spans="1:14" ht="14.5" x14ac:dyDescent="0.35">
      <c r="A226" t="s">
        <v>1299</v>
      </c>
      <c r="B226" s="2">
        <v>45708</v>
      </c>
      <c r="C226" t="s">
        <v>450</v>
      </c>
      <c r="D226" t="s">
        <v>27</v>
      </c>
      <c r="E226" t="s">
        <v>76</v>
      </c>
      <c r="F226" t="s">
        <v>977</v>
      </c>
      <c r="G226">
        <v>11</v>
      </c>
      <c r="H226" t="s">
        <v>970</v>
      </c>
      <c r="I226">
        <v>57</v>
      </c>
      <c r="J226">
        <v>50</v>
      </c>
      <c r="K226" t="s">
        <v>965</v>
      </c>
      <c r="L226" t="s">
        <v>966</v>
      </c>
      <c r="N226" t="s">
        <v>967</v>
      </c>
    </row>
    <row r="227" spans="1:14" ht="14.5" x14ac:dyDescent="0.35">
      <c r="A227" t="s">
        <v>1300</v>
      </c>
      <c r="B227" s="2">
        <v>45789</v>
      </c>
      <c r="C227" t="s">
        <v>145</v>
      </c>
      <c r="D227" t="s">
        <v>40</v>
      </c>
      <c r="E227" t="s">
        <v>65</v>
      </c>
      <c r="F227" t="s">
        <v>1012</v>
      </c>
      <c r="G227">
        <v>4</v>
      </c>
      <c r="H227" t="s">
        <v>970</v>
      </c>
      <c r="I227">
        <v>96</v>
      </c>
      <c r="J227">
        <v>52</v>
      </c>
      <c r="K227" t="s">
        <v>1000</v>
      </c>
      <c r="L227" t="s">
        <v>966</v>
      </c>
      <c r="N227" t="s">
        <v>961</v>
      </c>
    </row>
    <row r="228" spans="1:14" ht="14.5" x14ac:dyDescent="0.35">
      <c r="A228" t="s">
        <v>1301</v>
      </c>
      <c r="B228" s="2">
        <v>45848</v>
      </c>
      <c r="C228" t="s">
        <v>1302</v>
      </c>
      <c r="D228" t="s">
        <v>36</v>
      </c>
      <c r="E228" t="s">
        <v>253</v>
      </c>
      <c r="F228" t="s">
        <v>992</v>
      </c>
      <c r="G228">
        <v>11</v>
      </c>
      <c r="H228" t="s">
        <v>1029</v>
      </c>
      <c r="I228">
        <v>96</v>
      </c>
      <c r="J228">
        <v>42</v>
      </c>
      <c r="K228" t="s">
        <v>993</v>
      </c>
      <c r="L228" t="s">
        <v>966</v>
      </c>
      <c r="N228" t="s">
        <v>967</v>
      </c>
    </row>
    <row r="229" spans="1:14" ht="14.5" x14ac:dyDescent="0.35">
      <c r="A229" t="s">
        <v>1303</v>
      </c>
      <c r="B229" s="2">
        <v>46047</v>
      </c>
      <c r="C229" t="s">
        <v>162</v>
      </c>
      <c r="D229" t="s">
        <v>56</v>
      </c>
      <c r="E229" t="s">
        <v>79</v>
      </c>
      <c r="F229" t="s">
        <v>963</v>
      </c>
      <c r="G229">
        <v>0</v>
      </c>
      <c r="H229" t="s">
        <v>995</v>
      </c>
      <c r="I229">
        <v>63</v>
      </c>
      <c r="J229">
        <v>75</v>
      </c>
      <c r="K229" t="s">
        <v>965</v>
      </c>
      <c r="L229" t="s">
        <v>966</v>
      </c>
      <c r="N229" t="s">
        <v>978</v>
      </c>
    </row>
    <row r="230" spans="1:14" ht="14.5" x14ac:dyDescent="0.35">
      <c r="A230" t="s">
        <v>1304</v>
      </c>
      <c r="B230" s="2">
        <v>46146</v>
      </c>
      <c r="C230" t="s">
        <v>1305</v>
      </c>
      <c r="D230" t="s">
        <v>40</v>
      </c>
      <c r="E230" t="s">
        <v>293</v>
      </c>
      <c r="F230" t="s">
        <v>987</v>
      </c>
      <c r="G230">
        <v>4</v>
      </c>
      <c r="H230" t="s">
        <v>964</v>
      </c>
      <c r="I230">
        <v>73</v>
      </c>
      <c r="J230">
        <v>91</v>
      </c>
      <c r="K230" t="s">
        <v>993</v>
      </c>
      <c r="L230" t="s">
        <v>966</v>
      </c>
      <c r="N230" t="s">
        <v>967</v>
      </c>
    </row>
    <row r="231" spans="1:14" ht="14.5" x14ac:dyDescent="0.35">
      <c r="A231" t="s">
        <v>1306</v>
      </c>
      <c r="B231" s="2">
        <v>45743</v>
      </c>
      <c r="C231" t="s">
        <v>805</v>
      </c>
      <c r="D231" t="s">
        <v>52</v>
      </c>
      <c r="E231" t="s">
        <v>498</v>
      </c>
      <c r="F231" t="s">
        <v>975</v>
      </c>
      <c r="G231">
        <v>10</v>
      </c>
      <c r="H231" t="s">
        <v>964</v>
      </c>
      <c r="I231">
        <v>77</v>
      </c>
      <c r="J231">
        <v>86</v>
      </c>
      <c r="K231" t="s">
        <v>1000</v>
      </c>
      <c r="L231" t="s">
        <v>966</v>
      </c>
      <c r="N231" t="s">
        <v>1003</v>
      </c>
    </row>
    <row r="232" spans="1:14" ht="14.5" x14ac:dyDescent="0.35">
      <c r="A232" t="s">
        <v>1307</v>
      </c>
      <c r="B232" s="2">
        <v>45754</v>
      </c>
      <c r="C232" t="s">
        <v>1308</v>
      </c>
      <c r="D232" t="s">
        <v>69</v>
      </c>
      <c r="E232" t="s">
        <v>105</v>
      </c>
      <c r="F232" t="s">
        <v>957</v>
      </c>
      <c r="G232">
        <v>6</v>
      </c>
      <c r="H232" t="s">
        <v>988</v>
      </c>
      <c r="I232">
        <v>66</v>
      </c>
      <c r="J232">
        <v>80</v>
      </c>
      <c r="K232" t="s">
        <v>982</v>
      </c>
      <c r="L232" t="s">
        <v>966</v>
      </c>
      <c r="N232" t="s">
        <v>967</v>
      </c>
    </row>
    <row r="233" spans="1:14" ht="14.5" x14ac:dyDescent="0.35">
      <c r="A233" t="s">
        <v>1309</v>
      </c>
      <c r="B233" s="2">
        <v>46048</v>
      </c>
      <c r="C233" t="s">
        <v>233</v>
      </c>
      <c r="D233" t="s">
        <v>108</v>
      </c>
      <c r="E233" t="s">
        <v>206</v>
      </c>
      <c r="F233" t="s">
        <v>977</v>
      </c>
      <c r="G233">
        <v>5</v>
      </c>
      <c r="H233" t="s">
        <v>1029</v>
      </c>
      <c r="I233">
        <v>72</v>
      </c>
      <c r="J233">
        <v>84</v>
      </c>
      <c r="K233" t="s">
        <v>982</v>
      </c>
      <c r="L233" t="s">
        <v>966</v>
      </c>
      <c r="N233" t="s">
        <v>961</v>
      </c>
    </row>
    <row r="234" spans="1:14" ht="14.5" x14ac:dyDescent="0.35">
      <c r="A234" t="s">
        <v>1310</v>
      </c>
      <c r="B234" s="2">
        <v>45711</v>
      </c>
      <c r="C234" t="s">
        <v>275</v>
      </c>
      <c r="D234" t="s">
        <v>69</v>
      </c>
      <c r="E234" t="s">
        <v>70</v>
      </c>
      <c r="F234" t="s">
        <v>987</v>
      </c>
      <c r="G234">
        <v>6</v>
      </c>
      <c r="H234" t="s">
        <v>995</v>
      </c>
      <c r="I234">
        <v>86</v>
      </c>
      <c r="J234">
        <v>48</v>
      </c>
      <c r="K234" t="s">
        <v>982</v>
      </c>
      <c r="L234" t="s">
        <v>966</v>
      </c>
      <c r="N234" t="s">
        <v>961</v>
      </c>
    </row>
    <row r="235" spans="1:14" ht="14.5" x14ac:dyDescent="0.35">
      <c r="A235" t="s">
        <v>1311</v>
      </c>
      <c r="B235" s="2">
        <v>46049</v>
      </c>
      <c r="C235" t="s">
        <v>475</v>
      </c>
      <c r="D235" t="s">
        <v>69</v>
      </c>
      <c r="E235" t="s">
        <v>319</v>
      </c>
      <c r="F235" t="s">
        <v>987</v>
      </c>
      <c r="G235">
        <v>0</v>
      </c>
      <c r="H235" t="s">
        <v>981</v>
      </c>
      <c r="I235">
        <v>62</v>
      </c>
      <c r="J235">
        <v>70</v>
      </c>
      <c r="K235" t="s">
        <v>982</v>
      </c>
      <c r="L235" t="s">
        <v>966</v>
      </c>
      <c r="N235" t="s">
        <v>967</v>
      </c>
    </row>
    <row r="236" spans="1:14" ht="14.5" x14ac:dyDescent="0.35">
      <c r="A236" t="s">
        <v>1312</v>
      </c>
      <c r="B236" s="2">
        <v>45877</v>
      </c>
      <c r="C236" t="s">
        <v>1313</v>
      </c>
      <c r="D236" t="s">
        <v>45</v>
      </c>
      <c r="E236" t="s">
        <v>296</v>
      </c>
      <c r="F236" t="s">
        <v>977</v>
      </c>
      <c r="G236">
        <v>8</v>
      </c>
      <c r="H236" t="s">
        <v>988</v>
      </c>
      <c r="I236">
        <v>46</v>
      </c>
      <c r="J236">
        <v>53</v>
      </c>
      <c r="K236" t="s">
        <v>993</v>
      </c>
      <c r="L236" t="s">
        <v>966</v>
      </c>
      <c r="N236" t="s">
        <v>967</v>
      </c>
    </row>
    <row r="237" spans="1:14" ht="14.5" x14ac:dyDescent="0.35">
      <c r="A237" t="s">
        <v>1314</v>
      </c>
      <c r="B237" s="2">
        <v>46231</v>
      </c>
      <c r="C237" t="s">
        <v>747</v>
      </c>
      <c r="D237" t="s">
        <v>40</v>
      </c>
      <c r="E237" t="s">
        <v>90</v>
      </c>
      <c r="F237" t="s">
        <v>992</v>
      </c>
      <c r="G237">
        <v>2</v>
      </c>
      <c r="H237" t="s">
        <v>981</v>
      </c>
      <c r="I237">
        <v>90</v>
      </c>
      <c r="J237">
        <v>76</v>
      </c>
      <c r="K237" t="s">
        <v>993</v>
      </c>
      <c r="L237" t="s">
        <v>966</v>
      </c>
      <c r="N237" t="s">
        <v>961</v>
      </c>
    </row>
    <row r="238" spans="1:14" ht="14.5" x14ac:dyDescent="0.35">
      <c r="A238" t="s">
        <v>1315</v>
      </c>
      <c r="B238" s="2">
        <v>46234</v>
      </c>
      <c r="C238" t="s">
        <v>845</v>
      </c>
      <c r="D238" t="s">
        <v>36</v>
      </c>
      <c r="E238" t="s">
        <v>84</v>
      </c>
      <c r="F238" t="s">
        <v>1012</v>
      </c>
      <c r="G238">
        <v>11</v>
      </c>
      <c r="H238" t="s">
        <v>1029</v>
      </c>
      <c r="I238">
        <v>48</v>
      </c>
      <c r="J238">
        <v>63</v>
      </c>
      <c r="K238" t="s">
        <v>965</v>
      </c>
      <c r="L238" t="s">
        <v>966</v>
      </c>
      <c r="N238" t="s">
        <v>967</v>
      </c>
    </row>
    <row r="239" spans="1:14" ht="14.5" x14ac:dyDescent="0.35">
      <c r="A239" t="s">
        <v>1316</v>
      </c>
      <c r="B239" s="2">
        <v>46076</v>
      </c>
      <c r="C239" t="s">
        <v>1317</v>
      </c>
      <c r="D239" t="s">
        <v>40</v>
      </c>
      <c r="E239" t="s">
        <v>41</v>
      </c>
      <c r="F239" t="s">
        <v>992</v>
      </c>
      <c r="G239">
        <v>7</v>
      </c>
      <c r="H239" t="s">
        <v>1029</v>
      </c>
      <c r="I239">
        <v>58</v>
      </c>
      <c r="J239">
        <v>80</v>
      </c>
      <c r="K239" t="s">
        <v>965</v>
      </c>
      <c r="L239" t="s">
        <v>966</v>
      </c>
      <c r="N239" t="s">
        <v>973</v>
      </c>
    </row>
    <row r="240" spans="1:14" ht="14.5" x14ac:dyDescent="0.35">
      <c r="A240" t="s">
        <v>1318</v>
      </c>
      <c r="B240" s="2">
        <v>45666</v>
      </c>
      <c r="C240" t="s">
        <v>1319</v>
      </c>
      <c r="D240" t="s">
        <v>56</v>
      </c>
      <c r="E240" t="s">
        <v>217</v>
      </c>
      <c r="F240" t="s">
        <v>975</v>
      </c>
      <c r="G240">
        <v>12</v>
      </c>
      <c r="H240" t="s">
        <v>981</v>
      </c>
      <c r="I240">
        <v>80</v>
      </c>
      <c r="J240">
        <v>56</v>
      </c>
      <c r="K240" t="s">
        <v>982</v>
      </c>
      <c r="L240" t="s">
        <v>966</v>
      </c>
      <c r="N240" t="s">
        <v>967</v>
      </c>
    </row>
    <row r="241" spans="1:14" ht="14.5" x14ac:dyDescent="0.35">
      <c r="A241" t="s">
        <v>1320</v>
      </c>
      <c r="B241" s="2">
        <v>46047</v>
      </c>
      <c r="C241" t="s">
        <v>739</v>
      </c>
      <c r="D241" t="s">
        <v>56</v>
      </c>
      <c r="E241" t="s">
        <v>57</v>
      </c>
      <c r="F241" t="s">
        <v>977</v>
      </c>
      <c r="G241">
        <v>11</v>
      </c>
      <c r="H241" t="s">
        <v>964</v>
      </c>
      <c r="I241">
        <v>87</v>
      </c>
      <c r="J241">
        <v>49</v>
      </c>
      <c r="K241" t="s">
        <v>1000</v>
      </c>
      <c r="L241" t="s">
        <v>966</v>
      </c>
      <c r="N241" t="s">
        <v>967</v>
      </c>
    </row>
    <row r="242" spans="1:14" ht="14.5" x14ac:dyDescent="0.35">
      <c r="A242" t="s">
        <v>1321</v>
      </c>
      <c r="B242" s="2">
        <v>46196</v>
      </c>
      <c r="C242" t="s">
        <v>336</v>
      </c>
      <c r="D242" t="s">
        <v>159</v>
      </c>
      <c r="E242" t="s">
        <v>482</v>
      </c>
      <c r="F242" t="s">
        <v>1012</v>
      </c>
      <c r="G242">
        <v>2</v>
      </c>
      <c r="H242" t="s">
        <v>1029</v>
      </c>
      <c r="I242">
        <v>90</v>
      </c>
      <c r="J242">
        <v>74</v>
      </c>
      <c r="K242" t="s">
        <v>982</v>
      </c>
      <c r="L242" t="s">
        <v>966</v>
      </c>
      <c r="N242" t="s">
        <v>973</v>
      </c>
    </row>
    <row r="243" spans="1:14" ht="14.5" x14ac:dyDescent="0.35">
      <c r="A243" t="s">
        <v>1322</v>
      </c>
      <c r="B243" s="2">
        <v>45872</v>
      </c>
      <c r="C243" t="s">
        <v>805</v>
      </c>
      <c r="D243" t="s">
        <v>69</v>
      </c>
      <c r="E243" t="s">
        <v>150</v>
      </c>
      <c r="F243" t="s">
        <v>1012</v>
      </c>
      <c r="G243">
        <v>0</v>
      </c>
      <c r="H243" t="s">
        <v>964</v>
      </c>
      <c r="I243">
        <v>72</v>
      </c>
      <c r="J243">
        <v>97</v>
      </c>
      <c r="K243" t="s">
        <v>1000</v>
      </c>
      <c r="L243" t="s">
        <v>966</v>
      </c>
      <c r="N243" t="s">
        <v>1003</v>
      </c>
    </row>
    <row r="244" spans="1:14" ht="14.5" x14ac:dyDescent="0.35">
      <c r="A244" t="s">
        <v>1323</v>
      </c>
      <c r="B244" s="2">
        <v>46077</v>
      </c>
      <c r="C244" t="s">
        <v>123</v>
      </c>
      <c r="D244" t="s">
        <v>56</v>
      </c>
      <c r="E244" t="s">
        <v>217</v>
      </c>
      <c r="F244" t="s">
        <v>963</v>
      </c>
      <c r="G244">
        <v>10</v>
      </c>
      <c r="H244" t="s">
        <v>981</v>
      </c>
      <c r="I244">
        <v>76</v>
      </c>
      <c r="J244">
        <v>72</v>
      </c>
      <c r="K244" t="s">
        <v>965</v>
      </c>
      <c r="L244" t="s">
        <v>966</v>
      </c>
      <c r="N244" t="s">
        <v>967</v>
      </c>
    </row>
    <row r="245" spans="1:14" ht="14.5" x14ac:dyDescent="0.35">
      <c r="A245" t="s">
        <v>1324</v>
      </c>
      <c r="B245" s="2">
        <v>45933</v>
      </c>
      <c r="C245" t="s">
        <v>128</v>
      </c>
      <c r="D245" t="s">
        <v>69</v>
      </c>
      <c r="E245" t="s">
        <v>70</v>
      </c>
      <c r="F245" t="s">
        <v>963</v>
      </c>
      <c r="G245">
        <v>11</v>
      </c>
      <c r="H245" t="s">
        <v>1029</v>
      </c>
      <c r="I245">
        <v>62</v>
      </c>
      <c r="J245">
        <v>76</v>
      </c>
      <c r="K245" t="s">
        <v>993</v>
      </c>
      <c r="L245" t="s">
        <v>966</v>
      </c>
      <c r="N245" t="s">
        <v>961</v>
      </c>
    </row>
    <row r="246" spans="1:14" ht="14.5" x14ac:dyDescent="0.35">
      <c r="A246" t="s">
        <v>1325</v>
      </c>
      <c r="B246" s="2">
        <v>45863</v>
      </c>
      <c r="C246" t="s">
        <v>873</v>
      </c>
      <c r="D246" t="s">
        <v>69</v>
      </c>
      <c r="E246" t="s">
        <v>150</v>
      </c>
      <c r="F246" t="s">
        <v>1012</v>
      </c>
      <c r="G246">
        <v>1</v>
      </c>
      <c r="H246" t="s">
        <v>964</v>
      </c>
      <c r="I246">
        <v>75</v>
      </c>
      <c r="J246">
        <v>60</v>
      </c>
      <c r="K246" t="s">
        <v>982</v>
      </c>
      <c r="L246" t="s">
        <v>966</v>
      </c>
      <c r="N246" t="s">
        <v>973</v>
      </c>
    </row>
    <row r="247" spans="1:14" ht="14.5" x14ac:dyDescent="0.35">
      <c r="A247" t="s">
        <v>1326</v>
      </c>
      <c r="B247" s="2">
        <v>45939</v>
      </c>
      <c r="C247" t="s">
        <v>1327</v>
      </c>
      <c r="D247" t="s">
        <v>27</v>
      </c>
      <c r="E247" t="s">
        <v>76</v>
      </c>
      <c r="F247" t="s">
        <v>992</v>
      </c>
      <c r="G247">
        <v>8</v>
      </c>
      <c r="H247" t="s">
        <v>964</v>
      </c>
      <c r="I247">
        <v>90</v>
      </c>
      <c r="J247">
        <v>69</v>
      </c>
      <c r="K247" t="s">
        <v>982</v>
      </c>
      <c r="L247" t="s">
        <v>966</v>
      </c>
      <c r="N247" t="s">
        <v>1003</v>
      </c>
    </row>
    <row r="248" spans="1:14" ht="14.5" x14ac:dyDescent="0.35">
      <c r="A248" t="s">
        <v>1328</v>
      </c>
      <c r="B248" s="2">
        <v>45818</v>
      </c>
      <c r="C248" t="s">
        <v>1329</v>
      </c>
      <c r="D248" t="s">
        <v>27</v>
      </c>
      <c r="E248" t="s">
        <v>76</v>
      </c>
      <c r="F248" t="s">
        <v>1012</v>
      </c>
      <c r="G248">
        <v>6</v>
      </c>
      <c r="H248" t="s">
        <v>958</v>
      </c>
      <c r="I248">
        <v>73</v>
      </c>
      <c r="J248">
        <v>60</v>
      </c>
      <c r="K248" t="s">
        <v>959</v>
      </c>
      <c r="L248" t="s">
        <v>960</v>
      </c>
      <c r="M248">
        <v>51</v>
      </c>
      <c r="N248" t="s">
        <v>978</v>
      </c>
    </row>
    <row r="249" spans="1:14" ht="14.5" x14ac:dyDescent="0.35">
      <c r="A249" t="s">
        <v>1330</v>
      </c>
      <c r="B249" s="2">
        <v>45887</v>
      </c>
      <c r="C249" t="s">
        <v>529</v>
      </c>
      <c r="D249" t="s">
        <v>36</v>
      </c>
      <c r="E249" t="s">
        <v>253</v>
      </c>
      <c r="F249" t="s">
        <v>977</v>
      </c>
      <c r="G249">
        <v>4</v>
      </c>
      <c r="H249" t="s">
        <v>970</v>
      </c>
      <c r="I249">
        <v>84</v>
      </c>
      <c r="J249">
        <v>66</v>
      </c>
      <c r="K249" t="s">
        <v>993</v>
      </c>
      <c r="L249" t="s">
        <v>966</v>
      </c>
      <c r="N249" t="s">
        <v>978</v>
      </c>
    </row>
    <row r="250" spans="1:14" ht="14.5" x14ac:dyDescent="0.35">
      <c r="A250" t="s">
        <v>1331</v>
      </c>
      <c r="B250" s="2">
        <v>46070</v>
      </c>
      <c r="C250" t="s">
        <v>1332</v>
      </c>
      <c r="D250" t="s">
        <v>36</v>
      </c>
      <c r="E250" t="s">
        <v>37</v>
      </c>
      <c r="F250" t="s">
        <v>977</v>
      </c>
      <c r="G250">
        <v>7</v>
      </c>
      <c r="H250" t="s">
        <v>995</v>
      </c>
      <c r="I250">
        <v>78</v>
      </c>
      <c r="J250">
        <v>78</v>
      </c>
      <c r="K250" t="s">
        <v>993</v>
      </c>
      <c r="L250" t="s">
        <v>966</v>
      </c>
      <c r="N250" t="s">
        <v>967</v>
      </c>
    </row>
    <row r="251" spans="1:14" ht="14.5" x14ac:dyDescent="0.35">
      <c r="A251" t="s">
        <v>1333</v>
      </c>
      <c r="B251" s="2">
        <v>46174</v>
      </c>
      <c r="C251" t="s">
        <v>285</v>
      </c>
      <c r="D251" t="s">
        <v>69</v>
      </c>
      <c r="E251" t="s">
        <v>150</v>
      </c>
      <c r="F251" t="s">
        <v>977</v>
      </c>
      <c r="G251">
        <v>2</v>
      </c>
      <c r="H251" t="s">
        <v>995</v>
      </c>
      <c r="I251">
        <v>48</v>
      </c>
      <c r="J251">
        <v>93</v>
      </c>
      <c r="K251" t="s">
        <v>965</v>
      </c>
      <c r="L251" t="s">
        <v>966</v>
      </c>
      <c r="N251" t="s">
        <v>961</v>
      </c>
    </row>
    <row r="252" spans="1:14" ht="14.5" x14ac:dyDescent="0.35">
      <c r="A252" t="s">
        <v>1334</v>
      </c>
      <c r="B252" s="2">
        <v>45816</v>
      </c>
      <c r="C252" t="s">
        <v>1335</v>
      </c>
      <c r="D252" t="s">
        <v>40</v>
      </c>
      <c r="E252" t="s">
        <v>65</v>
      </c>
      <c r="F252" t="s">
        <v>977</v>
      </c>
      <c r="G252">
        <v>2</v>
      </c>
      <c r="H252" t="s">
        <v>964</v>
      </c>
      <c r="I252">
        <v>62</v>
      </c>
      <c r="J252">
        <v>49</v>
      </c>
      <c r="K252" t="s">
        <v>965</v>
      </c>
      <c r="L252" t="s">
        <v>966</v>
      </c>
      <c r="N252" t="s">
        <v>973</v>
      </c>
    </row>
    <row r="253" spans="1:14" ht="14.5" x14ac:dyDescent="0.35">
      <c r="A253" t="s">
        <v>1336</v>
      </c>
      <c r="B253" s="2">
        <v>45829</v>
      </c>
      <c r="C253" t="s">
        <v>1337</v>
      </c>
      <c r="D253" t="s">
        <v>36</v>
      </c>
      <c r="E253" t="s">
        <v>62</v>
      </c>
      <c r="F253" t="s">
        <v>977</v>
      </c>
      <c r="G253">
        <v>7</v>
      </c>
      <c r="H253" t="s">
        <v>970</v>
      </c>
      <c r="I253">
        <v>69</v>
      </c>
      <c r="J253">
        <v>66</v>
      </c>
      <c r="K253" t="s">
        <v>1000</v>
      </c>
      <c r="L253" t="s">
        <v>966</v>
      </c>
      <c r="N253" t="s">
        <v>978</v>
      </c>
    </row>
    <row r="254" spans="1:14" ht="14.5" x14ac:dyDescent="0.35">
      <c r="A254" t="s">
        <v>1338</v>
      </c>
      <c r="B254" s="2">
        <v>46176</v>
      </c>
      <c r="C254" t="s">
        <v>236</v>
      </c>
      <c r="D254" t="s">
        <v>52</v>
      </c>
      <c r="E254" t="s">
        <v>176</v>
      </c>
      <c r="F254" t="s">
        <v>1012</v>
      </c>
      <c r="G254">
        <v>0</v>
      </c>
      <c r="H254" t="s">
        <v>995</v>
      </c>
      <c r="I254">
        <v>62</v>
      </c>
      <c r="J254">
        <v>40</v>
      </c>
      <c r="K254" t="s">
        <v>959</v>
      </c>
      <c r="L254" t="s">
        <v>960</v>
      </c>
      <c r="M254">
        <v>22</v>
      </c>
      <c r="N254" t="s">
        <v>961</v>
      </c>
    </row>
    <row r="255" spans="1:14" ht="14.5" x14ac:dyDescent="0.35">
      <c r="A255" t="s">
        <v>1339</v>
      </c>
      <c r="B255" s="2">
        <v>46107</v>
      </c>
      <c r="C255" t="s">
        <v>1136</v>
      </c>
      <c r="D255" t="s">
        <v>40</v>
      </c>
      <c r="E255" t="s">
        <v>90</v>
      </c>
      <c r="F255" t="s">
        <v>992</v>
      </c>
      <c r="G255">
        <v>11</v>
      </c>
      <c r="H255" t="s">
        <v>958</v>
      </c>
      <c r="I255">
        <v>60</v>
      </c>
      <c r="J255">
        <v>63</v>
      </c>
      <c r="K255" t="s">
        <v>959</v>
      </c>
      <c r="L255" t="s">
        <v>960</v>
      </c>
      <c r="M255">
        <v>43</v>
      </c>
      <c r="N255" t="s">
        <v>961</v>
      </c>
    </row>
    <row r="256" spans="1:14" ht="14.5" x14ac:dyDescent="0.35">
      <c r="A256" t="s">
        <v>1340</v>
      </c>
      <c r="B256" s="2">
        <v>45925</v>
      </c>
      <c r="C256" t="s">
        <v>684</v>
      </c>
      <c r="D256" t="s">
        <v>40</v>
      </c>
      <c r="E256" t="s">
        <v>293</v>
      </c>
      <c r="F256" t="s">
        <v>957</v>
      </c>
      <c r="G256">
        <v>4</v>
      </c>
      <c r="H256" t="s">
        <v>958</v>
      </c>
      <c r="I256">
        <v>71</v>
      </c>
      <c r="J256">
        <v>96</v>
      </c>
      <c r="K256" t="s">
        <v>965</v>
      </c>
      <c r="L256" t="s">
        <v>966</v>
      </c>
      <c r="N256" t="s">
        <v>961</v>
      </c>
    </row>
    <row r="257" spans="1:14" ht="14.5" x14ac:dyDescent="0.35">
      <c r="A257" t="s">
        <v>1341</v>
      </c>
      <c r="B257" s="2">
        <v>46154</v>
      </c>
      <c r="C257" t="s">
        <v>1342</v>
      </c>
      <c r="D257" t="s">
        <v>45</v>
      </c>
      <c r="E257" t="s">
        <v>239</v>
      </c>
      <c r="F257" t="s">
        <v>975</v>
      </c>
      <c r="G257">
        <v>4</v>
      </c>
      <c r="H257" t="s">
        <v>1029</v>
      </c>
      <c r="I257">
        <v>92</v>
      </c>
      <c r="J257">
        <v>92</v>
      </c>
      <c r="K257" t="s">
        <v>982</v>
      </c>
      <c r="L257" t="s">
        <v>966</v>
      </c>
      <c r="N257" t="s">
        <v>961</v>
      </c>
    </row>
    <row r="258" spans="1:14" ht="14.5" x14ac:dyDescent="0.35">
      <c r="A258" t="s">
        <v>1343</v>
      </c>
      <c r="B258" s="2">
        <v>46062</v>
      </c>
      <c r="C258" t="s">
        <v>737</v>
      </c>
      <c r="D258" t="s">
        <v>40</v>
      </c>
      <c r="E258" t="s">
        <v>90</v>
      </c>
      <c r="F258" t="s">
        <v>987</v>
      </c>
      <c r="G258">
        <v>11</v>
      </c>
      <c r="H258" t="s">
        <v>988</v>
      </c>
      <c r="I258">
        <v>99</v>
      </c>
      <c r="J258">
        <v>90</v>
      </c>
      <c r="K258" t="s">
        <v>993</v>
      </c>
      <c r="L258" t="s">
        <v>966</v>
      </c>
      <c r="N258" t="s">
        <v>973</v>
      </c>
    </row>
    <row r="259" spans="1:14" ht="14.5" x14ac:dyDescent="0.35">
      <c r="A259" t="s">
        <v>1344</v>
      </c>
      <c r="B259" s="2">
        <v>46076</v>
      </c>
      <c r="C259" t="s">
        <v>1345</v>
      </c>
      <c r="D259" t="s">
        <v>27</v>
      </c>
      <c r="E259" t="s">
        <v>73</v>
      </c>
      <c r="F259" t="s">
        <v>963</v>
      </c>
      <c r="G259">
        <v>7</v>
      </c>
      <c r="H259" t="s">
        <v>964</v>
      </c>
      <c r="I259">
        <v>92</v>
      </c>
      <c r="J259">
        <v>80</v>
      </c>
      <c r="K259" t="s">
        <v>982</v>
      </c>
      <c r="L259" t="s">
        <v>966</v>
      </c>
      <c r="N259" t="s">
        <v>961</v>
      </c>
    </row>
    <row r="260" spans="1:14" ht="14.5" x14ac:dyDescent="0.35">
      <c r="A260" t="s">
        <v>1346</v>
      </c>
      <c r="B260" s="2">
        <v>46023</v>
      </c>
      <c r="C260" t="s">
        <v>540</v>
      </c>
      <c r="D260" t="s">
        <v>159</v>
      </c>
      <c r="E260" t="s">
        <v>160</v>
      </c>
      <c r="F260" t="s">
        <v>1012</v>
      </c>
      <c r="G260">
        <v>5</v>
      </c>
      <c r="H260" t="s">
        <v>1029</v>
      </c>
      <c r="I260">
        <v>91</v>
      </c>
      <c r="J260">
        <v>96</v>
      </c>
      <c r="K260" t="s">
        <v>982</v>
      </c>
      <c r="L260" t="s">
        <v>966</v>
      </c>
      <c r="N260" t="s">
        <v>961</v>
      </c>
    </row>
    <row r="261" spans="1:14" ht="14.5" x14ac:dyDescent="0.35">
      <c r="A261" t="s">
        <v>1347</v>
      </c>
      <c r="B261" s="2">
        <v>46006</v>
      </c>
      <c r="C261" t="s">
        <v>569</v>
      </c>
      <c r="D261" t="s">
        <v>108</v>
      </c>
      <c r="E261" t="s">
        <v>206</v>
      </c>
      <c r="F261" t="s">
        <v>957</v>
      </c>
      <c r="G261">
        <v>5</v>
      </c>
      <c r="H261" t="s">
        <v>958</v>
      </c>
      <c r="I261">
        <v>80</v>
      </c>
      <c r="J261">
        <v>48</v>
      </c>
      <c r="K261" t="s">
        <v>965</v>
      </c>
      <c r="L261" t="s">
        <v>966</v>
      </c>
      <c r="N261" t="s">
        <v>1003</v>
      </c>
    </row>
    <row r="262" spans="1:14" ht="14.5" x14ac:dyDescent="0.35">
      <c r="A262" t="s">
        <v>1348</v>
      </c>
      <c r="B262" s="2">
        <v>46037</v>
      </c>
      <c r="C262" t="s">
        <v>97</v>
      </c>
      <c r="D262" t="s">
        <v>69</v>
      </c>
      <c r="E262" t="s">
        <v>319</v>
      </c>
      <c r="F262" t="s">
        <v>987</v>
      </c>
      <c r="G262">
        <v>6</v>
      </c>
      <c r="H262" t="s">
        <v>958</v>
      </c>
      <c r="I262">
        <v>75</v>
      </c>
      <c r="J262">
        <v>81</v>
      </c>
      <c r="K262" t="s">
        <v>1000</v>
      </c>
      <c r="L262" t="s">
        <v>966</v>
      </c>
      <c r="N262" t="s">
        <v>967</v>
      </c>
    </row>
    <row r="263" spans="1:14" ht="14.5" x14ac:dyDescent="0.35">
      <c r="A263" t="s">
        <v>1349</v>
      </c>
      <c r="B263" s="2">
        <v>46150</v>
      </c>
      <c r="C263" t="s">
        <v>1350</v>
      </c>
      <c r="D263" t="s">
        <v>45</v>
      </c>
      <c r="E263" t="s">
        <v>296</v>
      </c>
      <c r="F263" t="s">
        <v>987</v>
      </c>
      <c r="G263">
        <v>5</v>
      </c>
      <c r="H263" t="s">
        <v>988</v>
      </c>
      <c r="I263">
        <v>50</v>
      </c>
      <c r="J263">
        <v>82</v>
      </c>
      <c r="K263" t="s">
        <v>959</v>
      </c>
      <c r="L263" t="s">
        <v>960</v>
      </c>
      <c r="M263">
        <v>46</v>
      </c>
      <c r="N263" t="s">
        <v>967</v>
      </c>
    </row>
    <row r="264" spans="1:14" ht="14.5" x14ac:dyDescent="0.35">
      <c r="A264" t="s">
        <v>1351</v>
      </c>
      <c r="B264" s="2">
        <v>46152</v>
      </c>
      <c r="C264" t="s">
        <v>1352</v>
      </c>
      <c r="D264" t="s">
        <v>21</v>
      </c>
      <c r="E264" t="s">
        <v>153</v>
      </c>
      <c r="F264" t="s">
        <v>963</v>
      </c>
      <c r="G264">
        <v>5</v>
      </c>
      <c r="H264" t="s">
        <v>995</v>
      </c>
      <c r="I264">
        <v>68</v>
      </c>
      <c r="J264">
        <v>44</v>
      </c>
      <c r="K264" t="s">
        <v>965</v>
      </c>
      <c r="L264" t="s">
        <v>966</v>
      </c>
      <c r="N264" t="s">
        <v>1003</v>
      </c>
    </row>
    <row r="265" spans="1:14" ht="14.5" x14ac:dyDescent="0.35">
      <c r="A265" t="s">
        <v>1353</v>
      </c>
      <c r="B265" s="2">
        <v>46005</v>
      </c>
      <c r="C265" t="s">
        <v>394</v>
      </c>
      <c r="D265" t="s">
        <v>45</v>
      </c>
      <c r="E265" t="s">
        <v>234</v>
      </c>
      <c r="F265" t="s">
        <v>1012</v>
      </c>
      <c r="G265">
        <v>3</v>
      </c>
      <c r="H265" t="s">
        <v>1029</v>
      </c>
      <c r="I265">
        <v>88</v>
      </c>
      <c r="J265">
        <v>46</v>
      </c>
      <c r="K265" t="s">
        <v>993</v>
      </c>
      <c r="L265" t="s">
        <v>966</v>
      </c>
      <c r="N265" t="s">
        <v>967</v>
      </c>
    </row>
    <row r="266" spans="1:14" ht="14.5" x14ac:dyDescent="0.35">
      <c r="A266" t="s">
        <v>1354</v>
      </c>
      <c r="B266" s="2">
        <v>46002</v>
      </c>
      <c r="C266" t="s">
        <v>212</v>
      </c>
      <c r="D266" t="s">
        <v>69</v>
      </c>
      <c r="E266" t="s">
        <v>319</v>
      </c>
      <c r="F266" t="s">
        <v>963</v>
      </c>
      <c r="G266">
        <v>10</v>
      </c>
      <c r="H266" t="s">
        <v>958</v>
      </c>
      <c r="I266">
        <v>81</v>
      </c>
      <c r="J266">
        <v>70</v>
      </c>
      <c r="K266" t="s">
        <v>993</v>
      </c>
      <c r="L266" t="s">
        <v>966</v>
      </c>
      <c r="N266" t="s">
        <v>1003</v>
      </c>
    </row>
    <row r="267" spans="1:14" ht="14.5" x14ac:dyDescent="0.35">
      <c r="A267" t="s">
        <v>1355</v>
      </c>
      <c r="B267" s="2">
        <v>46150</v>
      </c>
      <c r="C267" t="s">
        <v>1356</v>
      </c>
      <c r="D267" t="s">
        <v>45</v>
      </c>
      <c r="E267" t="s">
        <v>296</v>
      </c>
      <c r="F267" t="s">
        <v>992</v>
      </c>
      <c r="G267">
        <v>0</v>
      </c>
      <c r="H267" t="s">
        <v>981</v>
      </c>
      <c r="I267">
        <v>68</v>
      </c>
      <c r="J267">
        <v>60</v>
      </c>
      <c r="K267" t="s">
        <v>993</v>
      </c>
      <c r="L267" t="s">
        <v>966</v>
      </c>
      <c r="N267" t="s">
        <v>973</v>
      </c>
    </row>
    <row r="268" spans="1:14" ht="14.5" x14ac:dyDescent="0.35">
      <c r="A268" t="s">
        <v>1357</v>
      </c>
      <c r="B268" s="2">
        <v>46100</v>
      </c>
      <c r="C268" t="s">
        <v>805</v>
      </c>
      <c r="D268" t="s">
        <v>36</v>
      </c>
      <c r="E268" t="s">
        <v>93</v>
      </c>
      <c r="F268" t="s">
        <v>977</v>
      </c>
      <c r="G268">
        <v>8</v>
      </c>
      <c r="H268" t="s">
        <v>988</v>
      </c>
      <c r="I268">
        <v>75</v>
      </c>
      <c r="J268">
        <v>82</v>
      </c>
      <c r="K268" t="s">
        <v>1000</v>
      </c>
      <c r="L268" t="s">
        <v>966</v>
      </c>
      <c r="N268" t="s">
        <v>973</v>
      </c>
    </row>
    <row r="269" spans="1:14" ht="14.5" x14ac:dyDescent="0.35">
      <c r="A269" t="s">
        <v>1358</v>
      </c>
      <c r="B269" s="2">
        <v>46254</v>
      </c>
      <c r="C269" t="s">
        <v>1359</v>
      </c>
      <c r="D269" t="s">
        <v>159</v>
      </c>
      <c r="E269" t="s">
        <v>160</v>
      </c>
      <c r="F269" t="s">
        <v>975</v>
      </c>
      <c r="G269">
        <v>4</v>
      </c>
      <c r="H269" t="s">
        <v>964</v>
      </c>
      <c r="I269">
        <v>94</v>
      </c>
      <c r="J269">
        <v>79</v>
      </c>
      <c r="K269" t="s">
        <v>982</v>
      </c>
      <c r="L269" t="s">
        <v>966</v>
      </c>
      <c r="N269" t="s">
        <v>973</v>
      </c>
    </row>
    <row r="270" spans="1:14" ht="14.5" x14ac:dyDescent="0.35">
      <c r="A270" t="s">
        <v>1360</v>
      </c>
      <c r="B270" s="2">
        <v>46012</v>
      </c>
      <c r="C270" t="s">
        <v>119</v>
      </c>
      <c r="D270" t="s">
        <v>36</v>
      </c>
      <c r="E270" t="s">
        <v>37</v>
      </c>
      <c r="F270" t="s">
        <v>992</v>
      </c>
      <c r="G270">
        <v>3</v>
      </c>
      <c r="H270" t="s">
        <v>995</v>
      </c>
      <c r="I270">
        <v>68</v>
      </c>
      <c r="J270">
        <v>77</v>
      </c>
      <c r="K270" t="s">
        <v>1000</v>
      </c>
      <c r="L270" t="s">
        <v>966</v>
      </c>
      <c r="N270" t="s">
        <v>961</v>
      </c>
    </row>
    <row r="271" spans="1:14" ht="14.5" x14ac:dyDescent="0.35">
      <c r="A271" t="s">
        <v>1361</v>
      </c>
      <c r="B271" s="2">
        <v>45916</v>
      </c>
      <c r="C271" t="s">
        <v>147</v>
      </c>
      <c r="D271" t="s">
        <v>21</v>
      </c>
      <c r="E271" t="s">
        <v>163</v>
      </c>
      <c r="F271" t="s">
        <v>963</v>
      </c>
      <c r="G271">
        <v>7</v>
      </c>
      <c r="H271" t="s">
        <v>1029</v>
      </c>
      <c r="I271">
        <v>74</v>
      </c>
      <c r="J271">
        <v>94</v>
      </c>
      <c r="K271" t="s">
        <v>965</v>
      </c>
      <c r="L271" t="s">
        <v>966</v>
      </c>
      <c r="N271" t="s">
        <v>961</v>
      </c>
    </row>
    <row r="272" spans="1:14" ht="14.5" x14ac:dyDescent="0.35">
      <c r="A272" t="s">
        <v>1362</v>
      </c>
      <c r="B272" s="2">
        <v>46153</v>
      </c>
      <c r="C272" t="s">
        <v>1363</v>
      </c>
      <c r="D272" t="s">
        <v>36</v>
      </c>
      <c r="E272" t="s">
        <v>62</v>
      </c>
      <c r="F272" t="s">
        <v>963</v>
      </c>
      <c r="G272">
        <v>2</v>
      </c>
      <c r="H272" t="s">
        <v>958</v>
      </c>
      <c r="I272">
        <v>56</v>
      </c>
      <c r="J272">
        <v>62</v>
      </c>
      <c r="K272" t="s">
        <v>982</v>
      </c>
      <c r="L272" t="s">
        <v>966</v>
      </c>
      <c r="N272" t="s">
        <v>1003</v>
      </c>
    </row>
    <row r="273" spans="1:14" ht="14.5" x14ac:dyDescent="0.35">
      <c r="A273" t="s">
        <v>1364</v>
      </c>
      <c r="B273" s="2">
        <v>46008</v>
      </c>
      <c r="C273" t="s">
        <v>265</v>
      </c>
      <c r="D273" t="s">
        <v>21</v>
      </c>
      <c r="E273" t="s">
        <v>133</v>
      </c>
      <c r="F273" t="s">
        <v>975</v>
      </c>
      <c r="G273">
        <v>4</v>
      </c>
      <c r="H273" t="s">
        <v>988</v>
      </c>
      <c r="I273">
        <v>86</v>
      </c>
      <c r="J273">
        <v>86</v>
      </c>
      <c r="K273" t="s">
        <v>971</v>
      </c>
      <c r="L273" t="s">
        <v>972</v>
      </c>
      <c r="N273" t="s">
        <v>1003</v>
      </c>
    </row>
    <row r="274" spans="1:14" ht="14.5" x14ac:dyDescent="0.35">
      <c r="A274" t="s">
        <v>1365</v>
      </c>
      <c r="B274" s="2">
        <v>45877</v>
      </c>
      <c r="C274" t="s">
        <v>330</v>
      </c>
      <c r="D274" t="s">
        <v>40</v>
      </c>
      <c r="E274" t="s">
        <v>65</v>
      </c>
      <c r="F274" t="s">
        <v>1012</v>
      </c>
      <c r="G274">
        <v>9</v>
      </c>
      <c r="H274" t="s">
        <v>970</v>
      </c>
      <c r="I274">
        <v>87</v>
      </c>
      <c r="J274">
        <v>60</v>
      </c>
      <c r="K274" t="s">
        <v>965</v>
      </c>
      <c r="L274" t="s">
        <v>966</v>
      </c>
      <c r="N274" t="s">
        <v>1003</v>
      </c>
    </row>
    <row r="275" spans="1:14" ht="14.5" x14ac:dyDescent="0.35">
      <c r="A275" t="s">
        <v>1366</v>
      </c>
      <c r="B275" s="2">
        <v>46254</v>
      </c>
      <c r="C275" t="s">
        <v>1367</v>
      </c>
      <c r="D275" t="s">
        <v>40</v>
      </c>
      <c r="E275" t="s">
        <v>41</v>
      </c>
      <c r="F275" t="s">
        <v>977</v>
      </c>
      <c r="G275">
        <v>12</v>
      </c>
      <c r="H275" t="s">
        <v>958</v>
      </c>
      <c r="I275">
        <v>98</v>
      </c>
      <c r="J275">
        <v>62</v>
      </c>
      <c r="K275" t="s">
        <v>1000</v>
      </c>
      <c r="L275" t="s">
        <v>966</v>
      </c>
      <c r="N275" t="s">
        <v>1003</v>
      </c>
    </row>
    <row r="276" spans="1:14" ht="14.5" x14ac:dyDescent="0.35">
      <c r="A276" t="s">
        <v>1368</v>
      </c>
      <c r="B276" s="2">
        <v>46076</v>
      </c>
      <c r="C276" t="s">
        <v>1313</v>
      </c>
      <c r="D276" t="s">
        <v>27</v>
      </c>
      <c r="E276" t="s">
        <v>28</v>
      </c>
      <c r="F276" t="s">
        <v>992</v>
      </c>
      <c r="G276">
        <v>6</v>
      </c>
      <c r="H276" t="s">
        <v>964</v>
      </c>
      <c r="I276">
        <v>47</v>
      </c>
      <c r="J276">
        <v>49</v>
      </c>
      <c r="K276" t="s">
        <v>959</v>
      </c>
      <c r="L276" t="s">
        <v>960</v>
      </c>
      <c r="M276">
        <v>43</v>
      </c>
      <c r="N276" t="s">
        <v>961</v>
      </c>
    </row>
    <row r="277" spans="1:14" ht="14.5" x14ac:dyDescent="0.35">
      <c r="A277" t="s">
        <v>1369</v>
      </c>
      <c r="B277" s="2">
        <v>45829</v>
      </c>
      <c r="C277" t="s">
        <v>1370</v>
      </c>
      <c r="D277" t="s">
        <v>69</v>
      </c>
      <c r="E277" t="s">
        <v>70</v>
      </c>
      <c r="F277" t="s">
        <v>987</v>
      </c>
      <c r="G277">
        <v>3</v>
      </c>
      <c r="H277" t="s">
        <v>970</v>
      </c>
      <c r="I277">
        <v>58</v>
      </c>
      <c r="J277">
        <v>87</v>
      </c>
      <c r="K277" t="s">
        <v>959</v>
      </c>
      <c r="L277" t="s">
        <v>960</v>
      </c>
      <c r="M277">
        <v>50</v>
      </c>
      <c r="N277" t="s">
        <v>961</v>
      </c>
    </row>
    <row r="278" spans="1:14" ht="14.5" x14ac:dyDescent="0.35">
      <c r="A278" t="s">
        <v>1371</v>
      </c>
      <c r="B278" s="2">
        <v>45915</v>
      </c>
      <c r="C278" t="s">
        <v>734</v>
      </c>
      <c r="D278" t="s">
        <v>108</v>
      </c>
      <c r="E278" t="s">
        <v>114</v>
      </c>
      <c r="F278" t="s">
        <v>963</v>
      </c>
      <c r="G278">
        <v>6</v>
      </c>
      <c r="H278" t="s">
        <v>964</v>
      </c>
      <c r="I278">
        <v>96</v>
      </c>
      <c r="J278">
        <v>77</v>
      </c>
      <c r="K278" t="s">
        <v>982</v>
      </c>
      <c r="L278" t="s">
        <v>966</v>
      </c>
      <c r="N278" t="s">
        <v>978</v>
      </c>
    </row>
    <row r="279" spans="1:14" ht="14.5" x14ac:dyDescent="0.35">
      <c r="A279" t="s">
        <v>1372</v>
      </c>
      <c r="B279" s="2">
        <v>45909</v>
      </c>
      <c r="C279" t="s">
        <v>417</v>
      </c>
      <c r="D279" t="s">
        <v>45</v>
      </c>
      <c r="E279" t="s">
        <v>239</v>
      </c>
      <c r="F279" t="s">
        <v>963</v>
      </c>
      <c r="G279">
        <v>4</v>
      </c>
      <c r="H279" t="s">
        <v>995</v>
      </c>
      <c r="I279">
        <v>52</v>
      </c>
      <c r="J279">
        <v>75</v>
      </c>
      <c r="K279" t="s">
        <v>993</v>
      </c>
      <c r="L279" t="s">
        <v>966</v>
      </c>
      <c r="N279" t="s">
        <v>967</v>
      </c>
    </row>
    <row r="280" spans="1:14" ht="14.5" x14ac:dyDescent="0.35">
      <c r="A280" t="s">
        <v>1373</v>
      </c>
      <c r="B280" s="2">
        <v>45948</v>
      </c>
      <c r="C280" t="s">
        <v>612</v>
      </c>
      <c r="D280" t="s">
        <v>69</v>
      </c>
      <c r="E280" t="s">
        <v>70</v>
      </c>
      <c r="F280" t="s">
        <v>987</v>
      </c>
      <c r="G280">
        <v>5</v>
      </c>
      <c r="H280" t="s">
        <v>1029</v>
      </c>
      <c r="I280">
        <v>90</v>
      </c>
      <c r="J280">
        <v>89</v>
      </c>
      <c r="K280" t="s">
        <v>993</v>
      </c>
      <c r="L280" t="s">
        <v>966</v>
      </c>
      <c r="N280" t="s">
        <v>967</v>
      </c>
    </row>
    <row r="281" spans="1:14" ht="14.5" x14ac:dyDescent="0.35">
      <c r="A281" t="s">
        <v>1374</v>
      </c>
      <c r="B281" s="2">
        <v>45677</v>
      </c>
      <c r="C281" t="s">
        <v>1375</v>
      </c>
      <c r="D281" t="s">
        <v>56</v>
      </c>
      <c r="E281" t="s">
        <v>79</v>
      </c>
      <c r="F281" t="s">
        <v>977</v>
      </c>
      <c r="G281">
        <v>1</v>
      </c>
      <c r="H281" t="s">
        <v>995</v>
      </c>
      <c r="I281">
        <v>74</v>
      </c>
      <c r="J281">
        <v>62</v>
      </c>
      <c r="K281" t="s">
        <v>1000</v>
      </c>
      <c r="L281" t="s">
        <v>966</v>
      </c>
      <c r="N281" t="s">
        <v>978</v>
      </c>
    </row>
    <row r="282" spans="1:14" ht="14.5" x14ac:dyDescent="0.35">
      <c r="A282" t="s">
        <v>1376</v>
      </c>
      <c r="B282" s="2">
        <v>46129</v>
      </c>
      <c r="C282" t="s">
        <v>1359</v>
      </c>
      <c r="D282" t="s">
        <v>52</v>
      </c>
      <c r="E282" t="s">
        <v>224</v>
      </c>
      <c r="F282" t="s">
        <v>1012</v>
      </c>
      <c r="G282">
        <v>9</v>
      </c>
      <c r="H282" t="s">
        <v>958</v>
      </c>
      <c r="I282">
        <v>95</v>
      </c>
      <c r="J282">
        <v>81</v>
      </c>
      <c r="K282" t="s">
        <v>993</v>
      </c>
      <c r="L282" t="s">
        <v>966</v>
      </c>
      <c r="N282" t="s">
        <v>967</v>
      </c>
    </row>
    <row r="283" spans="1:14" ht="14.5" x14ac:dyDescent="0.35">
      <c r="A283" t="s">
        <v>1377</v>
      </c>
      <c r="B283" s="2">
        <v>45978</v>
      </c>
      <c r="C283" t="s">
        <v>210</v>
      </c>
      <c r="D283" t="s">
        <v>159</v>
      </c>
      <c r="E283" t="s">
        <v>187</v>
      </c>
      <c r="F283" t="s">
        <v>987</v>
      </c>
      <c r="G283">
        <v>5</v>
      </c>
      <c r="H283" t="s">
        <v>964</v>
      </c>
      <c r="I283">
        <v>88</v>
      </c>
      <c r="J283">
        <v>46</v>
      </c>
      <c r="K283" t="s">
        <v>993</v>
      </c>
      <c r="L283" t="s">
        <v>966</v>
      </c>
      <c r="N283" t="s">
        <v>1003</v>
      </c>
    </row>
    <row r="284" spans="1:14" ht="14.5" x14ac:dyDescent="0.35">
      <c r="A284" t="s">
        <v>1378</v>
      </c>
      <c r="B284" s="2">
        <v>46220</v>
      </c>
      <c r="C284" t="s">
        <v>59</v>
      </c>
      <c r="D284" t="s">
        <v>45</v>
      </c>
      <c r="E284" t="s">
        <v>234</v>
      </c>
      <c r="F284" t="s">
        <v>992</v>
      </c>
      <c r="G284">
        <v>12</v>
      </c>
      <c r="H284" t="s">
        <v>1029</v>
      </c>
      <c r="I284">
        <v>95</v>
      </c>
      <c r="J284">
        <v>99</v>
      </c>
      <c r="K284" t="s">
        <v>1000</v>
      </c>
      <c r="L284" t="s">
        <v>966</v>
      </c>
      <c r="N284" t="s">
        <v>1003</v>
      </c>
    </row>
    <row r="285" spans="1:14" ht="14.5" x14ac:dyDescent="0.35">
      <c r="A285" t="s">
        <v>1379</v>
      </c>
      <c r="B285" s="2">
        <v>46156</v>
      </c>
      <c r="C285" t="s">
        <v>1157</v>
      </c>
      <c r="D285" t="s">
        <v>69</v>
      </c>
      <c r="E285" t="s">
        <v>70</v>
      </c>
      <c r="F285" t="s">
        <v>1012</v>
      </c>
      <c r="G285">
        <v>3</v>
      </c>
      <c r="H285" t="s">
        <v>958</v>
      </c>
      <c r="I285">
        <v>68</v>
      </c>
      <c r="J285">
        <v>96</v>
      </c>
      <c r="K285" t="s">
        <v>971</v>
      </c>
      <c r="L285" t="s">
        <v>972</v>
      </c>
      <c r="N285" t="s">
        <v>961</v>
      </c>
    </row>
    <row r="286" spans="1:14" ht="14.5" x14ac:dyDescent="0.35">
      <c r="A286" t="s">
        <v>1380</v>
      </c>
      <c r="B286" s="2">
        <v>46123</v>
      </c>
      <c r="C286" t="s">
        <v>1200</v>
      </c>
      <c r="D286" t="s">
        <v>108</v>
      </c>
      <c r="E286" t="s">
        <v>114</v>
      </c>
      <c r="F286" t="s">
        <v>957</v>
      </c>
      <c r="G286">
        <v>2</v>
      </c>
      <c r="H286" t="s">
        <v>1029</v>
      </c>
      <c r="I286">
        <v>53</v>
      </c>
      <c r="J286">
        <v>74</v>
      </c>
      <c r="K286" t="s">
        <v>1000</v>
      </c>
      <c r="L286" t="s">
        <v>966</v>
      </c>
      <c r="N286" t="s">
        <v>1003</v>
      </c>
    </row>
    <row r="287" spans="1:14" ht="14.5" x14ac:dyDescent="0.35">
      <c r="A287" t="s">
        <v>1381</v>
      </c>
      <c r="B287" s="2">
        <v>45665</v>
      </c>
      <c r="C287" t="s">
        <v>832</v>
      </c>
      <c r="D287" t="s">
        <v>21</v>
      </c>
      <c r="E287" t="s">
        <v>133</v>
      </c>
      <c r="F287" t="s">
        <v>957</v>
      </c>
      <c r="G287">
        <v>1</v>
      </c>
      <c r="H287" t="s">
        <v>958</v>
      </c>
      <c r="I287">
        <v>62</v>
      </c>
      <c r="J287">
        <v>52</v>
      </c>
      <c r="K287" t="s">
        <v>965</v>
      </c>
      <c r="L287" t="s">
        <v>966</v>
      </c>
      <c r="N287" t="s">
        <v>1003</v>
      </c>
    </row>
    <row r="288" spans="1:14" ht="14.5" x14ac:dyDescent="0.35">
      <c r="A288" t="s">
        <v>1382</v>
      </c>
      <c r="B288" s="2">
        <v>46100</v>
      </c>
      <c r="C288" t="s">
        <v>1383</v>
      </c>
      <c r="D288" t="s">
        <v>45</v>
      </c>
      <c r="E288" t="s">
        <v>234</v>
      </c>
      <c r="F288" t="s">
        <v>992</v>
      </c>
      <c r="G288">
        <v>6</v>
      </c>
      <c r="H288" t="s">
        <v>981</v>
      </c>
      <c r="I288">
        <v>99</v>
      </c>
      <c r="J288">
        <v>83</v>
      </c>
      <c r="K288" t="s">
        <v>982</v>
      </c>
      <c r="L288" t="s">
        <v>966</v>
      </c>
      <c r="N288" t="s">
        <v>967</v>
      </c>
    </row>
    <row r="289" spans="1:14" ht="14.5" x14ac:dyDescent="0.35">
      <c r="A289" t="s">
        <v>1384</v>
      </c>
      <c r="B289" s="2">
        <v>45722</v>
      </c>
      <c r="C289" t="s">
        <v>980</v>
      </c>
      <c r="D289" t="s">
        <v>56</v>
      </c>
      <c r="E289" t="s">
        <v>217</v>
      </c>
      <c r="F289" t="s">
        <v>992</v>
      </c>
      <c r="G289">
        <v>11</v>
      </c>
      <c r="H289" t="s">
        <v>995</v>
      </c>
      <c r="I289">
        <v>62</v>
      </c>
      <c r="J289">
        <v>73</v>
      </c>
      <c r="K289" t="s">
        <v>982</v>
      </c>
      <c r="L289" t="s">
        <v>966</v>
      </c>
      <c r="N289" t="s">
        <v>978</v>
      </c>
    </row>
    <row r="290" spans="1:14" ht="14.5" x14ac:dyDescent="0.35">
      <c r="A290" t="s">
        <v>1385</v>
      </c>
      <c r="B290" s="2">
        <v>46105</v>
      </c>
      <c r="C290" t="s">
        <v>1073</v>
      </c>
      <c r="D290" t="s">
        <v>69</v>
      </c>
      <c r="E290" t="s">
        <v>150</v>
      </c>
      <c r="F290" t="s">
        <v>1012</v>
      </c>
      <c r="G290">
        <v>5</v>
      </c>
      <c r="H290" t="s">
        <v>1029</v>
      </c>
      <c r="I290">
        <v>80</v>
      </c>
      <c r="J290">
        <v>92</v>
      </c>
      <c r="K290" t="s">
        <v>965</v>
      </c>
      <c r="L290" t="s">
        <v>966</v>
      </c>
      <c r="N290" t="s">
        <v>1003</v>
      </c>
    </row>
    <row r="291" spans="1:14" ht="14.5" x14ac:dyDescent="0.35">
      <c r="A291" t="s">
        <v>1386</v>
      </c>
      <c r="B291" s="2">
        <v>45900</v>
      </c>
      <c r="C291" t="s">
        <v>1200</v>
      </c>
      <c r="D291" t="s">
        <v>159</v>
      </c>
      <c r="E291" t="s">
        <v>324</v>
      </c>
      <c r="F291" t="s">
        <v>957</v>
      </c>
      <c r="G291">
        <v>11</v>
      </c>
      <c r="H291" t="s">
        <v>988</v>
      </c>
      <c r="I291">
        <v>75</v>
      </c>
      <c r="J291">
        <v>91</v>
      </c>
      <c r="K291" t="s">
        <v>1000</v>
      </c>
      <c r="L291" t="s">
        <v>966</v>
      </c>
      <c r="N291" t="s">
        <v>967</v>
      </c>
    </row>
    <row r="292" spans="1:14" ht="14.5" x14ac:dyDescent="0.35">
      <c r="A292" t="s">
        <v>1387</v>
      </c>
      <c r="B292" s="2">
        <v>46255</v>
      </c>
      <c r="C292" t="s">
        <v>35</v>
      </c>
      <c r="D292" t="s">
        <v>56</v>
      </c>
      <c r="E292" t="s">
        <v>217</v>
      </c>
      <c r="F292" t="s">
        <v>977</v>
      </c>
      <c r="G292">
        <v>1</v>
      </c>
      <c r="H292" t="s">
        <v>981</v>
      </c>
      <c r="I292">
        <v>50</v>
      </c>
      <c r="J292">
        <v>91</v>
      </c>
      <c r="K292" t="s">
        <v>965</v>
      </c>
      <c r="L292" t="s">
        <v>966</v>
      </c>
      <c r="N292" t="s">
        <v>973</v>
      </c>
    </row>
    <row r="293" spans="1:14" ht="14.5" x14ac:dyDescent="0.35">
      <c r="A293" t="s">
        <v>1388</v>
      </c>
      <c r="B293" s="2">
        <v>45828</v>
      </c>
      <c r="C293" t="s">
        <v>779</v>
      </c>
      <c r="D293" t="s">
        <v>21</v>
      </c>
      <c r="E293" t="s">
        <v>163</v>
      </c>
      <c r="F293" t="s">
        <v>1012</v>
      </c>
      <c r="G293">
        <v>5</v>
      </c>
      <c r="H293" t="s">
        <v>958</v>
      </c>
      <c r="I293">
        <v>100</v>
      </c>
      <c r="J293">
        <v>50</v>
      </c>
      <c r="K293" t="s">
        <v>982</v>
      </c>
      <c r="L293" t="s">
        <v>966</v>
      </c>
      <c r="N293" t="s">
        <v>967</v>
      </c>
    </row>
    <row r="294" spans="1:14" ht="14.5" x14ac:dyDescent="0.35">
      <c r="A294" t="s">
        <v>1389</v>
      </c>
      <c r="B294" s="2">
        <v>45999</v>
      </c>
      <c r="C294" t="s">
        <v>1390</v>
      </c>
      <c r="D294" t="s">
        <v>45</v>
      </c>
      <c r="E294" t="s">
        <v>234</v>
      </c>
      <c r="F294" t="s">
        <v>975</v>
      </c>
      <c r="G294">
        <v>12</v>
      </c>
      <c r="H294" t="s">
        <v>970</v>
      </c>
      <c r="I294">
        <v>84</v>
      </c>
      <c r="J294">
        <v>95</v>
      </c>
      <c r="K294" t="s">
        <v>993</v>
      </c>
      <c r="L294" t="s">
        <v>966</v>
      </c>
      <c r="N294" t="s">
        <v>1003</v>
      </c>
    </row>
    <row r="295" spans="1:14" ht="14.5" x14ac:dyDescent="0.35">
      <c r="A295" t="s">
        <v>1391</v>
      </c>
      <c r="B295" s="2">
        <v>45877</v>
      </c>
      <c r="C295" t="s">
        <v>697</v>
      </c>
      <c r="D295" t="s">
        <v>56</v>
      </c>
      <c r="E295" t="s">
        <v>57</v>
      </c>
      <c r="F295" t="s">
        <v>987</v>
      </c>
      <c r="G295">
        <v>2</v>
      </c>
      <c r="H295" t="s">
        <v>995</v>
      </c>
      <c r="I295">
        <v>68</v>
      </c>
      <c r="J295">
        <v>83</v>
      </c>
      <c r="K295" t="s">
        <v>982</v>
      </c>
      <c r="L295" t="s">
        <v>966</v>
      </c>
      <c r="N295" t="s">
        <v>967</v>
      </c>
    </row>
    <row r="296" spans="1:14" ht="14.5" x14ac:dyDescent="0.35">
      <c r="A296" t="s">
        <v>1392</v>
      </c>
      <c r="B296" s="2">
        <v>46008</v>
      </c>
      <c r="C296" t="s">
        <v>1393</v>
      </c>
      <c r="D296" t="s">
        <v>21</v>
      </c>
      <c r="E296" t="s">
        <v>49</v>
      </c>
      <c r="F296" t="s">
        <v>987</v>
      </c>
      <c r="G296">
        <v>1</v>
      </c>
      <c r="H296" t="s">
        <v>964</v>
      </c>
      <c r="I296">
        <v>58</v>
      </c>
      <c r="J296">
        <v>64</v>
      </c>
      <c r="K296" t="s">
        <v>982</v>
      </c>
      <c r="L296" t="s">
        <v>966</v>
      </c>
      <c r="N296" t="s">
        <v>1003</v>
      </c>
    </row>
    <row r="297" spans="1:14" ht="14.5" x14ac:dyDescent="0.35">
      <c r="A297" t="s">
        <v>1394</v>
      </c>
      <c r="B297" s="2">
        <v>45869</v>
      </c>
      <c r="C297" t="s">
        <v>1395</v>
      </c>
      <c r="D297" t="s">
        <v>159</v>
      </c>
      <c r="E297" t="s">
        <v>160</v>
      </c>
      <c r="F297" t="s">
        <v>957</v>
      </c>
      <c r="G297">
        <v>8</v>
      </c>
      <c r="H297" t="s">
        <v>958</v>
      </c>
      <c r="I297">
        <v>97</v>
      </c>
      <c r="J297">
        <v>81</v>
      </c>
      <c r="K297" t="s">
        <v>971</v>
      </c>
      <c r="L297" t="s">
        <v>972</v>
      </c>
      <c r="N297" t="s">
        <v>978</v>
      </c>
    </row>
    <row r="298" spans="1:14" ht="14.5" x14ac:dyDescent="0.35">
      <c r="A298" t="s">
        <v>1396</v>
      </c>
      <c r="B298" s="2">
        <v>45760</v>
      </c>
      <c r="C298" t="s">
        <v>1165</v>
      </c>
      <c r="D298" t="s">
        <v>27</v>
      </c>
      <c r="E298" t="s">
        <v>73</v>
      </c>
      <c r="F298" t="s">
        <v>963</v>
      </c>
      <c r="G298">
        <v>8</v>
      </c>
      <c r="H298" t="s">
        <v>958</v>
      </c>
      <c r="I298">
        <v>94</v>
      </c>
      <c r="J298">
        <v>97</v>
      </c>
      <c r="K298" t="s">
        <v>993</v>
      </c>
      <c r="L298" t="s">
        <v>966</v>
      </c>
      <c r="N298" t="s">
        <v>973</v>
      </c>
    </row>
    <row r="299" spans="1:14" ht="14.5" x14ac:dyDescent="0.35">
      <c r="A299" t="s">
        <v>1397</v>
      </c>
      <c r="B299" s="2">
        <v>45734</v>
      </c>
      <c r="C299" t="s">
        <v>1398</v>
      </c>
      <c r="D299" t="s">
        <v>159</v>
      </c>
      <c r="E299" t="s">
        <v>160</v>
      </c>
      <c r="F299" t="s">
        <v>963</v>
      </c>
      <c r="G299">
        <v>4</v>
      </c>
      <c r="H299" t="s">
        <v>995</v>
      </c>
      <c r="I299">
        <v>87</v>
      </c>
      <c r="J299">
        <v>73</v>
      </c>
      <c r="K299" t="s">
        <v>965</v>
      </c>
      <c r="L299" t="s">
        <v>966</v>
      </c>
      <c r="N299" t="s">
        <v>961</v>
      </c>
    </row>
    <row r="300" spans="1:14" ht="14.5" x14ac:dyDescent="0.35">
      <c r="A300" t="s">
        <v>1399</v>
      </c>
      <c r="B300" s="2">
        <v>46111</v>
      </c>
      <c r="C300" t="s">
        <v>1400</v>
      </c>
      <c r="D300" t="s">
        <v>21</v>
      </c>
      <c r="E300" t="s">
        <v>133</v>
      </c>
      <c r="F300" t="s">
        <v>987</v>
      </c>
      <c r="G300">
        <v>2</v>
      </c>
      <c r="H300" t="s">
        <v>988</v>
      </c>
      <c r="I300">
        <v>79</v>
      </c>
      <c r="J300">
        <v>53</v>
      </c>
      <c r="K300" t="s">
        <v>982</v>
      </c>
      <c r="L300" t="s">
        <v>966</v>
      </c>
      <c r="N300" t="s">
        <v>978</v>
      </c>
    </row>
    <row r="301" spans="1:14" ht="14.5" x14ac:dyDescent="0.35">
      <c r="A301" t="s">
        <v>1401</v>
      </c>
      <c r="B301" s="2">
        <v>46137</v>
      </c>
      <c r="C301" t="s">
        <v>1094</v>
      </c>
      <c r="D301" t="s">
        <v>56</v>
      </c>
      <c r="E301" t="s">
        <v>57</v>
      </c>
      <c r="F301" t="s">
        <v>975</v>
      </c>
      <c r="G301">
        <v>7</v>
      </c>
      <c r="H301" t="s">
        <v>995</v>
      </c>
      <c r="I301">
        <v>47</v>
      </c>
      <c r="J301">
        <v>86</v>
      </c>
      <c r="K301" t="s">
        <v>1000</v>
      </c>
      <c r="L301" t="s">
        <v>966</v>
      </c>
      <c r="N301" t="s">
        <v>967</v>
      </c>
    </row>
    <row r="302" spans="1:14" ht="14.5" x14ac:dyDescent="0.35">
      <c r="A302" t="s">
        <v>1402</v>
      </c>
      <c r="B302" s="2">
        <v>46044</v>
      </c>
      <c r="C302" t="s">
        <v>1403</v>
      </c>
      <c r="D302" t="s">
        <v>69</v>
      </c>
      <c r="E302" t="s">
        <v>70</v>
      </c>
      <c r="F302" t="s">
        <v>992</v>
      </c>
      <c r="G302">
        <v>2</v>
      </c>
      <c r="H302" t="s">
        <v>958</v>
      </c>
      <c r="I302">
        <v>92</v>
      </c>
      <c r="J302">
        <v>78</v>
      </c>
      <c r="K302" t="s">
        <v>993</v>
      </c>
      <c r="L302" t="s">
        <v>966</v>
      </c>
      <c r="N302" t="s">
        <v>961</v>
      </c>
    </row>
    <row r="303" spans="1:14" ht="14.5" x14ac:dyDescent="0.35">
      <c r="A303" t="s">
        <v>1404</v>
      </c>
      <c r="B303" s="2">
        <v>45754</v>
      </c>
      <c r="C303" t="s">
        <v>471</v>
      </c>
      <c r="D303" t="s">
        <v>56</v>
      </c>
      <c r="E303" t="s">
        <v>112</v>
      </c>
      <c r="F303" t="s">
        <v>975</v>
      </c>
      <c r="G303">
        <v>7</v>
      </c>
      <c r="H303" t="s">
        <v>988</v>
      </c>
      <c r="I303">
        <v>54</v>
      </c>
      <c r="J303">
        <v>42</v>
      </c>
      <c r="K303" t="s">
        <v>993</v>
      </c>
      <c r="L303" t="s">
        <v>966</v>
      </c>
      <c r="N303" t="s">
        <v>961</v>
      </c>
    </row>
    <row r="304" spans="1:14" ht="14.5" x14ac:dyDescent="0.35">
      <c r="A304" t="s">
        <v>1405</v>
      </c>
      <c r="B304" s="2">
        <v>46171</v>
      </c>
      <c r="C304" t="s">
        <v>1406</v>
      </c>
      <c r="D304" t="s">
        <v>36</v>
      </c>
      <c r="E304" t="s">
        <v>37</v>
      </c>
      <c r="F304" t="s">
        <v>975</v>
      </c>
      <c r="G304">
        <v>6</v>
      </c>
      <c r="H304" t="s">
        <v>981</v>
      </c>
      <c r="I304">
        <v>97</v>
      </c>
      <c r="J304">
        <v>76</v>
      </c>
      <c r="K304" t="s">
        <v>965</v>
      </c>
      <c r="L304" t="s">
        <v>966</v>
      </c>
      <c r="N304" t="s">
        <v>1003</v>
      </c>
    </row>
    <row r="305" spans="1:14" ht="14.5" x14ac:dyDescent="0.35">
      <c r="A305" t="s">
        <v>1407</v>
      </c>
      <c r="B305" s="2">
        <v>45920</v>
      </c>
      <c r="C305" t="s">
        <v>132</v>
      </c>
      <c r="D305" t="s">
        <v>40</v>
      </c>
      <c r="E305" t="s">
        <v>65</v>
      </c>
      <c r="F305" t="s">
        <v>987</v>
      </c>
      <c r="G305">
        <v>9</v>
      </c>
      <c r="H305" t="s">
        <v>958</v>
      </c>
      <c r="I305">
        <v>72</v>
      </c>
      <c r="J305">
        <v>69</v>
      </c>
      <c r="K305" t="s">
        <v>993</v>
      </c>
      <c r="L305" t="s">
        <v>966</v>
      </c>
      <c r="N305" t="s">
        <v>961</v>
      </c>
    </row>
    <row r="306" spans="1:14" ht="14.5" x14ac:dyDescent="0.35">
      <c r="A306" t="s">
        <v>1408</v>
      </c>
      <c r="B306" s="2">
        <v>45678</v>
      </c>
      <c r="C306" t="s">
        <v>574</v>
      </c>
      <c r="D306" t="s">
        <v>40</v>
      </c>
      <c r="E306" t="s">
        <v>90</v>
      </c>
      <c r="F306" t="s">
        <v>987</v>
      </c>
      <c r="G306">
        <v>6</v>
      </c>
      <c r="H306" t="s">
        <v>988</v>
      </c>
      <c r="I306">
        <v>95</v>
      </c>
      <c r="J306">
        <v>98</v>
      </c>
      <c r="K306" t="s">
        <v>993</v>
      </c>
      <c r="L306" t="s">
        <v>966</v>
      </c>
      <c r="N306" t="s">
        <v>978</v>
      </c>
    </row>
    <row r="307" spans="1:14" ht="14.5" x14ac:dyDescent="0.35">
      <c r="A307" t="s">
        <v>1409</v>
      </c>
      <c r="B307" s="2">
        <v>45963</v>
      </c>
      <c r="C307" t="s">
        <v>1329</v>
      </c>
      <c r="D307" t="s">
        <v>52</v>
      </c>
      <c r="E307" t="s">
        <v>195</v>
      </c>
      <c r="F307" t="s">
        <v>975</v>
      </c>
      <c r="G307">
        <v>2</v>
      </c>
      <c r="H307" t="s">
        <v>964</v>
      </c>
      <c r="I307">
        <v>66</v>
      </c>
      <c r="J307">
        <v>92</v>
      </c>
      <c r="K307" t="s">
        <v>971</v>
      </c>
      <c r="L307" t="s">
        <v>972</v>
      </c>
      <c r="N307" t="s">
        <v>961</v>
      </c>
    </row>
    <row r="308" spans="1:14" ht="14.5" x14ac:dyDescent="0.35">
      <c r="A308" t="s">
        <v>1410</v>
      </c>
      <c r="B308" s="2">
        <v>45728</v>
      </c>
      <c r="C308" t="s">
        <v>577</v>
      </c>
      <c r="D308" t="s">
        <v>21</v>
      </c>
      <c r="E308" t="s">
        <v>49</v>
      </c>
      <c r="F308" t="s">
        <v>975</v>
      </c>
      <c r="G308">
        <v>11</v>
      </c>
      <c r="H308" t="s">
        <v>988</v>
      </c>
      <c r="I308">
        <v>100</v>
      </c>
      <c r="J308">
        <v>63</v>
      </c>
      <c r="K308" t="s">
        <v>1000</v>
      </c>
      <c r="L308" t="s">
        <v>966</v>
      </c>
      <c r="N308" t="s">
        <v>973</v>
      </c>
    </row>
    <row r="309" spans="1:14" ht="14.5" x14ac:dyDescent="0.35">
      <c r="A309" t="s">
        <v>1411</v>
      </c>
      <c r="B309" s="2">
        <v>46133</v>
      </c>
      <c r="C309" t="s">
        <v>246</v>
      </c>
      <c r="D309" t="s">
        <v>45</v>
      </c>
      <c r="E309" t="s">
        <v>239</v>
      </c>
      <c r="F309" t="s">
        <v>987</v>
      </c>
      <c r="G309">
        <v>0</v>
      </c>
      <c r="H309" t="s">
        <v>988</v>
      </c>
      <c r="I309">
        <v>74</v>
      </c>
      <c r="J309">
        <v>57</v>
      </c>
      <c r="K309" t="s">
        <v>965</v>
      </c>
      <c r="L309" t="s">
        <v>966</v>
      </c>
      <c r="N309" t="s">
        <v>973</v>
      </c>
    </row>
    <row r="310" spans="1:14" ht="14.5" x14ac:dyDescent="0.35">
      <c r="A310" t="s">
        <v>1412</v>
      </c>
      <c r="B310" s="2">
        <v>46007</v>
      </c>
      <c r="C310" t="s">
        <v>1413</v>
      </c>
      <c r="D310" t="s">
        <v>56</v>
      </c>
      <c r="E310" t="s">
        <v>112</v>
      </c>
      <c r="F310" t="s">
        <v>975</v>
      </c>
      <c r="G310">
        <v>2</v>
      </c>
      <c r="H310" t="s">
        <v>988</v>
      </c>
      <c r="I310">
        <v>70</v>
      </c>
      <c r="J310">
        <v>90</v>
      </c>
      <c r="K310" t="s">
        <v>965</v>
      </c>
      <c r="L310" t="s">
        <v>966</v>
      </c>
      <c r="N310" t="s">
        <v>961</v>
      </c>
    </row>
    <row r="311" spans="1:14" ht="14.5" x14ac:dyDescent="0.35">
      <c r="A311" t="s">
        <v>1414</v>
      </c>
      <c r="B311" s="2">
        <v>46033</v>
      </c>
      <c r="C311" t="s">
        <v>551</v>
      </c>
      <c r="D311" t="s">
        <v>27</v>
      </c>
      <c r="E311" t="s">
        <v>76</v>
      </c>
      <c r="F311" t="s">
        <v>957</v>
      </c>
      <c r="G311">
        <v>12</v>
      </c>
      <c r="H311" t="s">
        <v>1029</v>
      </c>
      <c r="I311">
        <v>62</v>
      </c>
      <c r="J311">
        <v>72</v>
      </c>
      <c r="K311" t="s">
        <v>965</v>
      </c>
      <c r="L311" t="s">
        <v>966</v>
      </c>
      <c r="N311" t="s">
        <v>1003</v>
      </c>
    </row>
    <row r="312" spans="1:14" ht="14.5" x14ac:dyDescent="0.35">
      <c r="A312" t="s">
        <v>1415</v>
      </c>
      <c r="B312" s="2">
        <v>46173</v>
      </c>
      <c r="C312" t="s">
        <v>714</v>
      </c>
      <c r="D312" t="s">
        <v>27</v>
      </c>
      <c r="E312" t="s">
        <v>87</v>
      </c>
      <c r="F312" t="s">
        <v>987</v>
      </c>
      <c r="G312">
        <v>4</v>
      </c>
      <c r="H312" t="s">
        <v>958</v>
      </c>
      <c r="I312">
        <v>57</v>
      </c>
      <c r="J312">
        <v>83</v>
      </c>
      <c r="K312" t="s">
        <v>982</v>
      </c>
      <c r="L312" t="s">
        <v>966</v>
      </c>
      <c r="N312" t="s">
        <v>1003</v>
      </c>
    </row>
    <row r="313" spans="1:14" ht="14.5" x14ac:dyDescent="0.35">
      <c r="A313" t="s">
        <v>1416</v>
      </c>
      <c r="B313" s="2">
        <v>45992</v>
      </c>
      <c r="C313" t="s">
        <v>1063</v>
      </c>
      <c r="D313" t="s">
        <v>108</v>
      </c>
      <c r="E313" t="s">
        <v>109</v>
      </c>
      <c r="F313" t="s">
        <v>1012</v>
      </c>
      <c r="G313">
        <v>1</v>
      </c>
      <c r="H313" t="s">
        <v>1029</v>
      </c>
      <c r="I313">
        <v>75</v>
      </c>
      <c r="J313">
        <v>59</v>
      </c>
      <c r="K313" t="s">
        <v>993</v>
      </c>
      <c r="L313" t="s">
        <v>966</v>
      </c>
      <c r="N313" t="s">
        <v>1003</v>
      </c>
    </row>
    <row r="314" spans="1:14" ht="14.5" x14ac:dyDescent="0.35">
      <c r="A314" t="s">
        <v>1417</v>
      </c>
      <c r="B314" s="2">
        <v>45824</v>
      </c>
      <c r="C314" t="s">
        <v>732</v>
      </c>
      <c r="D314" t="s">
        <v>21</v>
      </c>
      <c r="E314" t="s">
        <v>22</v>
      </c>
      <c r="F314" t="s">
        <v>957</v>
      </c>
      <c r="G314">
        <v>11</v>
      </c>
      <c r="H314" t="s">
        <v>988</v>
      </c>
      <c r="I314">
        <v>50</v>
      </c>
      <c r="J314">
        <v>59</v>
      </c>
      <c r="K314" t="s">
        <v>965</v>
      </c>
      <c r="L314" t="s">
        <v>966</v>
      </c>
      <c r="N314" t="s">
        <v>973</v>
      </c>
    </row>
    <row r="315" spans="1:14" ht="14.5" x14ac:dyDescent="0.35">
      <c r="A315" t="s">
        <v>1418</v>
      </c>
      <c r="B315" s="2">
        <v>46243</v>
      </c>
      <c r="C315" t="s">
        <v>128</v>
      </c>
      <c r="D315" t="s">
        <v>69</v>
      </c>
      <c r="E315" t="s">
        <v>105</v>
      </c>
      <c r="F315" t="s">
        <v>1012</v>
      </c>
      <c r="G315">
        <v>5</v>
      </c>
      <c r="H315" t="s">
        <v>988</v>
      </c>
      <c r="I315">
        <v>68</v>
      </c>
      <c r="J315">
        <v>72</v>
      </c>
      <c r="K315" t="s">
        <v>982</v>
      </c>
      <c r="L315" t="s">
        <v>966</v>
      </c>
      <c r="N315" t="s">
        <v>961</v>
      </c>
    </row>
    <row r="316" spans="1:14" ht="14.5" x14ac:dyDescent="0.35">
      <c r="A316" t="s">
        <v>1419</v>
      </c>
      <c r="B316" s="2">
        <v>46275</v>
      </c>
      <c r="C316" t="s">
        <v>92</v>
      </c>
      <c r="D316" t="s">
        <v>69</v>
      </c>
      <c r="E316" t="s">
        <v>150</v>
      </c>
      <c r="F316" t="s">
        <v>992</v>
      </c>
      <c r="G316">
        <v>7</v>
      </c>
      <c r="H316" t="s">
        <v>995</v>
      </c>
      <c r="I316">
        <v>51</v>
      </c>
      <c r="J316">
        <v>71</v>
      </c>
      <c r="K316" t="s">
        <v>982</v>
      </c>
      <c r="L316" t="s">
        <v>966</v>
      </c>
      <c r="N316" t="s">
        <v>973</v>
      </c>
    </row>
    <row r="317" spans="1:14" ht="14.5" x14ac:dyDescent="0.35">
      <c r="A317" t="s">
        <v>1420</v>
      </c>
      <c r="B317" s="2">
        <v>46078</v>
      </c>
      <c r="C317" t="s">
        <v>1421</v>
      </c>
      <c r="D317" t="s">
        <v>52</v>
      </c>
      <c r="E317" t="s">
        <v>498</v>
      </c>
      <c r="F317" t="s">
        <v>987</v>
      </c>
      <c r="G317">
        <v>8</v>
      </c>
      <c r="H317" t="s">
        <v>1029</v>
      </c>
      <c r="I317">
        <v>73</v>
      </c>
      <c r="J317">
        <v>98</v>
      </c>
      <c r="K317" t="s">
        <v>965</v>
      </c>
      <c r="L317" t="s">
        <v>966</v>
      </c>
      <c r="N317" t="s">
        <v>1003</v>
      </c>
    </row>
    <row r="318" spans="1:14" ht="14.5" x14ac:dyDescent="0.35">
      <c r="A318" t="s">
        <v>1422</v>
      </c>
      <c r="B318" s="2">
        <v>45995</v>
      </c>
      <c r="C318" t="s">
        <v>1120</v>
      </c>
      <c r="D318" t="s">
        <v>56</v>
      </c>
      <c r="E318" t="s">
        <v>79</v>
      </c>
      <c r="F318" t="s">
        <v>1012</v>
      </c>
      <c r="G318">
        <v>1</v>
      </c>
      <c r="H318" t="s">
        <v>970</v>
      </c>
      <c r="I318">
        <v>70</v>
      </c>
      <c r="J318">
        <v>56</v>
      </c>
      <c r="K318" t="s">
        <v>1000</v>
      </c>
      <c r="L318" t="s">
        <v>966</v>
      </c>
      <c r="N318" t="s">
        <v>973</v>
      </c>
    </row>
    <row r="319" spans="1:14" ht="14.5" x14ac:dyDescent="0.35">
      <c r="A319" t="s">
        <v>1423</v>
      </c>
      <c r="B319" s="2">
        <v>46052</v>
      </c>
      <c r="C319" t="s">
        <v>1152</v>
      </c>
      <c r="D319" t="s">
        <v>69</v>
      </c>
      <c r="E319" t="s">
        <v>70</v>
      </c>
      <c r="F319" t="s">
        <v>975</v>
      </c>
      <c r="G319">
        <v>8</v>
      </c>
      <c r="H319" t="s">
        <v>958</v>
      </c>
      <c r="I319">
        <v>61</v>
      </c>
      <c r="J319">
        <v>47</v>
      </c>
      <c r="K319" t="s">
        <v>959</v>
      </c>
      <c r="L319" t="s">
        <v>960</v>
      </c>
      <c r="M319">
        <v>39</v>
      </c>
      <c r="N319" t="s">
        <v>978</v>
      </c>
    </row>
    <row r="320" spans="1:14" ht="14.5" x14ac:dyDescent="0.35">
      <c r="A320" t="s">
        <v>1424</v>
      </c>
      <c r="B320" s="2">
        <v>46055</v>
      </c>
      <c r="C320" t="s">
        <v>1425</v>
      </c>
      <c r="D320" t="s">
        <v>52</v>
      </c>
      <c r="E320" t="s">
        <v>176</v>
      </c>
      <c r="F320" t="s">
        <v>977</v>
      </c>
      <c r="G320">
        <v>4</v>
      </c>
      <c r="H320" t="s">
        <v>964</v>
      </c>
      <c r="I320">
        <v>59</v>
      </c>
      <c r="J320">
        <v>59</v>
      </c>
      <c r="K320" t="s">
        <v>993</v>
      </c>
      <c r="L320" t="s">
        <v>966</v>
      </c>
      <c r="N320" t="s">
        <v>978</v>
      </c>
    </row>
    <row r="321" spans="1:14" ht="14.5" x14ac:dyDescent="0.35">
      <c r="A321" t="s">
        <v>1426</v>
      </c>
      <c r="B321" s="2">
        <v>46141</v>
      </c>
      <c r="C321" t="s">
        <v>95</v>
      </c>
      <c r="D321" t="s">
        <v>69</v>
      </c>
      <c r="E321" t="s">
        <v>105</v>
      </c>
      <c r="F321" t="s">
        <v>1012</v>
      </c>
      <c r="G321">
        <v>12</v>
      </c>
      <c r="H321" t="s">
        <v>981</v>
      </c>
      <c r="I321">
        <v>60</v>
      </c>
      <c r="J321">
        <v>42</v>
      </c>
      <c r="K321" t="s">
        <v>965</v>
      </c>
      <c r="L321" t="s">
        <v>966</v>
      </c>
      <c r="N321" t="s">
        <v>978</v>
      </c>
    </row>
    <row r="322" spans="1:14" ht="14.5" x14ac:dyDescent="0.35">
      <c r="A322" t="s">
        <v>1427</v>
      </c>
      <c r="B322" s="2">
        <v>46169</v>
      </c>
      <c r="C322" t="s">
        <v>691</v>
      </c>
      <c r="D322" t="s">
        <v>108</v>
      </c>
      <c r="E322" t="s">
        <v>126</v>
      </c>
      <c r="F322" t="s">
        <v>1012</v>
      </c>
      <c r="G322">
        <v>4</v>
      </c>
      <c r="H322" t="s">
        <v>970</v>
      </c>
      <c r="I322">
        <v>100</v>
      </c>
      <c r="J322">
        <v>61</v>
      </c>
      <c r="K322" t="s">
        <v>965</v>
      </c>
      <c r="L322" t="s">
        <v>966</v>
      </c>
      <c r="N322" t="s">
        <v>967</v>
      </c>
    </row>
    <row r="323" spans="1:14" ht="14.5" x14ac:dyDescent="0.35">
      <c r="A323" t="s">
        <v>1428</v>
      </c>
      <c r="B323" s="2">
        <v>45968</v>
      </c>
      <c r="C323" t="s">
        <v>379</v>
      </c>
      <c r="D323" t="s">
        <v>52</v>
      </c>
      <c r="E323" t="s">
        <v>102</v>
      </c>
      <c r="F323" t="s">
        <v>1012</v>
      </c>
      <c r="G323">
        <v>11</v>
      </c>
      <c r="H323" t="s">
        <v>995</v>
      </c>
      <c r="I323">
        <v>100</v>
      </c>
      <c r="J323">
        <v>68</v>
      </c>
      <c r="K323" t="s">
        <v>971</v>
      </c>
      <c r="L323" t="s">
        <v>972</v>
      </c>
      <c r="N323" t="s">
        <v>1003</v>
      </c>
    </row>
    <row r="324" spans="1:14" ht="14.5" x14ac:dyDescent="0.35">
      <c r="A324" t="s">
        <v>1429</v>
      </c>
      <c r="B324" s="2">
        <v>46007</v>
      </c>
      <c r="C324" t="s">
        <v>1262</v>
      </c>
      <c r="D324" t="s">
        <v>56</v>
      </c>
      <c r="E324" t="s">
        <v>79</v>
      </c>
      <c r="F324" t="s">
        <v>963</v>
      </c>
      <c r="G324">
        <v>4</v>
      </c>
      <c r="H324" t="s">
        <v>981</v>
      </c>
      <c r="I324">
        <v>55</v>
      </c>
      <c r="J324">
        <v>70</v>
      </c>
      <c r="K324" t="s">
        <v>965</v>
      </c>
      <c r="L324" t="s">
        <v>966</v>
      </c>
      <c r="N324" t="s">
        <v>967</v>
      </c>
    </row>
    <row r="325" spans="1:14" ht="14.5" x14ac:dyDescent="0.35">
      <c r="A325" t="s">
        <v>1430</v>
      </c>
      <c r="B325" s="2">
        <v>46081</v>
      </c>
      <c r="C325" t="s">
        <v>128</v>
      </c>
      <c r="D325" t="s">
        <v>36</v>
      </c>
      <c r="E325" t="s">
        <v>84</v>
      </c>
      <c r="F325" t="s">
        <v>975</v>
      </c>
      <c r="G325">
        <v>1</v>
      </c>
      <c r="H325" t="s">
        <v>970</v>
      </c>
      <c r="I325">
        <v>51</v>
      </c>
      <c r="J325">
        <v>46</v>
      </c>
      <c r="K325" t="s">
        <v>965</v>
      </c>
      <c r="L325" t="s">
        <v>966</v>
      </c>
      <c r="N325" t="s">
        <v>978</v>
      </c>
    </row>
    <row r="326" spans="1:14" ht="14.5" x14ac:dyDescent="0.35">
      <c r="A326" t="s">
        <v>1431</v>
      </c>
      <c r="B326" s="2">
        <v>46017</v>
      </c>
      <c r="C326" t="s">
        <v>1282</v>
      </c>
      <c r="D326" t="s">
        <v>40</v>
      </c>
      <c r="E326" t="s">
        <v>293</v>
      </c>
      <c r="F326" t="s">
        <v>957</v>
      </c>
      <c r="G326">
        <v>6</v>
      </c>
      <c r="H326" t="s">
        <v>1029</v>
      </c>
      <c r="I326">
        <v>66</v>
      </c>
      <c r="J326">
        <v>69</v>
      </c>
      <c r="K326" t="s">
        <v>965</v>
      </c>
      <c r="L326" t="s">
        <v>966</v>
      </c>
      <c r="N326" t="s">
        <v>978</v>
      </c>
    </row>
    <row r="327" spans="1:14" ht="14.5" x14ac:dyDescent="0.35">
      <c r="A327" t="s">
        <v>1432</v>
      </c>
      <c r="B327" s="2">
        <v>45961</v>
      </c>
      <c r="C327" t="s">
        <v>1076</v>
      </c>
      <c r="D327" t="s">
        <v>45</v>
      </c>
      <c r="E327" t="s">
        <v>234</v>
      </c>
      <c r="F327" t="s">
        <v>977</v>
      </c>
      <c r="G327">
        <v>8</v>
      </c>
      <c r="H327" t="s">
        <v>1029</v>
      </c>
      <c r="I327">
        <v>66</v>
      </c>
      <c r="J327">
        <v>57</v>
      </c>
      <c r="K327" t="s">
        <v>982</v>
      </c>
      <c r="L327" t="s">
        <v>966</v>
      </c>
      <c r="N327" t="s">
        <v>967</v>
      </c>
    </row>
    <row r="328" spans="1:14" ht="14.5" x14ac:dyDescent="0.35">
      <c r="A328" t="s">
        <v>1433</v>
      </c>
      <c r="B328" s="2">
        <v>46177</v>
      </c>
      <c r="C328" t="s">
        <v>259</v>
      </c>
      <c r="D328" t="s">
        <v>52</v>
      </c>
      <c r="E328" t="s">
        <v>102</v>
      </c>
      <c r="F328" t="s">
        <v>987</v>
      </c>
      <c r="G328">
        <v>4</v>
      </c>
      <c r="H328" t="s">
        <v>981</v>
      </c>
      <c r="I328">
        <v>88</v>
      </c>
      <c r="J328">
        <v>64</v>
      </c>
      <c r="K328" t="s">
        <v>1000</v>
      </c>
      <c r="L328" t="s">
        <v>966</v>
      </c>
      <c r="N328" t="s">
        <v>978</v>
      </c>
    </row>
    <row r="329" spans="1:14" ht="14.5" x14ac:dyDescent="0.35">
      <c r="A329" t="s">
        <v>1434</v>
      </c>
      <c r="B329" s="2">
        <v>46075</v>
      </c>
      <c r="C329" t="s">
        <v>1435</v>
      </c>
      <c r="D329" t="s">
        <v>56</v>
      </c>
      <c r="E329" t="s">
        <v>112</v>
      </c>
      <c r="F329" t="s">
        <v>975</v>
      </c>
      <c r="G329">
        <v>1</v>
      </c>
      <c r="H329" t="s">
        <v>995</v>
      </c>
      <c r="I329">
        <v>58</v>
      </c>
      <c r="J329">
        <v>73</v>
      </c>
      <c r="K329" t="s">
        <v>965</v>
      </c>
      <c r="L329" t="s">
        <v>966</v>
      </c>
      <c r="N329" t="s">
        <v>967</v>
      </c>
    </row>
    <row r="330" spans="1:14" ht="14.5" x14ac:dyDescent="0.35">
      <c r="A330" t="s">
        <v>1436</v>
      </c>
      <c r="B330" s="2">
        <v>46125</v>
      </c>
      <c r="C330" t="s">
        <v>1023</v>
      </c>
      <c r="D330" t="s">
        <v>108</v>
      </c>
      <c r="E330" t="s">
        <v>206</v>
      </c>
      <c r="F330" t="s">
        <v>1012</v>
      </c>
      <c r="G330">
        <v>7</v>
      </c>
      <c r="H330" t="s">
        <v>988</v>
      </c>
      <c r="I330">
        <v>83</v>
      </c>
      <c r="J330">
        <v>63</v>
      </c>
      <c r="K330" t="s">
        <v>1000</v>
      </c>
      <c r="L330" t="s">
        <v>966</v>
      </c>
      <c r="N330" t="s">
        <v>978</v>
      </c>
    </row>
    <row r="331" spans="1:14" ht="14.5" x14ac:dyDescent="0.35">
      <c r="A331" t="s">
        <v>1437</v>
      </c>
      <c r="B331" s="2">
        <v>45886</v>
      </c>
      <c r="C331" t="s">
        <v>724</v>
      </c>
      <c r="D331" t="s">
        <v>159</v>
      </c>
      <c r="E331" t="s">
        <v>324</v>
      </c>
      <c r="F331" t="s">
        <v>987</v>
      </c>
      <c r="G331">
        <v>7</v>
      </c>
      <c r="H331" t="s">
        <v>964</v>
      </c>
      <c r="I331">
        <v>74</v>
      </c>
      <c r="J331">
        <v>77</v>
      </c>
      <c r="K331" t="s">
        <v>965</v>
      </c>
      <c r="L331" t="s">
        <v>966</v>
      </c>
      <c r="N331" t="s">
        <v>961</v>
      </c>
    </row>
    <row r="332" spans="1:14" ht="14.5" x14ac:dyDescent="0.35">
      <c r="A332" t="s">
        <v>1438</v>
      </c>
      <c r="B332" s="2">
        <v>45902</v>
      </c>
      <c r="C332" t="s">
        <v>116</v>
      </c>
      <c r="D332" t="s">
        <v>52</v>
      </c>
      <c r="E332" t="s">
        <v>224</v>
      </c>
      <c r="F332" t="s">
        <v>957</v>
      </c>
      <c r="G332">
        <v>5</v>
      </c>
      <c r="H332" t="s">
        <v>964</v>
      </c>
      <c r="I332">
        <v>52</v>
      </c>
      <c r="J332">
        <v>48</v>
      </c>
      <c r="K332" t="s">
        <v>1000</v>
      </c>
      <c r="L332" t="s">
        <v>966</v>
      </c>
      <c r="N332" t="s">
        <v>961</v>
      </c>
    </row>
    <row r="333" spans="1:14" ht="14.5" x14ac:dyDescent="0.35">
      <c r="A333" t="s">
        <v>1439</v>
      </c>
      <c r="B333" s="2">
        <v>45952</v>
      </c>
      <c r="C333" t="s">
        <v>1440</v>
      </c>
      <c r="D333" t="s">
        <v>56</v>
      </c>
      <c r="E333" t="s">
        <v>112</v>
      </c>
      <c r="F333" t="s">
        <v>987</v>
      </c>
      <c r="G333">
        <v>3</v>
      </c>
      <c r="H333" t="s">
        <v>981</v>
      </c>
      <c r="I333">
        <v>55</v>
      </c>
      <c r="J333">
        <v>54</v>
      </c>
      <c r="K333" t="s">
        <v>965</v>
      </c>
      <c r="L333" t="s">
        <v>966</v>
      </c>
      <c r="N333" t="s">
        <v>973</v>
      </c>
    </row>
    <row r="334" spans="1:14" ht="14.5" x14ac:dyDescent="0.35">
      <c r="A334" t="s">
        <v>1441</v>
      </c>
      <c r="B334" s="2">
        <v>46261</v>
      </c>
      <c r="C334" t="s">
        <v>1442</v>
      </c>
      <c r="D334" t="s">
        <v>69</v>
      </c>
      <c r="E334" t="s">
        <v>319</v>
      </c>
      <c r="F334" t="s">
        <v>977</v>
      </c>
      <c r="G334">
        <v>3</v>
      </c>
      <c r="H334" t="s">
        <v>964</v>
      </c>
      <c r="I334">
        <v>61</v>
      </c>
      <c r="J334">
        <v>57</v>
      </c>
      <c r="K334" t="s">
        <v>993</v>
      </c>
      <c r="L334" t="s">
        <v>966</v>
      </c>
      <c r="N334" t="s">
        <v>961</v>
      </c>
    </row>
    <row r="335" spans="1:14" ht="14.5" x14ac:dyDescent="0.35">
      <c r="A335" t="s">
        <v>1443</v>
      </c>
      <c r="B335" s="2">
        <v>45890</v>
      </c>
      <c r="C335" t="s">
        <v>1342</v>
      </c>
      <c r="D335" t="s">
        <v>56</v>
      </c>
      <c r="E335" t="s">
        <v>57</v>
      </c>
      <c r="F335" t="s">
        <v>957</v>
      </c>
      <c r="G335">
        <v>10</v>
      </c>
      <c r="H335" t="s">
        <v>970</v>
      </c>
      <c r="I335">
        <v>45</v>
      </c>
      <c r="J335">
        <v>65</v>
      </c>
      <c r="K335" t="s">
        <v>1000</v>
      </c>
      <c r="L335" t="s">
        <v>966</v>
      </c>
      <c r="N335" t="s">
        <v>978</v>
      </c>
    </row>
    <row r="336" spans="1:14" ht="14.5" x14ac:dyDescent="0.35">
      <c r="A336" t="s">
        <v>1444</v>
      </c>
      <c r="B336" s="2">
        <v>45988</v>
      </c>
      <c r="C336" t="s">
        <v>1345</v>
      </c>
      <c r="D336" t="s">
        <v>27</v>
      </c>
      <c r="E336" t="s">
        <v>76</v>
      </c>
      <c r="F336" t="s">
        <v>963</v>
      </c>
      <c r="G336">
        <v>12</v>
      </c>
      <c r="H336" t="s">
        <v>1029</v>
      </c>
      <c r="I336">
        <v>53</v>
      </c>
      <c r="J336">
        <v>78</v>
      </c>
      <c r="K336" t="s">
        <v>993</v>
      </c>
      <c r="L336" t="s">
        <v>966</v>
      </c>
      <c r="N336" t="s">
        <v>978</v>
      </c>
    </row>
    <row r="337" spans="1:14" ht="14.5" x14ac:dyDescent="0.35">
      <c r="A337" t="s">
        <v>1445</v>
      </c>
      <c r="B337" s="2">
        <v>46049</v>
      </c>
      <c r="C337" t="s">
        <v>581</v>
      </c>
      <c r="D337" t="s">
        <v>52</v>
      </c>
      <c r="E337" t="s">
        <v>176</v>
      </c>
      <c r="F337" t="s">
        <v>963</v>
      </c>
      <c r="G337">
        <v>4</v>
      </c>
      <c r="H337" t="s">
        <v>988</v>
      </c>
      <c r="I337">
        <v>61</v>
      </c>
      <c r="J337">
        <v>73</v>
      </c>
      <c r="K337" t="s">
        <v>982</v>
      </c>
      <c r="L337" t="s">
        <v>966</v>
      </c>
      <c r="N337" t="s">
        <v>978</v>
      </c>
    </row>
    <row r="338" spans="1:14" ht="14.5" x14ac:dyDescent="0.35">
      <c r="A338" t="s">
        <v>1446</v>
      </c>
      <c r="B338" s="2">
        <v>45767</v>
      </c>
      <c r="C338" t="s">
        <v>1447</v>
      </c>
      <c r="D338" t="s">
        <v>40</v>
      </c>
      <c r="E338" t="s">
        <v>90</v>
      </c>
      <c r="F338" t="s">
        <v>963</v>
      </c>
      <c r="G338">
        <v>1</v>
      </c>
      <c r="H338" t="s">
        <v>1029</v>
      </c>
      <c r="I338">
        <v>82</v>
      </c>
      <c r="J338">
        <v>80</v>
      </c>
      <c r="K338" t="s">
        <v>959</v>
      </c>
      <c r="L338" t="s">
        <v>960</v>
      </c>
      <c r="M338">
        <v>43</v>
      </c>
      <c r="N338" t="s">
        <v>1003</v>
      </c>
    </row>
    <row r="339" spans="1:14" ht="14.5" x14ac:dyDescent="0.35">
      <c r="A339" t="s">
        <v>1448</v>
      </c>
      <c r="B339" s="2">
        <v>45804</v>
      </c>
      <c r="C339" t="s">
        <v>212</v>
      </c>
      <c r="D339" t="s">
        <v>40</v>
      </c>
      <c r="E339" t="s">
        <v>293</v>
      </c>
      <c r="F339" t="s">
        <v>977</v>
      </c>
      <c r="G339">
        <v>8</v>
      </c>
      <c r="H339" t="s">
        <v>970</v>
      </c>
      <c r="I339">
        <v>96</v>
      </c>
      <c r="J339">
        <v>40</v>
      </c>
      <c r="K339" t="s">
        <v>993</v>
      </c>
      <c r="L339" t="s">
        <v>966</v>
      </c>
      <c r="N339" t="s">
        <v>973</v>
      </c>
    </row>
    <row r="340" spans="1:14" ht="14.5" x14ac:dyDescent="0.35">
      <c r="A340" t="s">
        <v>1449</v>
      </c>
      <c r="B340" s="2">
        <v>45688</v>
      </c>
      <c r="C340" t="s">
        <v>1435</v>
      </c>
      <c r="D340" t="s">
        <v>40</v>
      </c>
      <c r="E340" t="s">
        <v>293</v>
      </c>
      <c r="F340" t="s">
        <v>1012</v>
      </c>
      <c r="G340">
        <v>7</v>
      </c>
      <c r="H340" t="s">
        <v>964</v>
      </c>
      <c r="I340">
        <v>80</v>
      </c>
      <c r="J340">
        <v>95</v>
      </c>
      <c r="K340" t="s">
        <v>982</v>
      </c>
      <c r="L340" t="s">
        <v>966</v>
      </c>
      <c r="N340" t="s">
        <v>978</v>
      </c>
    </row>
    <row r="341" spans="1:14" ht="14.5" x14ac:dyDescent="0.35">
      <c r="A341" t="s">
        <v>1450</v>
      </c>
      <c r="B341" s="2">
        <v>45686</v>
      </c>
      <c r="C341" t="s">
        <v>767</v>
      </c>
      <c r="D341" t="s">
        <v>27</v>
      </c>
      <c r="E341" t="s">
        <v>76</v>
      </c>
      <c r="F341" t="s">
        <v>957</v>
      </c>
      <c r="G341">
        <v>10</v>
      </c>
      <c r="H341" t="s">
        <v>995</v>
      </c>
      <c r="I341">
        <v>56</v>
      </c>
      <c r="J341">
        <v>42</v>
      </c>
      <c r="K341" t="s">
        <v>965</v>
      </c>
      <c r="L341" t="s">
        <v>966</v>
      </c>
      <c r="N341" t="s">
        <v>973</v>
      </c>
    </row>
    <row r="342" spans="1:14" ht="14.5" x14ac:dyDescent="0.35">
      <c r="A342" t="s">
        <v>1451</v>
      </c>
      <c r="B342" s="2">
        <v>45693</v>
      </c>
      <c r="C342" t="s">
        <v>456</v>
      </c>
      <c r="D342" t="s">
        <v>21</v>
      </c>
      <c r="E342" t="s">
        <v>153</v>
      </c>
      <c r="F342" t="s">
        <v>975</v>
      </c>
      <c r="G342">
        <v>1</v>
      </c>
      <c r="H342" t="s">
        <v>1029</v>
      </c>
      <c r="I342">
        <v>84</v>
      </c>
      <c r="J342">
        <v>85</v>
      </c>
      <c r="K342" t="s">
        <v>982</v>
      </c>
      <c r="L342" t="s">
        <v>966</v>
      </c>
      <c r="N342" t="s">
        <v>967</v>
      </c>
    </row>
    <row r="343" spans="1:14" ht="14.5" x14ac:dyDescent="0.35">
      <c r="A343" t="s">
        <v>1452</v>
      </c>
      <c r="B343" s="2">
        <v>46210</v>
      </c>
      <c r="C343" t="s">
        <v>1453</v>
      </c>
      <c r="D343" t="s">
        <v>45</v>
      </c>
      <c r="E343" t="s">
        <v>234</v>
      </c>
      <c r="F343" t="s">
        <v>1012</v>
      </c>
      <c r="G343">
        <v>12</v>
      </c>
      <c r="H343" t="s">
        <v>958</v>
      </c>
      <c r="I343">
        <v>75</v>
      </c>
      <c r="J343">
        <v>76</v>
      </c>
      <c r="K343" t="s">
        <v>1000</v>
      </c>
      <c r="L343" t="s">
        <v>966</v>
      </c>
      <c r="N343" t="s">
        <v>973</v>
      </c>
    </row>
    <row r="344" spans="1:14" ht="14.5" x14ac:dyDescent="0.35">
      <c r="A344" t="s">
        <v>1454</v>
      </c>
      <c r="B344" s="2">
        <v>45819</v>
      </c>
      <c r="C344" t="s">
        <v>116</v>
      </c>
      <c r="D344" t="s">
        <v>21</v>
      </c>
      <c r="E344" t="s">
        <v>163</v>
      </c>
      <c r="F344" t="s">
        <v>1012</v>
      </c>
      <c r="G344">
        <v>12</v>
      </c>
      <c r="H344" t="s">
        <v>981</v>
      </c>
      <c r="I344">
        <v>64</v>
      </c>
      <c r="J344">
        <v>76</v>
      </c>
      <c r="K344" t="s">
        <v>993</v>
      </c>
      <c r="L344" t="s">
        <v>966</v>
      </c>
      <c r="N344" t="s">
        <v>961</v>
      </c>
    </row>
    <row r="345" spans="1:14" ht="14.5" x14ac:dyDescent="0.35">
      <c r="A345" t="s">
        <v>1455</v>
      </c>
      <c r="B345" s="2">
        <v>45975</v>
      </c>
      <c r="C345" t="s">
        <v>440</v>
      </c>
      <c r="D345" t="s">
        <v>108</v>
      </c>
      <c r="E345" t="s">
        <v>206</v>
      </c>
      <c r="F345" t="s">
        <v>1012</v>
      </c>
      <c r="G345">
        <v>4</v>
      </c>
      <c r="H345" t="s">
        <v>988</v>
      </c>
      <c r="I345">
        <v>52</v>
      </c>
      <c r="J345">
        <v>67</v>
      </c>
      <c r="K345" t="s">
        <v>965</v>
      </c>
      <c r="L345" t="s">
        <v>966</v>
      </c>
      <c r="N345" t="s">
        <v>967</v>
      </c>
    </row>
    <row r="346" spans="1:14" ht="14.5" x14ac:dyDescent="0.35">
      <c r="A346" t="s">
        <v>1456</v>
      </c>
      <c r="B346" s="2">
        <v>45662</v>
      </c>
      <c r="C346" t="s">
        <v>1457</v>
      </c>
      <c r="D346" t="s">
        <v>52</v>
      </c>
      <c r="E346" t="s">
        <v>224</v>
      </c>
      <c r="F346" t="s">
        <v>975</v>
      </c>
      <c r="G346">
        <v>0</v>
      </c>
      <c r="H346" t="s">
        <v>970</v>
      </c>
      <c r="I346">
        <v>65</v>
      </c>
      <c r="J346">
        <v>45</v>
      </c>
      <c r="K346" t="s">
        <v>971</v>
      </c>
      <c r="L346" t="s">
        <v>972</v>
      </c>
      <c r="N346" t="s">
        <v>1003</v>
      </c>
    </row>
    <row r="347" spans="1:14" ht="14.5" x14ac:dyDescent="0.35">
      <c r="A347" t="s">
        <v>1458</v>
      </c>
      <c r="B347" s="2">
        <v>45679</v>
      </c>
      <c r="C347" t="s">
        <v>1253</v>
      </c>
      <c r="D347" t="s">
        <v>21</v>
      </c>
      <c r="E347" t="s">
        <v>133</v>
      </c>
      <c r="F347" t="s">
        <v>987</v>
      </c>
      <c r="G347">
        <v>2</v>
      </c>
      <c r="H347" t="s">
        <v>964</v>
      </c>
      <c r="I347">
        <v>88</v>
      </c>
      <c r="J347">
        <v>50</v>
      </c>
      <c r="K347" t="s">
        <v>959</v>
      </c>
      <c r="L347" t="s">
        <v>960</v>
      </c>
      <c r="M347">
        <v>51</v>
      </c>
      <c r="N347" t="s">
        <v>978</v>
      </c>
    </row>
    <row r="348" spans="1:14" ht="14.5" x14ac:dyDescent="0.35">
      <c r="A348" t="s">
        <v>1459</v>
      </c>
      <c r="B348" s="2">
        <v>46033</v>
      </c>
      <c r="C348" t="s">
        <v>1460</v>
      </c>
      <c r="D348" t="s">
        <v>40</v>
      </c>
      <c r="E348" t="s">
        <v>293</v>
      </c>
      <c r="F348" t="s">
        <v>957</v>
      </c>
      <c r="G348">
        <v>4</v>
      </c>
      <c r="H348" t="s">
        <v>964</v>
      </c>
      <c r="I348">
        <v>49</v>
      </c>
      <c r="J348">
        <v>65</v>
      </c>
      <c r="K348" t="s">
        <v>993</v>
      </c>
      <c r="L348" t="s">
        <v>966</v>
      </c>
      <c r="N348" t="s">
        <v>961</v>
      </c>
    </row>
    <row r="349" spans="1:14" ht="14.5" x14ac:dyDescent="0.35">
      <c r="A349" t="s">
        <v>1461</v>
      </c>
      <c r="B349" s="2">
        <v>46073</v>
      </c>
      <c r="C349" t="s">
        <v>197</v>
      </c>
      <c r="D349" t="s">
        <v>52</v>
      </c>
      <c r="E349" t="s">
        <v>498</v>
      </c>
      <c r="F349" t="s">
        <v>977</v>
      </c>
      <c r="G349">
        <v>6</v>
      </c>
      <c r="H349" t="s">
        <v>995</v>
      </c>
      <c r="I349">
        <v>53</v>
      </c>
      <c r="J349">
        <v>95</v>
      </c>
      <c r="K349" t="s">
        <v>1000</v>
      </c>
      <c r="L349" t="s">
        <v>966</v>
      </c>
      <c r="N349" t="s">
        <v>1003</v>
      </c>
    </row>
    <row r="350" spans="1:14" ht="14.5" x14ac:dyDescent="0.35">
      <c r="A350" t="s">
        <v>1462</v>
      </c>
      <c r="B350" s="2">
        <v>46242</v>
      </c>
      <c r="C350" t="s">
        <v>1463</v>
      </c>
      <c r="D350" t="s">
        <v>159</v>
      </c>
      <c r="E350" t="s">
        <v>324</v>
      </c>
      <c r="F350" t="s">
        <v>977</v>
      </c>
      <c r="G350">
        <v>7</v>
      </c>
      <c r="H350" t="s">
        <v>964</v>
      </c>
      <c r="I350">
        <v>61</v>
      </c>
      <c r="J350">
        <v>57</v>
      </c>
      <c r="K350" t="s">
        <v>965</v>
      </c>
      <c r="L350" t="s">
        <v>966</v>
      </c>
      <c r="N350" t="s">
        <v>978</v>
      </c>
    </row>
    <row r="351" spans="1:14" ht="14.5" x14ac:dyDescent="0.35">
      <c r="A351" t="s">
        <v>1464</v>
      </c>
      <c r="B351" s="2">
        <v>46205</v>
      </c>
      <c r="C351" t="s">
        <v>980</v>
      </c>
      <c r="D351" t="s">
        <v>52</v>
      </c>
      <c r="E351" t="s">
        <v>224</v>
      </c>
      <c r="F351" t="s">
        <v>1012</v>
      </c>
      <c r="G351">
        <v>12</v>
      </c>
      <c r="H351" t="s">
        <v>970</v>
      </c>
      <c r="I351">
        <v>66</v>
      </c>
      <c r="J351">
        <v>58</v>
      </c>
      <c r="K351" t="s">
        <v>959</v>
      </c>
      <c r="L351" t="s">
        <v>960</v>
      </c>
      <c r="M351">
        <v>22</v>
      </c>
      <c r="N351" t="s">
        <v>967</v>
      </c>
    </row>
    <row r="352" spans="1:14" ht="14.5" x14ac:dyDescent="0.35">
      <c r="A352" t="s">
        <v>1465</v>
      </c>
      <c r="B352" s="2">
        <v>45901</v>
      </c>
      <c r="C352" t="s">
        <v>1466</v>
      </c>
      <c r="D352" t="s">
        <v>108</v>
      </c>
      <c r="E352" t="s">
        <v>109</v>
      </c>
      <c r="F352" t="s">
        <v>975</v>
      </c>
      <c r="G352">
        <v>11</v>
      </c>
      <c r="H352" t="s">
        <v>995</v>
      </c>
      <c r="I352">
        <v>80</v>
      </c>
      <c r="J352">
        <v>53</v>
      </c>
      <c r="K352" t="s">
        <v>993</v>
      </c>
      <c r="L352" t="s">
        <v>966</v>
      </c>
      <c r="N352" t="s">
        <v>961</v>
      </c>
    </row>
    <row r="353" spans="1:14" ht="14.5" x14ac:dyDescent="0.35">
      <c r="A353" t="s">
        <v>1467</v>
      </c>
      <c r="B353" s="2">
        <v>46114</v>
      </c>
      <c r="C353" t="s">
        <v>1165</v>
      </c>
      <c r="D353" t="s">
        <v>36</v>
      </c>
      <c r="E353" t="s">
        <v>253</v>
      </c>
      <c r="F353" t="s">
        <v>963</v>
      </c>
      <c r="G353">
        <v>9</v>
      </c>
      <c r="H353" t="s">
        <v>964</v>
      </c>
      <c r="I353">
        <v>54</v>
      </c>
      <c r="J353">
        <v>54</v>
      </c>
      <c r="K353" t="s">
        <v>965</v>
      </c>
      <c r="L353" t="s">
        <v>966</v>
      </c>
      <c r="N353" t="s">
        <v>967</v>
      </c>
    </row>
    <row r="354" spans="1:14" ht="14.5" x14ac:dyDescent="0.35">
      <c r="A354" t="s">
        <v>1468</v>
      </c>
      <c r="B354" s="2">
        <v>46129</v>
      </c>
      <c r="C354" t="s">
        <v>1395</v>
      </c>
      <c r="D354" t="s">
        <v>40</v>
      </c>
      <c r="E354" t="s">
        <v>41</v>
      </c>
      <c r="F354" t="s">
        <v>975</v>
      </c>
      <c r="G354">
        <v>0</v>
      </c>
      <c r="H354" t="s">
        <v>958</v>
      </c>
      <c r="I354">
        <v>51</v>
      </c>
      <c r="J354">
        <v>63</v>
      </c>
      <c r="K354" t="s">
        <v>965</v>
      </c>
      <c r="L354" t="s">
        <v>966</v>
      </c>
      <c r="N354" t="s">
        <v>967</v>
      </c>
    </row>
    <row r="355" spans="1:14" ht="14.5" x14ac:dyDescent="0.35">
      <c r="A355" t="s">
        <v>1469</v>
      </c>
      <c r="B355" s="2">
        <v>45686</v>
      </c>
      <c r="C355" t="s">
        <v>1470</v>
      </c>
      <c r="D355" t="s">
        <v>108</v>
      </c>
      <c r="E355" t="s">
        <v>109</v>
      </c>
      <c r="F355" t="s">
        <v>987</v>
      </c>
      <c r="G355">
        <v>9</v>
      </c>
      <c r="H355" t="s">
        <v>981</v>
      </c>
      <c r="I355">
        <v>53</v>
      </c>
      <c r="J355">
        <v>62</v>
      </c>
      <c r="K355" t="s">
        <v>965</v>
      </c>
      <c r="L355" t="s">
        <v>966</v>
      </c>
      <c r="N355" t="s">
        <v>967</v>
      </c>
    </row>
    <row r="356" spans="1:14" ht="14.5" x14ac:dyDescent="0.35">
      <c r="A356" t="s">
        <v>1471</v>
      </c>
      <c r="B356" s="2">
        <v>46019</v>
      </c>
      <c r="C356" t="s">
        <v>1282</v>
      </c>
      <c r="D356" t="s">
        <v>159</v>
      </c>
      <c r="E356" t="s">
        <v>187</v>
      </c>
      <c r="F356" t="s">
        <v>977</v>
      </c>
      <c r="G356">
        <v>2</v>
      </c>
      <c r="H356" t="s">
        <v>995</v>
      </c>
      <c r="I356">
        <v>60</v>
      </c>
      <c r="J356">
        <v>54</v>
      </c>
      <c r="K356" t="s">
        <v>971</v>
      </c>
      <c r="L356" t="s">
        <v>972</v>
      </c>
      <c r="N356" t="s">
        <v>1003</v>
      </c>
    </row>
    <row r="357" spans="1:14" ht="14.5" x14ac:dyDescent="0.35">
      <c r="A357" t="s">
        <v>1472</v>
      </c>
      <c r="B357" s="2">
        <v>46146</v>
      </c>
      <c r="C357" t="s">
        <v>1473</v>
      </c>
      <c r="D357" t="s">
        <v>45</v>
      </c>
      <c r="E357" t="s">
        <v>234</v>
      </c>
      <c r="F357" t="s">
        <v>963</v>
      </c>
      <c r="G357">
        <v>9</v>
      </c>
      <c r="H357" t="s">
        <v>988</v>
      </c>
      <c r="I357">
        <v>66</v>
      </c>
      <c r="J357">
        <v>72</v>
      </c>
      <c r="K357" t="s">
        <v>965</v>
      </c>
      <c r="L357" t="s">
        <v>966</v>
      </c>
      <c r="N357" t="s">
        <v>1003</v>
      </c>
    </row>
    <row r="358" spans="1:14" ht="14.5" x14ac:dyDescent="0.35">
      <c r="A358" t="s">
        <v>1474</v>
      </c>
      <c r="B358" s="2">
        <v>45737</v>
      </c>
      <c r="C358" t="s">
        <v>769</v>
      </c>
      <c r="D358" t="s">
        <v>40</v>
      </c>
      <c r="E358" t="s">
        <v>41</v>
      </c>
      <c r="F358" t="s">
        <v>987</v>
      </c>
      <c r="G358">
        <v>6</v>
      </c>
      <c r="H358" t="s">
        <v>970</v>
      </c>
      <c r="I358">
        <v>98</v>
      </c>
      <c r="J358">
        <v>53</v>
      </c>
      <c r="K358" t="s">
        <v>982</v>
      </c>
      <c r="L358" t="s">
        <v>966</v>
      </c>
      <c r="N358" t="s">
        <v>967</v>
      </c>
    </row>
    <row r="359" spans="1:14" ht="14.5" x14ac:dyDescent="0.35">
      <c r="A359" t="s">
        <v>1475</v>
      </c>
      <c r="B359" s="2">
        <v>46135</v>
      </c>
      <c r="C359" t="s">
        <v>1275</v>
      </c>
      <c r="D359" t="s">
        <v>159</v>
      </c>
      <c r="E359" t="s">
        <v>160</v>
      </c>
      <c r="F359" t="s">
        <v>977</v>
      </c>
      <c r="G359">
        <v>5</v>
      </c>
      <c r="H359" t="s">
        <v>970</v>
      </c>
      <c r="I359">
        <v>98</v>
      </c>
      <c r="J359">
        <v>99</v>
      </c>
      <c r="K359" t="s">
        <v>1000</v>
      </c>
      <c r="L359" t="s">
        <v>966</v>
      </c>
      <c r="N359" t="s">
        <v>973</v>
      </c>
    </row>
    <row r="360" spans="1:14" ht="14.5" x14ac:dyDescent="0.35">
      <c r="A360" t="s">
        <v>1476</v>
      </c>
      <c r="B360" s="2">
        <v>46136</v>
      </c>
      <c r="C360" t="s">
        <v>1477</v>
      </c>
      <c r="D360" t="s">
        <v>36</v>
      </c>
      <c r="E360" t="s">
        <v>62</v>
      </c>
      <c r="F360" t="s">
        <v>1012</v>
      </c>
      <c r="G360">
        <v>3</v>
      </c>
      <c r="H360" t="s">
        <v>995</v>
      </c>
      <c r="I360">
        <v>82</v>
      </c>
      <c r="J360">
        <v>66</v>
      </c>
      <c r="K360" t="s">
        <v>965</v>
      </c>
      <c r="L360" t="s">
        <v>966</v>
      </c>
      <c r="N360" t="s">
        <v>967</v>
      </c>
    </row>
    <row r="361" spans="1:14" ht="14.5" x14ac:dyDescent="0.35">
      <c r="A361" t="s">
        <v>1478</v>
      </c>
      <c r="B361" s="2">
        <v>45729</v>
      </c>
      <c r="C361" t="s">
        <v>1479</v>
      </c>
      <c r="D361" t="s">
        <v>27</v>
      </c>
      <c r="E361" t="s">
        <v>87</v>
      </c>
      <c r="F361" t="s">
        <v>992</v>
      </c>
      <c r="G361">
        <v>2</v>
      </c>
      <c r="H361" t="s">
        <v>958</v>
      </c>
      <c r="I361">
        <v>64</v>
      </c>
      <c r="J361">
        <v>81</v>
      </c>
      <c r="K361" t="s">
        <v>1000</v>
      </c>
      <c r="L361" t="s">
        <v>966</v>
      </c>
      <c r="N361" t="s">
        <v>973</v>
      </c>
    </row>
    <row r="362" spans="1:14" ht="14.5" x14ac:dyDescent="0.35">
      <c r="A362" t="s">
        <v>1480</v>
      </c>
      <c r="B362" s="2">
        <v>46149</v>
      </c>
      <c r="C362" t="s">
        <v>542</v>
      </c>
      <c r="D362" t="s">
        <v>56</v>
      </c>
      <c r="E362" t="s">
        <v>217</v>
      </c>
      <c r="F362" t="s">
        <v>957</v>
      </c>
      <c r="G362">
        <v>2</v>
      </c>
      <c r="H362" t="s">
        <v>964</v>
      </c>
      <c r="I362">
        <v>93</v>
      </c>
      <c r="J362">
        <v>56</v>
      </c>
      <c r="K362" t="s">
        <v>993</v>
      </c>
      <c r="L362" t="s">
        <v>966</v>
      </c>
      <c r="N362" t="s">
        <v>1003</v>
      </c>
    </row>
    <row r="363" spans="1:14" ht="14.5" x14ac:dyDescent="0.35">
      <c r="A363" t="s">
        <v>1481</v>
      </c>
      <c r="B363" s="2">
        <v>46131</v>
      </c>
      <c r="C363" t="s">
        <v>342</v>
      </c>
      <c r="D363" t="s">
        <v>36</v>
      </c>
      <c r="E363" t="s">
        <v>62</v>
      </c>
      <c r="F363" t="s">
        <v>963</v>
      </c>
      <c r="G363">
        <v>8</v>
      </c>
      <c r="H363" t="s">
        <v>958</v>
      </c>
      <c r="I363">
        <v>76</v>
      </c>
      <c r="J363">
        <v>50</v>
      </c>
      <c r="K363" t="s">
        <v>1000</v>
      </c>
      <c r="L363" t="s">
        <v>966</v>
      </c>
      <c r="N363" t="s">
        <v>961</v>
      </c>
    </row>
    <row r="364" spans="1:14" ht="14.5" x14ac:dyDescent="0.35">
      <c r="A364" t="s">
        <v>1482</v>
      </c>
      <c r="B364" s="2">
        <v>45972</v>
      </c>
      <c r="C364" t="s">
        <v>842</v>
      </c>
      <c r="D364" t="s">
        <v>40</v>
      </c>
      <c r="E364" t="s">
        <v>65</v>
      </c>
      <c r="F364" t="s">
        <v>1012</v>
      </c>
      <c r="G364">
        <v>3</v>
      </c>
      <c r="H364" t="s">
        <v>988</v>
      </c>
      <c r="I364">
        <v>78</v>
      </c>
      <c r="J364">
        <v>95</v>
      </c>
      <c r="K364" t="s">
        <v>971</v>
      </c>
      <c r="L364" t="s">
        <v>972</v>
      </c>
      <c r="N364" t="s">
        <v>961</v>
      </c>
    </row>
    <row r="365" spans="1:14" ht="14.5" x14ac:dyDescent="0.35">
      <c r="A365" t="s">
        <v>1483</v>
      </c>
      <c r="B365" s="2">
        <v>46204</v>
      </c>
      <c r="C365" t="s">
        <v>469</v>
      </c>
      <c r="D365" t="s">
        <v>69</v>
      </c>
      <c r="E365" t="s">
        <v>150</v>
      </c>
      <c r="F365" t="s">
        <v>1012</v>
      </c>
      <c r="G365">
        <v>10</v>
      </c>
      <c r="H365" t="s">
        <v>981</v>
      </c>
      <c r="I365">
        <v>46</v>
      </c>
      <c r="J365">
        <v>81</v>
      </c>
      <c r="K365" t="s">
        <v>993</v>
      </c>
      <c r="L365" t="s">
        <v>966</v>
      </c>
      <c r="N365" t="s">
        <v>978</v>
      </c>
    </row>
    <row r="366" spans="1:14" ht="14.5" x14ac:dyDescent="0.35">
      <c r="A366" t="s">
        <v>1484</v>
      </c>
      <c r="B366" s="2">
        <v>45689</v>
      </c>
      <c r="C366" t="s">
        <v>334</v>
      </c>
      <c r="D366" t="s">
        <v>52</v>
      </c>
      <c r="E366" t="s">
        <v>53</v>
      </c>
      <c r="F366" t="s">
        <v>975</v>
      </c>
      <c r="G366">
        <v>11</v>
      </c>
      <c r="H366" t="s">
        <v>964</v>
      </c>
      <c r="I366">
        <v>48</v>
      </c>
      <c r="J366">
        <v>76</v>
      </c>
      <c r="K366" t="s">
        <v>993</v>
      </c>
      <c r="L366" t="s">
        <v>966</v>
      </c>
      <c r="N366" t="s">
        <v>1003</v>
      </c>
    </row>
    <row r="367" spans="1:14" ht="14.5" x14ac:dyDescent="0.35">
      <c r="A367" t="s">
        <v>1485</v>
      </c>
      <c r="B367" s="2">
        <v>46147</v>
      </c>
      <c r="C367" t="s">
        <v>1136</v>
      </c>
      <c r="D367" t="s">
        <v>108</v>
      </c>
      <c r="E367" t="s">
        <v>109</v>
      </c>
      <c r="F367" t="s">
        <v>992</v>
      </c>
      <c r="G367">
        <v>6</v>
      </c>
      <c r="H367" t="s">
        <v>981</v>
      </c>
      <c r="I367">
        <v>53</v>
      </c>
      <c r="J367">
        <v>58</v>
      </c>
      <c r="K367" t="s">
        <v>982</v>
      </c>
      <c r="L367" t="s">
        <v>966</v>
      </c>
      <c r="N367" t="s">
        <v>973</v>
      </c>
    </row>
    <row r="368" spans="1:14" ht="14.5" x14ac:dyDescent="0.35">
      <c r="A368" t="s">
        <v>1486</v>
      </c>
      <c r="B368" s="2">
        <v>45925</v>
      </c>
      <c r="C368" t="s">
        <v>1070</v>
      </c>
      <c r="D368" t="s">
        <v>159</v>
      </c>
      <c r="E368" t="s">
        <v>269</v>
      </c>
      <c r="F368" t="s">
        <v>957</v>
      </c>
      <c r="G368">
        <v>9</v>
      </c>
      <c r="H368" t="s">
        <v>995</v>
      </c>
      <c r="I368">
        <v>54</v>
      </c>
      <c r="J368">
        <v>99</v>
      </c>
      <c r="K368" t="s">
        <v>965</v>
      </c>
      <c r="L368" t="s">
        <v>966</v>
      </c>
      <c r="N368" t="s">
        <v>967</v>
      </c>
    </row>
    <row r="369" spans="1:14" ht="14.5" x14ac:dyDescent="0.35">
      <c r="A369" t="s">
        <v>1487</v>
      </c>
      <c r="B369" s="2">
        <v>45718</v>
      </c>
      <c r="C369" t="s">
        <v>312</v>
      </c>
      <c r="D369" t="s">
        <v>21</v>
      </c>
      <c r="E369" t="s">
        <v>163</v>
      </c>
      <c r="F369" t="s">
        <v>992</v>
      </c>
      <c r="G369">
        <v>1</v>
      </c>
      <c r="H369" t="s">
        <v>995</v>
      </c>
      <c r="I369">
        <v>88</v>
      </c>
      <c r="J369">
        <v>61</v>
      </c>
      <c r="K369" t="s">
        <v>965</v>
      </c>
      <c r="L369" t="s">
        <v>966</v>
      </c>
      <c r="N369" t="s">
        <v>978</v>
      </c>
    </row>
    <row r="370" spans="1:14" ht="14.5" x14ac:dyDescent="0.35">
      <c r="A370" t="s">
        <v>1488</v>
      </c>
      <c r="B370" s="2">
        <v>46063</v>
      </c>
      <c r="C370" t="s">
        <v>726</v>
      </c>
      <c r="D370" t="s">
        <v>159</v>
      </c>
      <c r="E370" t="s">
        <v>482</v>
      </c>
      <c r="F370" t="s">
        <v>975</v>
      </c>
      <c r="G370">
        <v>4</v>
      </c>
      <c r="H370" t="s">
        <v>988</v>
      </c>
      <c r="I370">
        <v>49</v>
      </c>
      <c r="J370">
        <v>56</v>
      </c>
      <c r="K370" t="s">
        <v>1000</v>
      </c>
      <c r="L370" t="s">
        <v>966</v>
      </c>
      <c r="N370" t="s">
        <v>961</v>
      </c>
    </row>
    <row r="371" spans="1:14" ht="14.5" x14ac:dyDescent="0.35">
      <c r="A371" t="s">
        <v>1489</v>
      </c>
      <c r="B371" s="2">
        <v>45725</v>
      </c>
      <c r="C371" t="s">
        <v>385</v>
      </c>
      <c r="D371" t="s">
        <v>52</v>
      </c>
      <c r="E371" t="s">
        <v>53</v>
      </c>
      <c r="F371" t="s">
        <v>957</v>
      </c>
      <c r="G371">
        <v>8</v>
      </c>
      <c r="H371" t="s">
        <v>970</v>
      </c>
      <c r="I371">
        <v>62</v>
      </c>
      <c r="J371">
        <v>48</v>
      </c>
      <c r="K371" t="s">
        <v>982</v>
      </c>
      <c r="L371" t="s">
        <v>966</v>
      </c>
      <c r="N371" t="s">
        <v>967</v>
      </c>
    </row>
    <row r="372" spans="1:14" ht="14.5" x14ac:dyDescent="0.35">
      <c r="A372" t="s">
        <v>1490</v>
      </c>
      <c r="B372" s="2">
        <v>46117</v>
      </c>
      <c r="C372" t="s">
        <v>426</v>
      </c>
      <c r="D372" t="s">
        <v>27</v>
      </c>
      <c r="E372" t="s">
        <v>73</v>
      </c>
      <c r="F372" t="s">
        <v>977</v>
      </c>
      <c r="G372">
        <v>12</v>
      </c>
      <c r="H372" t="s">
        <v>981</v>
      </c>
      <c r="I372">
        <v>64</v>
      </c>
      <c r="J372">
        <v>50</v>
      </c>
      <c r="K372" t="s">
        <v>965</v>
      </c>
      <c r="L372" t="s">
        <v>966</v>
      </c>
      <c r="N372" t="s">
        <v>1003</v>
      </c>
    </row>
    <row r="373" spans="1:14" ht="14.5" x14ac:dyDescent="0.35">
      <c r="A373" t="s">
        <v>1491</v>
      </c>
      <c r="B373" s="2">
        <v>46083</v>
      </c>
      <c r="C373" t="s">
        <v>1259</v>
      </c>
      <c r="D373" t="s">
        <v>45</v>
      </c>
      <c r="E373" t="s">
        <v>239</v>
      </c>
      <c r="F373" t="s">
        <v>963</v>
      </c>
      <c r="G373">
        <v>11</v>
      </c>
      <c r="H373" t="s">
        <v>1029</v>
      </c>
      <c r="I373">
        <v>75</v>
      </c>
      <c r="J373">
        <v>90</v>
      </c>
      <c r="K373" t="s">
        <v>1000</v>
      </c>
      <c r="L373" t="s">
        <v>966</v>
      </c>
      <c r="N373" t="s">
        <v>967</v>
      </c>
    </row>
    <row r="374" spans="1:14" ht="14.5" x14ac:dyDescent="0.35">
      <c r="A374" t="s">
        <v>1492</v>
      </c>
      <c r="B374" s="2">
        <v>45828</v>
      </c>
      <c r="C374" t="s">
        <v>1370</v>
      </c>
      <c r="D374" t="s">
        <v>52</v>
      </c>
      <c r="E374" t="s">
        <v>195</v>
      </c>
      <c r="F374" t="s">
        <v>992</v>
      </c>
      <c r="G374">
        <v>6</v>
      </c>
      <c r="H374" t="s">
        <v>981</v>
      </c>
      <c r="I374">
        <v>94</v>
      </c>
      <c r="J374">
        <v>98</v>
      </c>
      <c r="K374" t="s">
        <v>965</v>
      </c>
      <c r="L374" t="s">
        <v>966</v>
      </c>
      <c r="N374" t="s">
        <v>973</v>
      </c>
    </row>
    <row r="375" spans="1:14" ht="14.5" x14ac:dyDescent="0.35">
      <c r="A375" t="s">
        <v>1493</v>
      </c>
      <c r="B375" s="2">
        <v>45668</v>
      </c>
      <c r="C375" t="s">
        <v>1053</v>
      </c>
      <c r="D375" t="s">
        <v>56</v>
      </c>
      <c r="E375" t="s">
        <v>57</v>
      </c>
      <c r="F375" t="s">
        <v>1012</v>
      </c>
      <c r="G375">
        <v>0</v>
      </c>
      <c r="H375" t="s">
        <v>995</v>
      </c>
      <c r="I375">
        <v>91</v>
      </c>
      <c r="J375">
        <v>52</v>
      </c>
      <c r="K375" t="s">
        <v>965</v>
      </c>
      <c r="L375" t="s">
        <v>966</v>
      </c>
      <c r="N375" t="s">
        <v>961</v>
      </c>
    </row>
    <row r="376" spans="1:14" ht="14.5" x14ac:dyDescent="0.35">
      <c r="A376" t="s">
        <v>1494</v>
      </c>
      <c r="B376" s="2">
        <v>46122</v>
      </c>
      <c r="C376" t="s">
        <v>186</v>
      </c>
      <c r="D376" t="s">
        <v>56</v>
      </c>
      <c r="E376" t="s">
        <v>57</v>
      </c>
      <c r="F376" t="s">
        <v>957</v>
      </c>
      <c r="G376">
        <v>6</v>
      </c>
      <c r="H376" t="s">
        <v>958</v>
      </c>
      <c r="I376">
        <v>49</v>
      </c>
      <c r="J376">
        <v>95</v>
      </c>
      <c r="K376" t="s">
        <v>982</v>
      </c>
      <c r="L376" t="s">
        <v>966</v>
      </c>
      <c r="N376" t="s">
        <v>967</v>
      </c>
    </row>
    <row r="377" spans="1:14" ht="14.5" x14ac:dyDescent="0.35">
      <c r="A377" t="s">
        <v>1495</v>
      </c>
      <c r="B377" s="2">
        <v>45990</v>
      </c>
      <c r="C377" t="s">
        <v>288</v>
      </c>
      <c r="D377" t="s">
        <v>108</v>
      </c>
      <c r="E377" t="s">
        <v>109</v>
      </c>
      <c r="F377" t="s">
        <v>957</v>
      </c>
      <c r="G377">
        <v>5</v>
      </c>
      <c r="H377" t="s">
        <v>964</v>
      </c>
      <c r="I377">
        <v>61</v>
      </c>
      <c r="J377">
        <v>82</v>
      </c>
      <c r="K377" t="s">
        <v>982</v>
      </c>
      <c r="L377" t="s">
        <v>966</v>
      </c>
      <c r="N377" t="s">
        <v>973</v>
      </c>
    </row>
    <row r="378" spans="1:14" ht="14.5" x14ac:dyDescent="0.35">
      <c r="A378" t="s">
        <v>1496</v>
      </c>
      <c r="B378" s="2">
        <v>46162</v>
      </c>
      <c r="C378" t="s">
        <v>290</v>
      </c>
      <c r="D378" t="s">
        <v>21</v>
      </c>
      <c r="E378" t="s">
        <v>153</v>
      </c>
      <c r="F378" t="s">
        <v>975</v>
      </c>
      <c r="G378">
        <v>9</v>
      </c>
      <c r="H378" t="s">
        <v>970</v>
      </c>
      <c r="I378">
        <v>54</v>
      </c>
      <c r="J378">
        <v>86</v>
      </c>
      <c r="K378" t="s">
        <v>971</v>
      </c>
      <c r="L378" t="s">
        <v>972</v>
      </c>
      <c r="N378" t="s">
        <v>1003</v>
      </c>
    </row>
    <row r="379" spans="1:14" ht="14.5" x14ac:dyDescent="0.35">
      <c r="A379" t="s">
        <v>1497</v>
      </c>
      <c r="B379" s="2">
        <v>45859</v>
      </c>
      <c r="C379" t="s">
        <v>1053</v>
      </c>
      <c r="D379" t="s">
        <v>45</v>
      </c>
      <c r="E379" t="s">
        <v>234</v>
      </c>
      <c r="F379" t="s">
        <v>963</v>
      </c>
      <c r="G379">
        <v>4</v>
      </c>
      <c r="H379" t="s">
        <v>970</v>
      </c>
      <c r="I379">
        <v>59</v>
      </c>
      <c r="J379">
        <v>83</v>
      </c>
      <c r="K379" t="s">
        <v>1000</v>
      </c>
      <c r="L379" t="s">
        <v>966</v>
      </c>
      <c r="N379" t="s">
        <v>973</v>
      </c>
    </row>
    <row r="380" spans="1:14" ht="14.5" x14ac:dyDescent="0.35">
      <c r="A380" t="s">
        <v>1498</v>
      </c>
      <c r="B380" s="2">
        <v>46013</v>
      </c>
      <c r="C380" t="s">
        <v>1398</v>
      </c>
      <c r="D380" t="s">
        <v>45</v>
      </c>
      <c r="E380" t="s">
        <v>234</v>
      </c>
      <c r="F380" t="s">
        <v>975</v>
      </c>
      <c r="G380">
        <v>2</v>
      </c>
      <c r="H380" t="s">
        <v>1029</v>
      </c>
      <c r="I380">
        <v>77</v>
      </c>
      <c r="J380">
        <v>70</v>
      </c>
      <c r="K380" t="s">
        <v>1000</v>
      </c>
      <c r="L380" t="s">
        <v>966</v>
      </c>
      <c r="N380" t="s">
        <v>973</v>
      </c>
    </row>
    <row r="381" spans="1:14" ht="14.5" x14ac:dyDescent="0.35">
      <c r="A381" t="s">
        <v>1499</v>
      </c>
      <c r="B381" s="2">
        <v>45884</v>
      </c>
      <c r="C381" t="s">
        <v>1500</v>
      </c>
      <c r="D381" t="s">
        <v>27</v>
      </c>
      <c r="E381" t="s">
        <v>28</v>
      </c>
      <c r="F381" t="s">
        <v>957</v>
      </c>
      <c r="G381">
        <v>3</v>
      </c>
      <c r="H381" t="s">
        <v>964</v>
      </c>
      <c r="I381">
        <v>46</v>
      </c>
      <c r="J381">
        <v>99</v>
      </c>
      <c r="K381" t="s">
        <v>1000</v>
      </c>
      <c r="L381" t="s">
        <v>966</v>
      </c>
      <c r="N381" t="s">
        <v>973</v>
      </c>
    </row>
    <row r="382" spans="1:14" ht="14.5" x14ac:dyDescent="0.35">
      <c r="A382" t="s">
        <v>1501</v>
      </c>
      <c r="B382" s="2">
        <v>45893</v>
      </c>
      <c r="C382" t="s">
        <v>137</v>
      </c>
      <c r="D382" t="s">
        <v>52</v>
      </c>
      <c r="E382" t="s">
        <v>195</v>
      </c>
      <c r="F382" t="s">
        <v>977</v>
      </c>
      <c r="G382">
        <v>6</v>
      </c>
      <c r="H382" t="s">
        <v>958</v>
      </c>
      <c r="I382">
        <v>64</v>
      </c>
      <c r="J382">
        <v>46</v>
      </c>
      <c r="K382" t="s">
        <v>982</v>
      </c>
      <c r="L382" t="s">
        <v>966</v>
      </c>
      <c r="N382" t="s">
        <v>1003</v>
      </c>
    </row>
    <row r="383" spans="1:14" ht="14.5" x14ac:dyDescent="0.35">
      <c r="A383" t="s">
        <v>1502</v>
      </c>
      <c r="B383" s="2">
        <v>46241</v>
      </c>
      <c r="C383" t="s">
        <v>203</v>
      </c>
      <c r="D383" t="s">
        <v>52</v>
      </c>
      <c r="E383" t="s">
        <v>53</v>
      </c>
      <c r="F383" t="s">
        <v>987</v>
      </c>
      <c r="G383">
        <v>8</v>
      </c>
      <c r="H383" t="s">
        <v>1029</v>
      </c>
      <c r="I383">
        <v>68</v>
      </c>
      <c r="J383">
        <v>52</v>
      </c>
      <c r="K383" t="s">
        <v>971</v>
      </c>
      <c r="L383" t="s">
        <v>972</v>
      </c>
      <c r="N383" t="s">
        <v>973</v>
      </c>
    </row>
    <row r="384" spans="1:14" ht="14.5" x14ac:dyDescent="0.35">
      <c r="A384" t="s">
        <v>1503</v>
      </c>
      <c r="B384" s="2">
        <v>45989</v>
      </c>
      <c r="C384" t="s">
        <v>481</v>
      </c>
      <c r="D384" t="s">
        <v>40</v>
      </c>
      <c r="E384" t="s">
        <v>41</v>
      </c>
      <c r="F384" t="s">
        <v>963</v>
      </c>
      <c r="G384">
        <v>1</v>
      </c>
      <c r="H384" t="s">
        <v>995</v>
      </c>
      <c r="I384">
        <v>70</v>
      </c>
      <c r="J384">
        <v>43</v>
      </c>
      <c r="K384" t="s">
        <v>965</v>
      </c>
      <c r="L384" t="s">
        <v>966</v>
      </c>
      <c r="N384" t="s">
        <v>961</v>
      </c>
    </row>
    <row r="385" spans="1:14" ht="14.5" x14ac:dyDescent="0.35">
      <c r="A385" t="s">
        <v>1504</v>
      </c>
      <c r="B385" s="2">
        <v>46032</v>
      </c>
      <c r="C385" t="s">
        <v>1178</v>
      </c>
      <c r="D385" t="s">
        <v>108</v>
      </c>
      <c r="E385" t="s">
        <v>114</v>
      </c>
      <c r="F385" t="s">
        <v>963</v>
      </c>
      <c r="G385">
        <v>5</v>
      </c>
      <c r="H385" t="s">
        <v>964</v>
      </c>
      <c r="I385">
        <v>65</v>
      </c>
      <c r="J385">
        <v>74</v>
      </c>
      <c r="K385" t="s">
        <v>982</v>
      </c>
      <c r="L385" t="s">
        <v>966</v>
      </c>
      <c r="N385" t="s">
        <v>961</v>
      </c>
    </row>
    <row r="386" spans="1:14" ht="14.5" x14ac:dyDescent="0.35">
      <c r="A386" t="s">
        <v>1505</v>
      </c>
      <c r="B386" s="2">
        <v>45813</v>
      </c>
      <c r="C386" t="s">
        <v>1506</v>
      </c>
      <c r="D386" t="s">
        <v>36</v>
      </c>
      <c r="E386" t="s">
        <v>93</v>
      </c>
      <c r="F386" t="s">
        <v>963</v>
      </c>
      <c r="G386">
        <v>10</v>
      </c>
      <c r="H386" t="s">
        <v>995</v>
      </c>
      <c r="I386">
        <v>97</v>
      </c>
      <c r="J386">
        <v>83</v>
      </c>
      <c r="K386" t="s">
        <v>971</v>
      </c>
      <c r="L386" t="s">
        <v>972</v>
      </c>
      <c r="N386" t="s">
        <v>961</v>
      </c>
    </row>
    <row r="387" spans="1:14" ht="14.5" x14ac:dyDescent="0.35">
      <c r="A387" t="s">
        <v>1507</v>
      </c>
      <c r="B387" s="2">
        <v>46038</v>
      </c>
      <c r="C387" t="s">
        <v>717</v>
      </c>
      <c r="D387" t="s">
        <v>45</v>
      </c>
      <c r="E387" t="s">
        <v>234</v>
      </c>
      <c r="F387" t="s">
        <v>977</v>
      </c>
      <c r="G387">
        <v>5</v>
      </c>
      <c r="H387" t="s">
        <v>981</v>
      </c>
      <c r="I387">
        <v>99</v>
      </c>
      <c r="J387">
        <v>45</v>
      </c>
      <c r="K387" t="s">
        <v>965</v>
      </c>
      <c r="L387" t="s">
        <v>966</v>
      </c>
      <c r="N387" t="s">
        <v>961</v>
      </c>
    </row>
    <row r="388" spans="1:14" ht="14.5" x14ac:dyDescent="0.35">
      <c r="A388" t="s">
        <v>1508</v>
      </c>
      <c r="B388" s="2">
        <v>46258</v>
      </c>
      <c r="C388" t="s">
        <v>404</v>
      </c>
      <c r="D388" t="s">
        <v>108</v>
      </c>
      <c r="E388" t="s">
        <v>114</v>
      </c>
      <c r="F388" t="s">
        <v>987</v>
      </c>
      <c r="G388">
        <v>1</v>
      </c>
      <c r="H388" t="s">
        <v>970</v>
      </c>
      <c r="I388">
        <v>99</v>
      </c>
      <c r="J388">
        <v>55</v>
      </c>
      <c r="K388" t="s">
        <v>982</v>
      </c>
      <c r="L388" t="s">
        <v>966</v>
      </c>
      <c r="N388" t="s">
        <v>973</v>
      </c>
    </row>
    <row r="389" spans="1:14" ht="14.5" x14ac:dyDescent="0.35">
      <c r="A389" t="s">
        <v>1509</v>
      </c>
      <c r="B389" s="2">
        <v>45918</v>
      </c>
      <c r="C389" t="s">
        <v>231</v>
      </c>
      <c r="D389" t="s">
        <v>36</v>
      </c>
      <c r="E389" t="s">
        <v>62</v>
      </c>
      <c r="F389" t="s">
        <v>963</v>
      </c>
      <c r="G389">
        <v>12</v>
      </c>
      <c r="H389" t="s">
        <v>964</v>
      </c>
      <c r="I389">
        <v>49</v>
      </c>
      <c r="J389">
        <v>79</v>
      </c>
      <c r="K389" t="s">
        <v>971</v>
      </c>
      <c r="L389" t="s">
        <v>972</v>
      </c>
      <c r="N389" t="s">
        <v>978</v>
      </c>
    </row>
    <row r="390" spans="1:14" ht="14.5" x14ac:dyDescent="0.35">
      <c r="A390" t="s">
        <v>1510</v>
      </c>
      <c r="B390" s="2">
        <v>46166</v>
      </c>
      <c r="C390" t="s">
        <v>1295</v>
      </c>
      <c r="D390" t="s">
        <v>40</v>
      </c>
      <c r="E390" t="s">
        <v>293</v>
      </c>
      <c r="F390" t="s">
        <v>963</v>
      </c>
      <c r="G390">
        <v>1</v>
      </c>
      <c r="H390" t="s">
        <v>958</v>
      </c>
      <c r="I390">
        <v>70</v>
      </c>
      <c r="J390">
        <v>67</v>
      </c>
      <c r="K390" t="s">
        <v>959</v>
      </c>
      <c r="L390" t="s">
        <v>960</v>
      </c>
      <c r="M390">
        <v>21</v>
      </c>
      <c r="N390" t="s">
        <v>973</v>
      </c>
    </row>
    <row r="391" spans="1:14" ht="14.5" x14ac:dyDescent="0.35">
      <c r="A391" t="s">
        <v>1511</v>
      </c>
      <c r="B391" s="2">
        <v>45781</v>
      </c>
      <c r="C391" t="s">
        <v>1279</v>
      </c>
      <c r="D391" t="s">
        <v>52</v>
      </c>
      <c r="E391" t="s">
        <v>224</v>
      </c>
      <c r="F391" t="s">
        <v>992</v>
      </c>
      <c r="G391">
        <v>11</v>
      </c>
      <c r="H391" t="s">
        <v>970</v>
      </c>
      <c r="I391">
        <v>71</v>
      </c>
      <c r="J391">
        <v>48</v>
      </c>
      <c r="K391" t="s">
        <v>982</v>
      </c>
      <c r="L391" t="s">
        <v>966</v>
      </c>
      <c r="N391" t="s">
        <v>978</v>
      </c>
    </row>
    <row r="392" spans="1:14" ht="14.5" x14ac:dyDescent="0.35">
      <c r="A392" t="s">
        <v>1512</v>
      </c>
      <c r="B392" s="2">
        <v>45792</v>
      </c>
      <c r="C392" t="s">
        <v>1513</v>
      </c>
      <c r="D392" t="s">
        <v>69</v>
      </c>
      <c r="E392" t="s">
        <v>150</v>
      </c>
      <c r="F392" t="s">
        <v>963</v>
      </c>
      <c r="G392">
        <v>0</v>
      </c>
      <c r="H392" t="s">
        <v>995</v>
      </c>
      <c r="I392">
        <v>100</v>
      </c>
      <c r="J392">
        <v>89</v>
      </c>
      <c r="K392" t="s">
        <v>965</v>
      </c>
      <c r="L392" t="s">
        <v>966</v>
      </c>
      <c r="N392" t="s">
        <v>1003</v>
      </c>
    </row>
    <row r="393" spans="1:14" ht="14.5" x14ac:dyDescent="0.35">
      <c r="A393" t="s">
        <v>1514</v>
      </c>
      <c r="B393" s="2">
        <v>45979</v>
      </c>
      <c r="C393" t="s">
        <v>1206</v>
      </c>
      <c r="D393" t="s">
        <v>159</v>
      </c>
      <c r="E393" t="s">
        <v>160</v>
      </c>
      <c r="F393" t="s">
        <v>992</v>
      </c>
      <c r="G393">
        <v>9</v>
      </c>
      <c r="H393" t="s">
        <v>964</v>
      </c>
      <c r="I393">
        <v>80</v>
      </c>
      <c r="J393">
        <v>82</v>
      </c>
      <c r="K393" t="s">
        <v>993</v>
      </c>
      <c r="L393" t="s">
        <v>966</v>
      </c>
      <c r="N393" t="s">
        <v>978</v>
      </c>
    </row>
    <row r="394" spans="1:14" ht="14.5" x14ac:dyDescent="0.35">
      <c r="A394" t="s">
        <v>1515</v>
      </c>
      <c r="B394" s="2">
        <v>46129</v>
      </c>
      <c r="C394" t="s">
        <v>998</v>
      </c>
      <c r="D394" t="s">
        <v>45</v>
      </c>
      <c r="E394" t="s">
        <v>239</v>
      </c>
      <c r="F394" t="s">
        <v>987</v>
      </c>
      <c r="G394">
        <v>1</v>
      </c>
      <c r="H394" t="s">
        <v>988</v>
      </c>
      <c r="I394">
        <v>64</v>
      </c>
      <c r="J394">
        <v>52</v>
      </c>
      <c r="K394" t="s">
        <v>971</v>
      </c>
      <c r="L394" t="s">
        <v>972</v>
      </c>
      <c r="N394" t="s">
        <v>961</v>
      </c>
    </row>
    <row r="395" spans="1:14" ht="14.5" x14ac:dyDescent="0.35">
      <c r="A395" t="s">
        <v>1516</v>
      </c>
      <c r="B395" s="2">
        <v>45769</v>
      </c>
      <c r="C395" t="s">
        <v>757</v>
      </c>
      <c r="D395" t="s">
        <v>45</v>
      </c>
      <c r="E395" t="s">
        <v>296</v>
      </c>
      <c r="F395" t="s">
        <v>992</v>
      </c>
      <c r="G395">
        <v>0</v>
      </c>
      <c r="H395" t="s">
        <v>995</v>
      </c>
      <c r="I395">
        <v>50</v>
      </c>
      <c r="J395">
        <v>98</v>
      </c>
      <c r="K395" t="s">
        <v>993</v>
      </c>
      <c r="L395" t="s">
        <v>966</v>
      </c>
      <c r="N395" t="s">
        <v>961</v>
      </c>
    </row>
    <row r="396" spans="1:14" ht="14.5" x14ac:dyDescent="0.35">
      <c r="A396" t="s">
        <v>1517</v>
      </c>
      <c r="B396" s="2">
        <v>45810</v>
      </c>
      <c r="C396" t="s">
        <v>365</v>
      </c>
      <c r="D396" t="s">
        <v>69</v>
      </c>
      <c r="E396" t="s">
        <v>319</v>
      </c>
      <c r="F396" t="s">
        <v>1012</v>
      </c>
      <c r="G396">
        <v>7</v>
      </c>
      <c r="H396" t="s">
        <v>988</v>
      </c>
      <c r="I396">
        <v>98</v>
      </c>
      <c r="J396">
        <v>72</v>
      </c>
      <c r="K396" t="s">
        <v>1000</v>
      </c>
      <c r="L396" t="s">
        <v>966</v>
      </c>
      <c r="N396" t="s">
        <v>973</v>
      </c>
    </row>
    <row r="397" spans="1:14" ht="14.5" x14ac:dyDescent="0.35">
      <c r="A397" t="s">
        <v>1518</v>
      </c>
      <c r="B397" s="2">
        <v>46058</v>
      </c>
      <c r="C397" t="s">
        <v>1519</v>
      </c>
      <c r="D397" t="s">
        <v>52</v>
      </c>
      <c r="E397" t="s">
        <v>498</v>
      </c>
      <c r="F397" t="s">
        <v>987</v>
      </c>
      <c r="G397">
        <v>10</v>
      </c>
      <c r="H397" t="s">
        <v>958</v>
      </c>
      <c r="I397">
        <v>52</v>
      </c>
      <c r="J397">
        <v>64</v>
      </c>
      <c r="K397" t="s">
        <v>982</v>
      </c>
      <c r="L397" t="s">
        <v>966</v>
      </c>
      <c r="N397" t="s">
        <v>967</v>
      </c>
    </row>
    <row r="398" spans="1:14" ht="14.5" x14ac:dyDescent="0.35">
      <c r="A398" t="s">
        <v>1520</v>
      </c>
      <c r="B398" s="2">
        <v>45748</v>
      </c>
      <c r="C398" t="s">
        <v>1070</v>
      </c>
      <c r="D398" t="s">
        <v>108</v>
      </c>
      <c r="E398" t="s">
        <v>126</v>
      </c>
      <c r="F398" t="s">
        <v>987</v>
      </c>
      <c r="G398">
        <v>8</v>
      </c>
      <c r="H398" t="s">
        <v>970</v>
      </c>
      <c r="I398">
        <v>97</v>
      </c>
      <c r="J398">
        <v>83</v>
      </c>
      <c r="K398" t="s">
        <v>993</v>
      </c>
      <c r="L398" t="s">
        <v>966</v>
      </c>
      <c r="N398" t="s">
        <v>961</v>
      </c>
    </row>
    <row r="399" spans="1:14" ht="14.5" x14ac:dyDescent="0.35">
      <c r="A399" t="s">
        <v>1521</v>
      </c>
      <c r="B399" s="2">
        <v>46000</v>
      </c>
      <c r="C399" t="s">
        <v>569</v>
      </c>
      <c r="D399" t="s">
        <v>45</v>
      </c>
      <c r="E399" t="s">
        <v>239</v>
      </c>
      <c r="F399" t="s">
        <v>975</v>
      </c>
      <c r="G399">
        <v>6</v>
      </c>
      <c r="H399" t="s">
        <v>1029</v>
      </c>
      <c r="I399">
        <v>93</v>
      </c>
      <c r="J399">
        <v>75</v>
      </c>
      <c r="K399" t="s">
        <v>1000</v>
      </c>
      <c r="L399" t="s">
        <v>966</v>
      </c>
      <c r="N399" t="s">
        <v>967</v>
      </c>
    </row>
    <row r="400" spans="1:14" ht="14.5" x14ac:dyDescent="0.35">
      <c r="A400" t="s">
        <v>1522</v>
      </c>
      <c r="B400" s="2">
        <v>46148</v>
      </c>
      <c r="C400" t="s">
        <v>267</v>
      </c>
      <c r="D400" t="s">
        <v>52</v>
      </c>
      <c r="E400" t="s">
        <v>176</v>
      </c>
      <c r="F400" t="s">
        <v>987</v>
      </c>
      <c r="G400">
        <v>2</v>
      </c>
      <c r="H400" t="s">
        <v>964</v>
      </c>
      <c r="I400">
        <v>90</v>
      </c>
      <c r="J400">
        <v>71</v>
      </c>
      <c r="K400" t="s">
        <v>965</v>
      </c>
      <c r="L400" t="s">
        <v>966</v>
      </c>
      <c r="N400" t="s">
        <v>1003</v>
      </c>
    </row>
    <row r="401" spans="1:14" ht="14.5" x14ac:dyDescent="0.35">
      <c r="A401" t="s">
        <v>1523</v>
      </c>
      <c r="B401" s="2">
        <v>45855</v>
      </c>
      <c r="C401" t="s">
        <v>428</v>
      </c>
      <c r="D401" t="s">
        <v>108</v>
      </c>
      <c r="E401" t="s">
        <v>109</v>
      </c>
      <c r="F401" t="s">
        <v>1012</v>
      </c>
      <c r="G401">
        <v>7</v>
      </c>
      <c r="H401" t="s">
        <v>1029</v>
      </c>
      <c r="I401">
        <v>58</v>
      </c>
      <c r="J401">
        <v>62</v>
      </c>
      <c r="K401" t="s">
        <v>993</v>
      </c>
      <c r="L401" t="s">
        <v>966</v>
      </c>
      <c r="N401" t="s">
        <v>961</v>
      </c>
    </row>
    <row r="402" spans="1:14" ht="14.5" x14ac:dyDescent="0.35">
      <c r="A402" t="s">
        <v>1524</v>
      </c>
      <c r="B402" s="2">
        <v>45708</v>
      </c>
      <c r="C402" t="s">
        <v>1525</v>
      </c>
      <c r="D402" t="s">
        <v>27</v>
      </c>
      <c r="E402" t="s">
        <v>87</v>
      </c>
      <c r="F402" t="s">
        <v>977</v>
      </c>
      <c r="G402">
        <v>12</v>
      </c>
      <c r="H402" t="s">
        <v>988</v>
      </c>
      <c r="I402">
        <v>70</v>
      </c>
      <c r="J402">
        <v>78</v>
      </c>
      <c r="K402" t="s">
        <v>993</v>
      </c>
      <c r="L402" t="s">
        <v>966</v>
      </c>
      <c r="N402" t="s">
        <v>967</v>
      </c>
    </row>
    <row r="403" spans="1:14" ht="14.5" x14ac:dyDescent="0.35">
      <c r="A403" t="s">
        <v>1526</v>
      </c>
      <c r="B403" s="2">
        <v>45763</v>
      </c>
      <c r="C403" t="s">
        <v>221</v>
      </c>
      <c r="D403" t="s">
        <v>45</v>
      </c>
      <c r="E403" t="s">
        <v>46</v>
      </c>
      <c r="F403" t="s">
        <v>957</v>
      </c>
      <c r="G403">
        <v>10</v>
      </c>
      <c r="H403" t="s">
        <v>958</v>
      </c>
      <c r="I403">
        <v>61</v>
      </c>
      <c r="J403">
        <v>62</v>
      </c>
      <c r="K403" t="s">
        <v>982</v>
      </c>
      <c r="L403" t="s">
        <v>966</v>
      </c>
      <c r="N403" t="s">
        <v>978</v>
      </c>
    </row>
    <row r="404" spans="1:14" ht="14.5" x14ac:dyDescent="0.35">
      <c r="A404" t="s">
        <v>1527</v>
      </c>
      <c r="B404" s="2">
        <v>46054</v>
      </c>
      <c r="C404" t="s">
        <v>184</v>
      </c>
      <c r="D404" t="s">
        <v>21</v>
      </c>
      <c r="E404" t="s">
        <v>163</v>
      </c>
      <c r="F404" t="s">
        <v>1012</v>
      </c>
      <c r="G404">
        <v>7</v>
      </c>
      <c r="H404" t="s">
        <v>988</v>
      </c>
      <c r="I404">
        <v>61</v>
      </c>
      <c r="J404">
        <v>76</v>
      </c>
      <c r="K404" t="s">
        <v>965</v>
      </c>
      <c r="L404" t="s">
        <v>966</v>
      </c>
      <c r="N404" t="s">
        <v>978</v>
      </c>
    </row>
    <row r="405" spans="1:14" ht="14.5" x14ac:dyDescent="0.35">
      <c r="A405" t="s">
        <v>1528</v>
      </c>
      <c r="B405" s="2">
        <v>45728</v>
      </c>
      <c r="C405" t="s">
        <v>1529</v>
      </c>
      <c r="D405" t="s">
        <v>108</v>
      </c>
      <c r="E405" t="s">
        <v>126</v>
      </c>
      <c r="F405" t="s">
        <v>975</v>
      </c>
      <c r="G405">
        <v>8</v>
      </c>
      <c r="H405" t="s">
        <v>970</v>
      </c>
      <c r="I405">
        <v>66</v>
      </c>
      <c r="J405">
        <v>88</v>
      </c>
      <c r="K405" t="s">
        <v>1000</v>
      </c>
      <c r="L405" t="s">
        <v>966</v>
      </c>
      <c r="N405" t="s">
        <v>1003</v>
      </c>
    </row>
    <row r="406" spans="1:14" ht="14.5" x14ac:dyDescent="0.35">
      <c r="A406" t="s">
        <v>1530</v>
      </c>
      <c r="B406" s="2">
        <v>46017</v>
      </c>
      <c r="C406" t="s">
        <v>1531</v>
      </c>
      <c r="D406" t="s">
        <v>56</v>
      </c>
      <c r="E406" t="s">
        <v>79</v>
      </c>
      <c r="F406" t="s">
        <v>963</v>
      </c>
      <c r="G406">
        <v>10</v>
      </c>
      <c r="H406" t="s">
        <v>1029</v>
      </c>
      <c r="I406">
        <v>83</v>
      </c>
      <c r="J406">
        <v>90</v>
      </c>
      <c r="K406" t="s">
        <v>993</v>
      </c>
      <c r="L406" t="s">
        <v>966</v>
      </c>
      <c r="N406" t="s">
        <v>961</v>
      </c>
    </row>
    <row r="407" spans="1:14" ht="14.5" x14ac:dyDescent="0.35">
      <c r="A407" t="s">
        <v>1532</v>
      </c>
      <c r="B407" s="2">
        <v>46107</v>
      </c>
      <c r="C407" t="s">
        <v>1533</v>
      </c>
      <c r="D407" t="s">
        <v>27</v>
      </c>
      <c r="E407" t="s">
        <v>28</v>
      </c>
      <c r="F407" t="s">
        <v>957</v>
      </c>
      <c r="G407">
        <v>3</v>
      </c>
      <c r="H407" t="s">
        <v>970</v>
      </c>
      <c r="I407">
        <v>82</v>
      </c>
      <c r="J407">
        <v>99</v>
      </c>
      <c r="K407" t="s">
        <v>965</v>
      </c>
      <c r="L407" t="s">
        <v>966</v>
      </c>
      <c r="N407" t="s">
        <v>967</v>
      </c>
    </row>
    <row r="408" spans="1:14" ht="14.5" x14ac:dyDescent="0.35">
      <c r="A408" t="s">
        <v>1534</v>
      </c>
      <c r="B408" s="2">
        <v>45997</v>
      </c>
      <c r="C408" t="s">
        <v>121</v>
      </c>
      <c r="D408" t="s">
        <v>40</v>
      </c>
      <c r="E408" t="s">
        <v>65</v>
      </c>
      <c r="F408" t="s">
        <v>975</v>
      </c>
      <c r="G408">
        <v>12</v>
      </c>
      <c r="H408" t="s">
        <v>981</v>
      </c>
      <c r="I408">
        <v>95</v>
      </c>
      <c r="J408">
        <v>53</v>
      </c>
      <c r="K408" t="s">
        <v>965</v>
      </c>
      <c r="L408" t="s">
        <v>966</v>
      </c>
      <c r="N408" t="s">
        <v>973</v>
      </c>
    </row>
    <row r="409" spans="1:14" ht="14.5" x14ac:dyDescent="0.35">
      <c r="A409" t="s">
        <v>1535</v>
      </c>
      <c r="B409" s="2">
        <v>45862</v>
      </c>
      <c r="C409" t="s">
        <v>231</v>
      </c>
      <c r="D409" t="s">
        <v>52</v>
      </c>
      <c r="E409" t="s">
        <v>53</v>
      </c>
      <c r="F409" t="s">
        <v>1012</v>
      </c>
      <c r="G409">
        <v>1</v>
      </c>
      <c r="H409" t="s">
        <v>981</v>
      </c>
      <c r="I409">
        <v>69</v>
      </c>
      <c r="J409">
        <v>71</v>
      </c>
      <c r="K409" t="s">
        <v>971</v>
      </c>
      <c r="L409" t="s">
        <v>972</v>
      </c>
      <c r="N409" t="s">
        <v>973</v>
      </c>
    </row>
    <row r="410" spans="1:14" ht="14.5" x14ac:dyDescent="0.35">
      <c r="A410" t="s">
        <v>1536</v>
      </c>
      <c r="B410" s="2">
        <v>46038</v>
      </c>
      <c r="C410" t="s">
        <v>155</v>
      </c>
      <c r="D410" t="s">
        <v>56</v>
      </c>
      <c r="E410" t="s">
        <v>79</v>
      </c>
      <c r="F410" t="s">
        <v>957</v>
      </c>
      <c r="G410">
        <v>4</v>
      </c>
      <c r="H410" t="s">
        <v>970</v>
      </c>
      <c r="I410">
        <v>80</v>
      </c>
      <c r="J410">
        <v>70</v>
      </c>
      <c r="K410" t="s">
        <v>971</v>
      </c>
      <c r="L410" t="s">
        <v>972</v>
      </c>
      <c r="N410" t="s">
        <v>961</v>
      </c>
    </row>
    <row r="411" spans="1:14" ht="14.5" x14ac:dyDescent="0.35">
      <c r="A411" t="s">
        <v>1537</v>
      </c>
      <c r="B411" s="2">
        <v>45955</v>
      </c>
      <c r="C411" t="s">
        <v>497</v>
      </c>
      <c r="D411" t="s">
        <v>159</v>
      </c>
      <c r="E411" t="s">
        <v>269</v>
      </c>
      <c r="F411" t="s">
        <v>1012</v>
      </c>
      <c r="G411">
        <v>5</v>
      </c>
      <c r="H411" t="s">
        <v>995</v>
      </c>
      <c r="I411">
        <v>65</v>
      </c>
      <c r="J411">
        <v>41</v>
      </c>
      <c r="K411" t="s">
        <v>971</v>
      </c>
      <c r="L411" t="s">
        <v>972</v>
      </c>
      <c r="N411" t="s">
        <v>967</v>
      </c>
    </row>
    <row r="412" spans="1:14" ht="14.5" x14ac:dyDescent="0.35">
      <c r="A412" t="s">
        <v>1538</v>
      </c>
      <c r="B412" s="2">
        <v>46235</v>
      </c>
      <c r="C412" t="s">
        <v>1212</v>
      </c>
      <c r="D412" t="s">
        <v>52</v>
      </c>
      <c r="E412" t="s">
        <v>53</v>
      </c>
      <c r="F412" t="s">
        <v>975</v>
      </c>
      <c r="G412">
        <v>9</v>
      </c>
      <c r="H412" t="s">
        <v>964</v>
      </c>
      <c r="I412">
        <v>80</v>
      </c>
      <c r="J412">
        <v>93</v>
      </c>
      <c r="K412" t="s">
        <v>965</v>
      </c>
      <c r="L412" t="s">
        <v>966</v>
      </c>
      <c r="N412" t="s">
        <v>978</v>
      </c>
    </row>
    <row r="413" spans="1:14" ht="14.5" x14ac:dyDescent="0.35">
      <c r="A413" t="s">
        <v>1539</v>
      </c>
      <c r="B413" s="2">
        <v>46180</v>
      </c>
      <c r="C413" t="s">
        <v>1531</v>
      </c>
      <c r="D413" t="s">
        <v>69</v>
      </c>
      <c r="E413" t="s">
        <v>319</v>
      </c>
      <c r="F413" t="s">
        <v>987</v>
      </c>
      <c r="G413">
        <v>7</v>
      </c>
      <c r="H413" t="s">
        <v>1029</v>
      </c>
      <c r="I413">
        <v>53</v>
      </c>
      <c r="J413">
        <v>59</v>
      </c>
      <c r="K413" t="s">
        <v>993</v>
      </c>
      <c r="L413" t="s">
        <v>966</v>
      </c>
      <c r="N413" t="s">
        <v>1003</v>
      </c>
    </row>
    <row r="414" spans="1:14" ht="14.5" x14ac:dyDescent="0.35">
      <c r="A414" t="s">
        <v>1540</v>
      </c>
      <c r="B414" s="2">
        <v>45883</v>
      </c>
      <c r="C414" t="s">
        <v>737</v>
      </c>
      <c r="D414" t="s">
        <v>69</v>
      </c>
      <c r="E414" t="s">
        <v>319</v>
      </c>
      <c r="F414" t="s">
        <v>963</v>
      </c>
      <c r="G414">
        <v>12</v>
      </c>
      <c r="H414" t="s">
        <v>1029</v>
      </c>
      <c r="I414">
        <v>87</v>
      </c>
      <c r="J414">
        <v>43</v>
      </c>
      <c r="K414" t="s">
        <v>965</v>
      </c>
      <c r="L414" t="s">
        <v>966</v>
      </c>
      <c r="N414" t="s">
        <v>1003</v>
      </c>
    </row>
    <row r="415" spans="1:14" ht="14.5" x14ac:dyDescent="0.35">
      <c r="A415" t="s">
        <v>1541</v>
      </c>
      <c r="B415" s="2">
        <v>45972</v>
      </c>
      <c r="C415" t="s">
        <v>314</v>
      </c>
      <c r="D415" t="s">
        <v>159</v>
      </c>
      <c r="E415" t="s">
        <v>187</v>
      </c>
      <c r="F415" t="s">
        <v>987</v>
      </c>
      <c r="G415">
        <v>9</v>
      </c>
      <c r="H415" t="s">
        <v>958</v>
      </c>
      <c r="I415">
        <v>59</v>
      </c>
      <c r="J415">
        <v>41</v>
      </c>
      <c r="K415" t="s">
        <v>1000</v>
      </c>
      <c r="L415" t="s">
        <v>966</v>
      </c>
      <c r="N415" t="s">
        <v>967</v>
      </c>
    </row>
    <row r="416" spans="1:14" ht="14.5" x14ac:dyDescent="0.35">
      <c r="A416" t="s">
        <v>1542</v>
      </c>
      <c r="B416" s="2">
        <v>45979</v>
      </c>
      <c r="C416" t="s">
        <v>396</v>
      </c>
      <c r="D416" t="s">
        <v>45</v>
      </c>
      <c r="E416" t="s">
        <v>239</v>
      </c>
      <c r="F416" t="s">
        <v>975</v>
      </c>
      <c r="G416">
        <v>4</v>
      </c>
      <c r="H416" t="s">
        <v>964</v>
      </c>
      <c r="I416">
        <v>71</v>
      </c>
      <c r="J416">
        <v>88</v>
      </c>
      <c r="K416" t="s">
        <v>993</v>
      </c>
      <c r="L416" t="s">
        <v>966</v>
      </c>
      <c r="N416" t="s">
        <v>973</v>
      </c>
    </row>
    <row r="417" spans="1:14" ht="14.5" x14ac:dyDescent="0.35">
      <c r="A417" t="s">
        <v>1543</v>
      </c>
      <c r="B417" s="2">
        <v>46192</v>
      </c>
      <c r="C417" t="s">
        <v>991</v>
      </c>
      <c r="D417" t="s">
        <v>40</v>
      </c>
      <c r="E417" t="s">
        <v>41</v>
      </c>
      <c r="F417" t="s">
        <v>975</v>
      </c>
      <c r="G417">
        <v>9</v>
      </c>
      <c r="H417" t="s">
        <v>981</v>
      </c>
      <c r="I417">
        <v>96</v>
      </c>
      <c r="J417">
        <v>64</v>
      </c>
      <c r="K417" t="s">
        <v>965</v>
      </c>
      <c r="L417" t="s">
        <v>966</v>
      </c>
      <c r="N417" t="s">
        <v>1003</v>
      </c>
    </row>
    <row r="418" spans="1:14" ht="14.5" x14ac:dyDescent="0.35">
      <c r="A418" t="s">
        <v>1544</v>
      </c>
      <c r="B418" s="2">
        <v>45662</v>
      </c>
      <c r="C418" t="s">
        <v>1244</v>
      </c>
      <c r="D418" t="s">
        <v>56</v>
      </c>
      <c r="E418" t="s">
        <v>79</v>
      </c>
      <c r="F418" t="s">
        <v>987</v>
      </c>
      <c r="G418">
        <v>2</v>
      </c>
      <c r="H418" t="s">
        <v>970</v>
      </c>
      <c r="I418">
        <v>53</v>
      </c>
      <c r="J418">
        <v>55</v>
      </c>
      <c r="K418" t="s">
        <v>965</v>
      </c>
      <c r="L418" t="s">
        <v>966</v>
      </c>
      <c r="N418" t="s">
        <v>978</v>
      </c>
    </row>
    <row r="419" spans="1:14" ht="14.5" x14ac:dyDescent="0.35">
      <c r="A419" t="s">
        <v>1545</v>
      </c>
      <c r="B419" s="2">
        <v>45762</v>
      </c>
      <c r="C419" t="s">
        <v>388</v>
      </c>
      <c r="D419" t="s">
        <v>108</v>
      </c>
      <c r="E419" t="s">
        <v>206</v>
      </c>
      <c r="F419" t="s">
        <v>992</v>
      </c>
      <c r="G419">
        <v>2</v>
      </c>
      <c r="H419" t="s">
        <v>995</v>
      </c>
      <c r="I419">
        <v>68</v>
      </c>
      <c r="J419">
        <v>45</v>
      </c>
      <c r="K419" t="s">
        <v>971</v>
      </c>
      <c r="L419" t="s">
        <v>972</v>
      </c>
      <c r="N419" t="s">
        <v>1003</v>
      </c>
    </row>
    <row r="420" spans="1:14" ht="14.5" x14ac:dyDescent="0.35">
      <c r="A420" t="s">
        <v>1546</v>
      </c>
      <c r="B420" s="2">
        <v>45827</v>
      </c>
      <c r="C420" t="s">
        <v>860</v>
      </c>
      <c r="D420" t="s">
        <v>21</v>
      </c>
      <c r="E420" t="s">
        <v>49</v>
      </c>
      <c r="F420" t="s">
        <v>987</v>
      </c>
      <c r="G420">
        <v>12</v>
      </c>
      <c r="H420" t="s">
        <v>958</v>
      </c>
      <c r="I420">
        <v>100</v>
      </c>
      <c r="J420">
        <v>72</v>
      </c>
      <c r="K420" t="s">
        <v>982</v>
      </c>
      <c r="L420" t="s">
        <v>966</v>
      </c>
      <c r="N420" t="s">
        <v>978</v>
      </c>
    </row>
    <row r="421" spans="1:14" ht="14.5" x14ac:dyDescent="0.35">
      <c r="A421" t="s">
        <v>1547</v>
      </c>
      <c r="B421" s="2">
        <v>46213</v>
      </c>
      <c r="C421" t="s">
        <v>767</v>
      </c>
      <c r="D421" t="s">
        <v>56</v>
      </c>
      <c r="E421" t="s">
        <v>79</v>
      </c>
      <c r="F421" t="s">
        <v>975</v>
      </c>
      <c r="G421">
        <v>12</v>
      </c>
      <c r="H421" t="s">
        <v>988</v>
      </c>
      <c r="I421">
        <v>52</v>
      </c>
      <c r="J421">
        <v>94</v>
      </c>
      <c r="K421" t="s">
        <v>965</v>
      </c>
      <c r="L421" t="s">
        <v>966</v>
      </c>
      <c r="N421" t="s">
        <v>967</v>
      </c>
    </row>
    <row r="422" spans="1:14" ht="14.5" x14ac:dyDescent="0.35">
      <c r="A422" t="s">
        <v>1548</v>
      </c>
      <c r="B422" s="2">
        <v>46155</v>
      </c>
      <c r="C422" t="s">
        <v>1531</v>
      </c>
      <c r="D422" t="s">
        <v>36</v>
      </c>
      <c r="E422" t="s">
        <v>253</v>
      </c>
      <c r="F422" t="s">
        <v>975</v>
      </c>
      <c r="G422">
        <v>10</v>
      </c>
      <c r="H422" t="s">
        <v>995</v>
      </c>
      <c r="I422">
        <v>84</v>
      </c>
      <c r="J422">
        <v>42</v>
      </c>
      <c r="K422" t="s">
        <v>1000</v>
      </c>
      <c r="L422" t="s">
        <v>966</v>
      </c>
      <c r="N422" t="s">
        <v>1003</v>
      </c>
    </row>
    <row r="423" spans="1:14" ht="14.5" x14ac:dyDescent="0.35">
      <c r="A423" t="s">
        <v>1549</v>
      </c>
      <c r="B423" s="2">
        <v>46058</v>
      </c>
      <c r="C423" t="s">
        <v>1550</v>
      </c>
      <c r="D423" t="s">
        <v>159</v>
      </c>
      <c r="E423" t="s">
        <v>324</v>
      </c>
      <c r="F423" t="s">
        <v>963</v>
      </c>
      <c r="G423">
        <v>9</v>
      </c>
      <c r="H423" t="s">
        <v>970</v>
      </c>
      <c r="I423">
        <v>65</v>
      </c>
      <c r="J423">
        <v>93</v>
      </c>
      <c r="K423" t="s">
        <v>1000</v>
      </c>
      <c r="L423" t="s">
        <v>966</v>
      </c>
      <c r="N423" t="s">
        <v>973</v>
      </c>
    </row>
    <row r="424" spans="1:14" ht="14.5" x14ac:dyDescent="0.35">
      <c r="A424" t="s">
        <v>1551</v>
      </c>
      <c r="B424" s="2">
        <v>45821</v>
      </c>
      <c r="C424" t="s">
        <v>1335</v>
      </c>
      <c r="D424" t="s">
        <v>52</v>
      </c>
      <c r="E424" t="s">
        <v>195</v>
      </c>
      <c r="F424" t="s">
        <v>1012</v>
      </c>
      <c r="G424">
        <v>12</v>
      </c>
      <c r="H424" t="s">
        <v>981</v>
      </c>
      <c r="I424">
        <v>61</v>
      </c>
      <c r="J424">
        <v>84</v>
      </c>
      <c r="K424" t="s">
        <v>1000</v>
      </c>
      <c r="L424" t="s">
        <v>966</v>
      </c>
      <c r="N424" t="s">
        <v>978</v>
      </c>
    </row>
    <row r="425" spans="1:14" ht="14.5" x14ac:dyDescent="0.35">
      <c r="A425" t="s">
        <v>1552</v>
      </c>
      <c r="B425" s="2">
        <v>45908</v>
      </c>
      <c r="C425" t="s">
        <v>1553</v>
      </c>
      <c r="D425" t="s">
        <v>69</v>
      </c>
      <c r="E425" t="s">
        <v>105</v>
      </c>
      <c r="F425" t="s">
        <v>957</v>
      </c>
      <c r="G425">
        <v>7</v>
      </c>
      <c r="H425" t="s">
        <v>995</v>
      </c>
      <c r="I425">
        <v>60</v>
      </c>
      <c r="J425">
        <v>69</v>
      </c>
      <c r="K425" t="s">
        <v>965</v>
      </c>
      <c r="L425" t="s">
        <v>966</v>
      </c>
      <c r="N425" t="s">
        <v>961</v>
      </c>
    </row>
    <row r="426" spans="1:14" ht="14.5" x14ac:dyDescent="0.35">
      <c r="A426" t="s">
        <v>1554</v>
      </c>
      <c r="B426" s="2">
        <v>45814</v>
      </c>
      <c r="C426" t="s">
        <v>1555</v>
      </c>
      <c r="D426" t="s">
        <v>27</v>
      </c>
      <c r="E426" t="s">
        <v>28</v>
      </c>
      <c r="F426" t="s">
        <v>963</v>
      </c>
      <c r="G426">
        <v>6</v>
      </c>
      <c r="H426" t="s">
        <v>981</v>
      </c>
      <c r="I426">
        <v>88</v>
      </c>
      <c r="J426">
        <v>64</v>
      </c>
      <c r="K426" t="s">
        <v>971</v>
      </c>
      <c r="L426" t="s">
        <v>972</v>
      </c>
      <c r="N426" t="s">
        <v>961</v>
      </c>
    </row>
    <row r="427" spans="1:14" ht="14.5" x14ac:dyDescent="0.35">
      <c r="A427" t="s">
        <v>1556</v>
      </c>
      <c r="B427" s="2">
        <v>46245</v>
      </c>
      <c r="C427" t="s">
        <v>475</v>
      </c>
      <c r="D427" t="s">
        <v>45</v>
      </c>
      <c r="E427" t="s">
        <v>234</v>
      </c>
      <c r="F427" t="s">
        <v>977</v>
      </c>
      <c r="G427">
        <v>6</v>
      </c>
      <c r="H427" t="s">
        <v>981</v>
      </c>
      <c r="I427">
        <v>45</v>
      </c>
      <c r="J427">
        <v>64</v>
      </c>
      <c r="K427" t="s">
        <v>965</v>
      </c>
      <c r="L427" t="s">
        <v>966</v>
      </c>
      <c r="N427" t="s">
        <v>961</v>
      </c>
    </row>
    <row r="428" spans="1:14" ht="14.5" x14ac:dyDescent="0.35">
      <c r="A428" t="s">
        <v>1557</v>
      </c>
      <c r="B428" s="2">
        <v>45762</v>
      </c>
      <c r="C428" t="s">
        <v>361</v>
      </c>
      <c r="D428" t="s">
        <v>27</v>
      </c>
      <c r="E428" t="s">
        <v>28</v>
      </c>
      <c r="F428" t="s">
        <v>977</v>
      </c>
      <c r="G428">
        <v>9</v>
      </c>
      <c r="H428" t="s">
        <v>958</v>
      </c>
      <c r="I428">
        <v>96</v>
      </c>
      <c r="J428">
        <v>91</v>
      </c>
      <c r="K428" t="s">
        <v>1000</v>
      </c>
      <c r="L428" t="s">
        <v>966</v>
      </c>
      <c r="N428" t="s">
        <v>967</v>
      </c>
    </row>
    <row r="429" spans="1:14" ht="14.5" x14ac:dyDescent="0.35">
      <c r="A429" t="s">
        <v>1558</v>
      </c>
      <c r="B429" s="2">
        <v>46155</v>
      </c>
      <c r="C429" t="s">
        <v>125</v>
      </c>
      <c r="D429" t="s">
        <v>159</v>
      </c>
      <c r="E429" t="s">
        <v>269</v>
      </c>
      <c r="F429" t="s">
        <v>987</v>
      </c>
      <c r="G429">
        <v>6</v>
      </c>
      <c r="H429" t="s">
        <v>995</v>
      </c>
      <c r="I429">
        <v>80</v>
      </c>
      <c r="J429">
        <v>75</v>
      </c>
      <c r="K429" t="s">
        <v>971</v>
      </c>
      <c r="L429" t="s">
        <v>972</v>
      </c>
      <c r="N429" t="s">
        <v>973</v>
      </c>
    </row>
    <row r="430" spans="1:14" ht="14.5" x14ac:dyDescent="0.35">
      <c r="A430" t="s">
        <v>1559</v>
      </c>
      <c r="B430" s="2">
        <v>45945</v>
      </c>
      <c r="C430" t="s">
        <v>1560</v>
      </c>
      <c r="D430" t="s">
        <v>36</v>
      </c>
      <c r="E430" t="s">
        <v>37</v>
      </c>
      <c r="F430" t="s">
        <v>977</v>
      </c>
      <c r="G430">
        <v>1</v>
      </c>
      <c r="H430" t="s">
        <v>981</v>
      </c>
      <c r="I430">
        <v>57</v>
      </c>
      <c r="J430">
        <v>88</v>
      </c>
      <c r="K430" t="s">
        <v>965</v>
      </c>
      <c r="L430" t="s">
        <v>966</v>
      </c>
      <c r="N430" t="s">
        <v>967</v>
      </c>
    </row>
    <row r="431" spans="1:14" ht="14.5" x14ac:dyDescent="0.35">
      <c r="A431" t="s">
        <v>1561</v>
      </c>
      <c r="B431" s="2">
        <v>45667</v>
      </c>
      <c r="C431" t="s">
        <v>621</v>
      </c>
      <c r="D431" t="s">
        <v>21</v>
      </c>
      <c r="E431" t="s">
        <v>163</v>
      </c>
      <c r="F431" t="s">
        <v>992</v>
      </c>
      <c r="G431">
        <v>5</v>
      </c>
      <c r="H431" t="s">
        <v>995</v>
      </c>
      <c r="I431">
        <v>50</v>
      </c>
      <c r="J431">
        <v>84</v>
      </c>
      <c r="K431" t="s">
        <v>971</v>
      </c>
      <c r="L431" t="s">
        <v>972</v>
      </c>
      <c r="N431" t="s">
        <v>978</v>
      </c>
    </row>
    <row r="432" spans="1:14" ht="14.5" x14ac:dyDescent="0.35">
      <c r="A432" t="s">
        <v>1562</v>
      </c>
      <c r="B432" s="2">
        <v>45975</v>
      </c>
      <c r="C432" t="s">
        <v>178</v>
      </c>
      <c r="D432" t="s">
        <v>45</v>
      </c>
      <c r="E432" t="s">
        <v>296</v>
      </c>
      <c r="F432" t="s">
        <v>1012</v>
      </c>
      <c r="G432">
        <v>4</v>
      </c>
      <c r="H432" t="s">
        <v>964</v>
      </c>
      <c r="I432">
        <v>73</v>
      </c>
      <c r="J432">
        <v>42</v>
      </c>
      <c r="K432" t="s">
        <v>1000</v>
      </c>
      <c r="L432" t="s">
        <v>966</v>
      </c>
      <c r="N432" t="s">
        <v>1003</v>
      </c>
    </row>
    <row r="433" spans="1:14" ht="14.5" x14ac:dyDescent="0.35">
      <c r="A433" t="s">
        <v>1563</v>
      </c>
      <c r="B433" s="2">
        <v>46122</v>
      </c>
      <c r="C433" t="s">
        <v>1363</v>
      </c>
      <c r="D433" t="s">
        <v>52</v>
      </c>
      <c r="E433" t="s">
        <v>224</v>
      </c>
      <c r="F433" t="s">
        <v>957</v>
      </c>
      <c r="G433">
        <v>1</v>
      </c>
      <c r="H433" t="s">
        <v>995</v>
      </c>
      <c r="I433">
        <v>63</v>
      </c>
      <c r="J433">
        <v>82</v>
      </c>
      <c r="K433" t="s">
        <v>982</v>
      </c>
      <c r="L433" t="s">
        <v>966</v>
      </c>
      <c r="N433" t="s">
        <v>961</v>
      </c>
    </row>
    <row r="434" spans="1:14" ht="14.5" x14ac:dyDescent="0.35">
      <c r="A434" t="s">
        <v>1564</v>
      </c>
      <c r="B434" s="2">
        <v>45926</v>
      </c>
      <c r="C434" t="s">
        <v>1500</v>
      </c>
      <c r="D434" t="s">
        <v>69</v>
      </c>
      <c r="E434" t="s">
        <v>105</v>
      </c>
      <c r="F434" t="s">
        <v>975</v>
      </c>
      <c r="G434">
        <v>12</v>
      </c>
      <c r="H434" t="s">
        <v>1029</v>
      </c>
      <c r="I434">
        <v>96</v>
      </c>
      <c r="J434">
        <v>62</v>
      </c>
      <c r="K434" t="s">
        <v>959</v>
      </c>
      <c r="L434" t="s">
        <v>960</v>
      </c>
      <c r="M434">
        <v>34</v>
      </c>
      <c r="N434" t="s">
        <v>973</v>
      </c>
    </row>
    <row r="435" spans="1:14" ht="14.5" x14ac:dyDescent="0.35">
      <c r="A435" t="s">
        <v>1565</v>
      </c>
      <c r="B435" s="2">
        <v>46141</v>
      </c>
      <c r="C435" t="s">
        <v>762</v>
      </c>
      <c r="D435" t="s">
        <v>108</v>
      </c>
      <c r="E435" t="s">
        <v>126</v>
      </c>
      <c r="F435" t="s">
        <v>987</v>
      </c>
      <c r="G435">
        <v>9</v>
      </c>
      <c r="H435" t="s">
        <v>1029</v>
      </c>
      <c r="I435">
        <v>62</v>
      </c>
      <c r="J435">
        <v>90</v>
      </c>
      <c r="K435" t="s">
        <v>965</v>
      </c>
      <c r="L435" t="s">
        <v>966</v>
      </c>
      <c r="N435" t="s">
        <v>973</v>
      </c>
    </row>
    <row r="436" spans="1:14" ht="14.5" x14ac:dyDescent="0.35">
      <c r="A436" t="s">
        <v>1566</v>
      </c>
      <c r="B436" s="2">
        <v>45922</v>
      </c>
      <c r="C436" t="s">
        <v>567</v>
      </c>
      <c r="D436" t="s">
        <v>108</v>
      </c>
      <c r="E436" t="s">
        <v>126</v>
      </c>
      <c r="F436" t="s">
        <v>987</v>
      </c>
      <c r="G436">
        <v>9</v>
      </c>
      <c r="H436" t="s">
        <v>988</v>
      </c>
      <c r="I436">
        <v>85</v>
      </c>
      <c r="J436">
        <v>77</v>
      </c>
      <c r="K436" t="s">
        <v>1000</v>
      </c>
      <c r="L436" t="s">
        <v>966</v>
      </c>
      <c r="N436" t="s">
        <v>973</v>
      </c>
    </row>
    <row r="437" spans="1:14" ht="14.5" x14ac:dyDescent="0.35">
      <c r="A437" t="s">
        <v>1567</v>
      </c>
      <c r="B437" s="2">
        <v>45767</v>
      </c>
      <c r="C437" t="s">
        <v>1118</v>
      </c>
      <c r="D437" t="s">
        <v>69</v>
      </c>
      <c r="E437" t="s">
        <v>319</v>
      </c>
      <c r="F437" t="s">
        <v>957</v>
      </c>
      <c r="G437">
        <v>11</v>
      </c>
      <c r="H437" t="s">
        <v>981</v>
      </c>
      <c r="I437">
        <v>59</v>
      </c>
      <c r="J437">
        <v>65</v>
      </c>
      <c r="K437" t="s">
        <v>959</v>
      </c>
      <c r="L437" t="s">
        <v>960</v>
      </c>
      <c r="M437">
        <v>49</v>
      </c>
      <c r="N437" t="s">
        <v>978</v>
      </c>
    </row>
    <row r="438" spans="1:14" ht="14.5" x14ac:dyDescent="0.35">
      <c r="A438" t="s">
        <v>1568</v>
      </c>
      <c r="B438" s="2">
        <v>45662</v>
      </c>
      <c r="C438" t="s">
        <v>495</v>
      </c>
      <c r="D438" t="s">
        <v>36</v>
      </c>
      <c r="E438" t="s">
        <v>37</v>
      </c>
      <c r="F438" t="s">
        <v>963</v>
      </c>
      <c r="G438">
        <v>6</v>
      </c>
      <c r="H438" t="s">
        <v>1029</v>
      </c>
      <c r="I438">
        <v>46</v>
      </c>
      <c r="J438">
        <v>54</v>
      </c>
      <c r="K438" t="s">
        <v>965</v>
      </c>
      <c r="L438" t="s">
        <v>966</v>
      </c>
      <c r="N438" t="s">
        <v>961</v>
      </c>
    </row>
    <row r="439" spans="1:14" ht="14.5" x14ac:dyDescent="0.35">
      <c r="A439" t="s">
        <v>1569</v>
      </c>
      <c r="B439" s="2">
        <v>46014</v>
      </c>
      <c r="C439" t="s">
        <v>61</v>
      </c>
      <c r="D439" t="s">
        <v>27</v>
      </c>
      <c r="E439" t="s">
        <v>28</v>
      </c>
      <c r="F439" t="s">
        <v>987</v>
      </c>
      <c r="G439">
        <v>7</v>
      </c>
      <c r="H439" t="s">
        <v>995</v>
      </c>
      <c r="I439">
        <v>70</v>
      </c>
      <c r="J439">
        <v>55</v>
      </c>
      <c r="K439" t="s">
        <v>965</v>
      </c>
      <c r="L439" t="s">
        <v>966</v>
      </c>
      <c r="N439" t="s">
        <v>967</v>
      </c>
    </row>
    <row r="440" spans="1:14" ht="14.5" x14ac:dyDescent="0.35">
      <c r="A440" t="s">
        <v>1570</v>
      </c>
      <c r="B440" s="2">
        <v>45998</v>
      </c>
      <c r="C440" t="s">
        <v>246</v>
      </c>
      <c r="D440" t="s">
        <v>45</v>
      </c>
      <c r="E440" t="s">
        <v>239</v>
      </c>
      <c r="F440" t="s">
        <v>975</v>
      </c>
      <c r="G440">
        <v>4</v>
      </c>
      <c r="H440" t="s">
        <v>995</v>
      </c>
      <c r="I440">
        <v>71</v>
      </c>
      <c r="J440">
        <v>90</v>
      </c>
      <c r="K440" t="s">
        <v>965</v>
      </c>
      <c r="L440" t="s">
        <v>966</v>
      </c>
      <c r="N440" t="s">
        <v>978</v>
      </c>
    </row>
    <row r="441" spans="1:14" ht="14.5" x14ac:dyDescent="0.35">
      <c r="A441" t="s">
        <v>1571</v>
      </c>
      <c r="B441" s="2">
        <v>45720</v>
      </c>
      <c r="C441" t="s">
        <v>373</v>
      </c>
      <c r="D441" t="s">
        <v>36</v>
      </c>
      <c r="E441" t="s">
        <v>37</v>
      </c>
      <c r="F441" t="s">
        <v>1012</v>
      </c>
      <c r="G441">
        <v>4</v>
      </c>
      <c r="H441" t="s">
        <v>970</v>
      </c>
      <c r="I441">
        <v>73</v>
      </c>
      <c r="J441">
        <v>58</v>
      </c>
      <c r="K441" t="s">
        <v>982</v>
      </c>
      <c r="L441" t="s">
        <v>966</v>
      </c>
      <c r="N441" t="s">
        <v>967</v>
      </c>
    </row>
    <row r="442" spans="1:14" ht="14.5" x14ac:dyDescent="0.35">
      <c r="A442" t="s">
        <v>1572</v>
      </c>
      <c r="B442" s="2">
        <v>46178</v>
      </c>
      <c r="C442" t="s">
        <v>1573</v>
      </c>
      <c r="D442" t="s">
        <v>56</v>
      </c>
      <c r="E442" t="s">
        <v>57</v>
      </c>
      <c r="F442" t="s">
        <v>975</v>
      </c>
      <c r="G442">
        <v>4</v>
      </c>
      <c r="H442" t="s">
        <v>981</v>
      </c>
      <c r="I442">
        <v>78</v>
      </c>
      <c r="J442">
        <v>44</v>
      </c>
      <c r="K442" t="s">
        <v>1000</v>
      </c>
      <c r="L442" t="s">
        <v>966</v>
      </c>
      <c r="N442" t="s">
        <v>961</v>
      </c>
    </row>
    <row r="443" spans="1:14" ht="14.5" x14ac:dyDescent="0.35">
      <c r="A443" t="s">
        <v>1574</v>
      </c>
      <c r="B443" s="2">
        <v>46124</v>
      </c>
      <c r="C443" t="s">
        <v>205</v>
      </c>
      <c r="D443" t="s">
        <v>52</v>
      </c>
      <c r="E443" t="s">
        <v>176</v>
      </c>
      <c r="F443" t="s">
        <v>992</v>
      </c>
      <c r="G443">
        <v>12</v>
      </c>
      <c r="H443" t="s">
        <v>958</v>
      </c>
      <c r="I443">
        <v>74</v>
      </c>
      <c r="J443">
        <v>40</v>
      </c>
      <c r="K443" t="s">
        <v>959</v>
      </c>
      <c r="L443" t="s">
        <v>960</v>
      </c>
      <c r="M443">
        <v>38</v>
      </c>
      <c r="N443" t="s">
        <v>1003</v>
      </c>
    </row>
    <row r="444" spans="1:14" ht="14.5" x14ac:dyDescent="0.35">
      <c r="A444" t="s">
        <v>1575</v>
      </c>
      <c r="B444" s="2">
        <v>46267</v>
      </c>
      <c r="C444" t="s">
        <v>1576</v>
      </c>
      <c r="D444" t="s">
        <v>45</v>
      </c>
      <c r="E444" t="s">
        <v>46</v>
      </c>
      <c r="F444" t="s">
        <v>975</v>
      </c>
      <c r="G444">
        <v>3</v>
      </c>
      <c r="H444" t="s">
        <v>988</v>
      </c>
      <c r="I444">
        <v>96</v>
      </c>
      <c r="J444">
        <v>52</v>
      </c>
      <c r="K444" t="s">
        <v>982</v>
      </c>
      <c r="L444" t="s">
        <v>966</v>
      </c>
      <c r="N444" t="s">
        <v>961</v>
      </c>
    </row>
    <row r="445" spans="1:14" ht="14.5" x14ac:dyDescent="0.35">
      <c r="A445" t="s">
        <v>1577</v>
      </c>
      <c r="B445" s="2">
        <v>46110</v>
      </c>
      <c r="C445" t="s">
        <v>1149</v>
      </c>
      <c r="D445" t="s">
        <v>21</v>
      </c>
      <c r="E445" t="s">
        <v>22</v>
      </c>
      <c r="F445" t="s">
        <v>1012</v>
      </c>
      <c r="G445">
        <v>1</v>
      </c>
      <c r="H445" t="s">
        <v>995</v>
      </c>
      <c r="I445">
        <v>81</v>
      </c>
      <c r="J445">
        <v>85</v>
      </c>
      <c r="K445" t="s">
        <v>959</v>
      </c>
      <c r="L445" t="s">
        <v>960</v>
      </c>
      <c r="M445">
        <v>13</v>
      </c>
      <c r="N445" t="s">
        <v>973</v>
      </c>
    </row>
    <row r="446" spans="1:14" ht="14.5" x14ac:dyDescent="0.35">
      <c r="A446" t="s">
        <v>1578</v>
      </c>
      <c r="B446" s="2">
        <v>45951</v>
      </c>
      <c r="C446" t="s">
        <v>790</v>
      </c>
      <c r="D446" t="s">
        <v>21</v>
      </c>
      <c r="E446" t="s">
        <v>163</v>
      </c>
      <c r="F446" t="s">
        <v>977</v>
      </c>
      <c r="G446">
        <v>4</v>
      </c>
      <c r="H446" t="s">
        <v>988</v>
      </c>
      <c r="I446">
        <v>50</v>
      </c>
      <c r="J446">
        <v>100</v>
      </c>
      <c r="K446" t="s">
        <v>982</v>
      </c>
      <c r="L446" t="s">
        <v>966</v>
      </c>
      <c r="N446" t="s">
        <v>978</v>
      </c>
    </row>
    <row r="447" spans="1:14" ht="14.5" x14ac:dyDescent="0.35">
      <c r="A447" t="s">
        <v>1579</v>
      </c>
      <c r="B447" s="2">
        <v>45890</v>
      </c>
      <c r="C447" t="s">
        <v>422</v>
      </c>
      <c r="D447" t="s">
        <v>108</v>
      </c>
      <c r="E447" t="s">
        <v>126</v>
      </c>
      <c r="F447" t="s">
        <v>992</v>
      </c>
      <c r="G447">
        <v>3</v>
      </c>
      <c r="H447" t="s">
        <v>958</v>
      </c>
      <c r="I447">
        <v>59</v>
      </c>
      <c r="J447">
        <v>82</v>
      </c>
      <c r="K447" t="s">
        <v>971</v>
      </c>
      <c r="L447" t="s">
        <v>972</v>
      </c>
      <c r="N447" t="s">
        <v>1003</v>
      </c>
    </row>
    <row r="448" spans="1:14" ht="14.5" x14ac:dyDescent="0.35">
      <c r="A448" t="s">
        <v>1580</v>
      </c>
      <c r="B448" s="2">
        <v>45892</v>
      </c>
      <c r="C448" t="s">
        <v>1581</v>
      </c>
      <c r="D448" t="s">
        <v>40</v>
      </c>
      <c r="E448" t="s">
        <v>90</v>
      </c>
      <c r="F448" t="s">
        <v>992</v>
      </c>
      <c r="G448">
        <v>9</v>
      </c>
      <c r="H448" t="s">
        <v>1029</v>
      </c>
      <c r="I448">
        <v>51</v>
      </c>
      <c r="J448">
        <v>70</v>
      </c>
      <c r="K448" t="s">
        <v>959</v>
      </c>
      <c r="L448" t="s">
        <v>960</v>
      </c>
      <c r="M448">
        <v>11</v>
      </c>
      <c r="N448" t="s">
        <v>1003</v>
      </c>
    </row>
    <row r="449" spans="1:14" ht="14.5" x14ac:dyDescent="0.35">
      <c r="A449" t="s">
        <v>1582</v>
      </c>
      <c r="B449" s="2">
        <v>45714</v>
      </c>
      <c r="C449" t="s">
        <v>569</v>
      </c>
      <c r="D449" t="s">
        <v>69</v>
      </c>
      <c r="E449" t="s">
        <v>105</v>
      </c>
      <c r="F449" t="s">
        <v>992</v>
      </c>
      <c r="G449">
        <v>4</v>
      </c>
      <c r="H449" t="s">
        <v>958</v>
      </c>
      <c r="I449">
        <v>84</v>
      </c>
      <c r="J449">
        <v>84</v>
      </c>
      <c r="K449" t="s">
        <v>959</v>
      </c>
      <c r="L449" t="s">
        <v>960</v>
      </c>
      <c r="M449">
        <v>47</v>
      </c>
      <c r="N449" t="s">
        <v>1003</v>
      </c>
    </row>
    <row r="450" spans="1:14" ht="14.5" x14ac:dyDescent="0.35">
      <c r="A450" t="s">
        <v>1583</v>
      </c>
      <c r="B450" s="2">
        <v>45772</v>
      </c>
      <c r="C450" t="s">
        <v>398</v>
      </c>
      <c r="D450" t="s">
        <v>69</v>
      </c>
      <c r="E450" t="s">
        <v>70</v>
      </c>
      <c r="F450" t="s">
        <v>987</v>
      </c>
      <c r="G450">
        <v>11</v>
      </c>
      <c r="H450" t="s">
        <v>958</v>
      </c>
      <c r="I450">
        <v>84</v>
      </c>
      <c r="J450">
        <v>70</v>
      </c>
      <c r="K450" t="s">
        <v>971</v>
      </c>
      <c r="L450" t="s">
        <v>972</v>
      </c>
      <c r="N450" t="s">
        <v>973</v>
      </c>
    </row>
    <row r="451" spans="1:14" ht="14.5" x14ac:dyDescent="0.35">
      <c r="A451" t="s">
        <v>1584</v>
      </c>
      <c r="B451" s="2">
        <v>46095</v>
      </c>
      <c r="C451" t="s">
        <v>210</v>
      </c>
      <c r="D451" t="s">
        <v>45</v>
      </c>
      <c r="E451" t="s">
        <v>46</v>
      </c>
      <c r="F451" t="s">
        <v>957</v>
      </c>
      <c r="G451">
        <v>11</v>
      </c>
      <c r="H451" t="s">
        <v>981</v>
      </c>
      <c r="I451">
        <v>54</v>
      </c>
      <c r="J451">
        <v>57</v>
      </c>
      <c r="K451" t="s">
        <v>1000</v>
      </c>
      <c r="L451" t="s">
        <v>966</v>
      </c>
      <c r="N451" t="s">
        <v>967</v>
      </c>
    </row>
    <row r="452" spans="1:14" ht="14.5" x14ac:dyDescent="0.35">
      <c r="A452" t="s">
        <v>1585</v>
      </c>
      <c r="B452" s="2">
        <v>45995</v>
      </c>
      <c r="C452" t="s">
        <v>1212</v>
      </c>
      <c r="D452" t="s">
        <v>40</v>
      </c>
      <c r="E452" t="s">
        <v>65</v>
      </c>
      <c r="F452" t="s">
        <v>992</v>
      </c>
      <c r="G452">
        <v>10</v>
      </c>
      <c r="H452" t="s">
        <v>981</v>
      </c>
      <c r="I452">
        <v>60</v>
      </c>
      <c r="J452">
        <v>93</v>
      </c>
      <c r="K452" t="s">
        <v>1000</v>
      </c>
      <c r="L452" t="s">
        <v>966</v>
      </c>
      <c r="N452" t="s">
        <v>978</v>
      </c>
    </row>
    <row r="453" spans="1:14" ht="14.5" x14ac:dyDescent="0.35">
      <c r="A453" t="s">
        <v>1586</v>
      </c>
      <c r="B453" s="2">
        <v>45752</v>
      </c>
      <c r="C453" t="s">
        <v>104</v>
      </c>
      <c r="D453" t="s">
        <v>27</v>
      </c>
      <c r="E453" t="s">
        <v>76</v>
      </c>
      <c r="F453" t="s">
        <v>1012</v>
      </c>
      <c r="G453">
        <v>4</v>
      </c>
      <c r="H453" t="s">
        <v>1029</v>
      </c>
      <c r="I453">
        <v>89</v>
      </c>
      <c r="J453">
        <v>45</v>
      </c>
      <c r="K453" t="s">
        <v>982</v>
      </c>
      <c r="L453" t="s">
        <v>966</v>
      </c>
      <c r="N453" t="s">
        <v>961</v>
      </c>
    </row>
    <row r="454" spans="1:14" ht="14.5" x14ac:dyDescent="0.35">
      <c r="A454" t="s">
        <v>1587</v>
      </c>
      <c r="B454" s="2">
        <v>46108</v>
      </c>
      <c r="C454" t="s">
        <v>365</v>
      </c>
      <c r="D454" t="s">
        <v>108</v>
      </c>
      <c r="E454" t="s">
        <v>206</v>
      </c>
      <c r="F454" t="s">
        <v>975</v>
      </c>
      <c r="G454">
        <v>0</v>
      </c>
      <c r="H454" t="s">
        <v>981</v>
      </c>
      <c r="I454">
        <v>72</v>
      </c>
      <c r="J454">
        <v>40</v>
      </c>
      <c r="K454" t="s">
        <v>993</v>
      </c>
      <c r="L454" t="s">
        <v>966</v>
      </c>
      <c r="N454" t="s">
        <v>973</v>
      </c>
    </row>
    <row r="455" spans="1:14" ht="14.5" x14ac:dyDescent="0.35">
      <c r="A455" t="s">
        <v>1588</v>
      </c>
      <c r="B455" s="2">
        <v>45786</v>
      </c>
      <c r="C455" t="s">
        <v>1589</v>
      </c>
      <c r="D455" t="s">
        <v>40</v>
      </c>
      <c r="E455" t="s">
        <v>65</v>
      </c>
      <c r="F455" t="s">
        <v>975</v>
      </c>
      <c r="G455">
        <v>1</v>
      </c>
      <c r="H455" t="s">
        <v>964</v>
      </c>
      <c r="I455">
        <v>90</v>
      </c>
      <c r="J455">
        <v>47</v>
      </c>
      <c r="K455" t="s">
        <v>993</v>
      </c>
      <c r="L455" t="s">
        <v>966</v>
      </c>
      <c r="N455" t="s">
        <v>967</v>
      </c>
    </row>
    <row r="456" spans="1:14" ht="14.5" x14ac:dyDescent="0.35">
      <c r="A456" t="s">
        <v>1590</v>
      </c>
      <c r="B456" s="2">
        <v>46037</v>
      </c>
      <c r="C456" t="s">
        <v>682</v>
      </c>
      <c r="D456" t="s">
        <v>27</v>
      </c>
      <c r="E456" t="s">
        <v>87</v>
      </c>
      <c r="F456" t="s">
        <v>1012</v>
      </c>
      <c r="G456">
        <v>12</v>
      </c>
      <c r="H456" t="s">
        <v>964</v>
      </c>
      <c r="I456">
        <v>61</v>
      </c>
      <c r="J456">
        <v>65</v>
      </c>
      <c r="K456" t="s">
        <v>993</v>
      </c>
      <c r="L456" t="s">
        <v>966</v>
      </c>
      <c r="N456" t="s">
        <v>967</v>
      </c>
    </row>
    <row r="457" spans="1:14" ht="14.5" x14ac:dyDescent="0.35">
      <c r="A457" t="s">
        <v>1591</v>
      </c>
      <c r="B457" s="2">
        <v>45762</v>
      </c>
      <c r="C457" t="s">
        <v>918</v>
      </c>
      <c r="D457" t="s">
        <v>108</v>
      </c>
      <c r="E457" t="s">
        <v>114</v>
      </c>
      <c r="F457" t="s">
        <v>987</v>
      </c>
      <c r="G457">
        <v>4</v>
      </c>
      <c r="H457" t="s">
        <v>981</v>
      </c>
      <c r="I457">
        <v>87</v>
      </c>
      <c r="J457">
        <v>80</v>
      </c>
      <c r="K457" t="s">
        <v>971</v>
      </c>
      <c r="L457" t="s">
        <v>972</v>
      </c>
      <c r="N457" t="s">
        <v>973</v>
      </c>
    </row>
    <row r="458" spans="1:14" ht="14.5" x14ac:dyDescent="0.35">
      <c r="A458" t="s">
        <v>1592</v>
      </c>
      <c r="B458" s="2">
        <v>45914</v>
      </c>
      <c r="C458" t="s">
        <v>1593</v>
      </c>
      <c r="D458" t="s">
        <v>45</v>
      </c>
      <c r="E458" t="s">
        <v>234</v>
      </c>
      <c r="F458" t="s">
        <v>975</v>
      </c>
      <c r="G458">
        <v>10</v>
      </c>
      <c r="H458" t="s">
        <v>958</v>
      </c>
      <c r="I458">
        <v>53</v>
      </c>
      <c r="J458">
        <v>70</v>
      </c>
      <c r="K458" t="s">
        <v>971</v>
      </c>
      <c r="L458" t="s">
        <v>972</v>
      </c>
      <c r="N458" t="s">
        <v>967</v>
      </c>
    </row>
    <row r="459" spans="1:14" ht="14.5" x14ac:dyDescent="0.35">
      <c r="A459" t="s">
        <v>1594</v>
      </c>
      <c r="B459" s="2">
        <v>45987</v>
      </c>
      <c r="C459" t="s">
        <v>1595</v>
      </c>
      <c r="D459" t="s">
        <v>159</v>
      </c>
      <c r="E459" t="s">
        <v>269</v>
      </c>
      <c r="F459" t="s">
        <v>987</v>
      </c>
      <c r="G459">
        <v>2</v>
      </c>
      <c r="H459" t="s">
        <v>988</v>
      </c>
      <c r="I459">
        <v>83</v>
      </c>
      <c r="J459">
        <v>93</v>
      </c>
      <c r="K459" t="s">
        <v>982</v>
      </c>
      <c r="L459" t="s">
        <v>966</v>
      </c>
      <c r="N459" t="s">
        <v>973</v>
      </c>
    </row>
    <row r="460" spans="1:14" ht="14.5" x14ac:dyDescent="0.35">
      <c r="A460" t="s">
        <v>1596</v>
      </c>
      <c r="B460" s="2">
        <v>45665</v>
      </c>
      <c r="C460" t="s">
        <v>1597</v>
      </c>
      <c r="D460" t="s">
        <v>56</v>
      </c>
      <c r="E460" t="s">
        <v>79</v>
      </c>
      <c r="F460" t="s">
        <v>987</v>
      </c>
      <c r="G460">
        <v>0</v>
      </c>
      <c r="H460" t="s">
        <v>981</v>
      </c>
      <c r="I460">
        <v>87</v>
      </c>
      <c r="J460">
        <v>45</v>
      </c>
      <c r="K460" t="s">
        <v>959</v>
      </c>
      <c r="L460" t="s">
        <v>960</v>
      </c>
      <c r="M460">
        <v>17</v>
      </c>
      <c r="N460" t="s">
        <v>1003</v>
      </c>
    </row>
    <row r="461" spans="1:14" ht="14.5" x14ac:dyDescent="0.35">
      <c r="A461" t="s">
        <v>1598</v>
      </c>
      <c r="B461" s="2">
        <v>46083</v>
      </c>
      <c r="C461" t="s">
        <v>383</v>
      </c>
      <c r="D461" t="s">
        <v>56</v>
      </c>
      <c r="E461" t="s">
        <v>79</v>
      </c>
      <c r="F461" t="s">
        <v>977</v>
      </c>
      <c r="G461">
        <v>1</v>
      </c>
      <c r="H461" t="s">
        <v>970</v>
      </c>
      <c r="I461">
        <v>99</v>
      </c>
      <c r="J461">
        <v>77</v>
      </c>
      <c r="K461" t="s">
        <v>1000</v>
      </c>
      <c r="L461" t="s">
        <v>966</v>
      </c>
      <c r="N461" t="s">
        <v>967</v>
      </c>
    </row>
    <row r="462" spans="1:14" ht="14.5" x14ac:dyDescent="0.35">
      <c r="A462" t="s">
        <v>1599</v>
      </c>
      <c r="B462" s="2">
        <v>45800</v>
      </c>
      <c r="C462" t="s">
        <v>632</v>
      </c>
      <c r="D462" t="s">
        <v>27</v>
      </c>
      <c r="E462" t="s">
        <v>28</v>
      </c>
      <c r="F462" t="s">
        <v>1012</v>
      </c>
      <c r="G462">
        <v>1</v>
      </c>
      <c r="H462" t="s">
        <v>1029</v>
      </c>
      <c r="I462">
        <v>99</v>
      </c>
      <c r="J462">
        <v>54</v>
      </c>
      <c r="K462" t="s">
        <v>965</v>
      </c>
      <c r="L462" t="s">
        <v>966</v>
      </c>
      <c r="N462" t="s">
        <v>973</v>
      </c>
    </row>
    <row r="463" spans="1:14" ht="14.5" x14ac:dyDescent="0.35">
      <c r="A463" t="s">
        <v>1600</v>
      </c>
      <c r="B463" s="2">
        <v>46042</v>
      </c>
      <c r="C463" t="s">
        <v>847</v>
      </c>
      <c r="D463" t="s">
        <v>27</v>
      </c>
      <c r="E463" t="s">
        <v>73</v>
      </c>
      <c r="F463" t="s">
        <v>977</v>
      </c>
      <c r="G463">
        <v>9</v>
      </c>
      <c r="H463" t="s">
        <v>958</v>
      </c>
      <c r="I463">
        <v>84</v>
      </c>
      <c r="J463">
        <v>43</v>
      </c>
      <c r="K463" t="s">
        <v>959</v>
      </c>
      <c r="L463" t="s">
        <v>960</v>
      </c>
      <c r="M463">
        <v>53</v>
      </c>
      <c r="N463" t="s">
        <v>978</v>
      </c>
    </row>
    <row r="464" spans="1:14" ht="14.5" x14ac:dyDescent="0.35">
      <c r="A464" t="s">
        <v>1601</v>
      </c>
      <c r="B464" s="2">
        <v>45881</v>
      </c>
      <c r="C464" t="s">
        <v>1602</v>
      </c>
      <c r="D464" t="s">
        <v>159</v>
      </c>
      <c r="E464" t="s">
        <v>482</v>
      </c>
      <c r="F464" t="s">
        <v>975</v>
      </c>
      <c r="G464">
        <v>1</v>
      </c>
      <c r="H464" t="s">
        <v>964</v>
      </c>
      <c r="I464">
        <v>48</v>
      </c>
      <c r="J464">
        <v>56</v>
      </c>
      <c r="K464" t="s">
        <v>971</v>
      </c>
      <c r="L464" t="s">
        <v>972</v>
      </c>
      <c r="N464" t="s">
        <v>978</v>
      </c>
    </row>
    <row r="465" spans="1:14" ht="14.5" x14ac:dyDescent="0.35">
      <c r="A465" t="s">
        <v>1603</v>
      </c>
      <c r="B465" s="2">
        <v>46029</v>
      </c>
      <c r="C465" t="s">
        <v>1031</v>
      </c>
      <c r="D465" t="s">
        <v>69</v>
      </c>
      <c r="E465" t="s">
        <v>70</v>
      </c>
      <c r="F465" t="s">
        <v>987</v>
      </c>
      <c r="G465">
        <v>5</v>
      </c>
      <c r="H465" t="s">
        <v>981</v>
      </c>
      <c r="I465">
        <v>91</v>
      </c>
      <c r="J465">
        <v>66</v>
      </c>
      <c r="K465" t="s">
        <v>965</v>
      </c>
      <c r="L465" t="s">
        <v>966</v>
      </c>
      <c r="N465" t="s">
        <v>967</v>
      </c>
    </row>
    <row r="466" spans="1:14" ht="14.5" x14ac:dyDescent="0.35">
      <c r="A466" t="s">
        <v>1604</v>
      </c>
      <c r="B466" s="2">
        <v>45801</v>
      </c>
      <c r="C466" t="s">
        <v>363</v>
      </c>
      <c r="D466" t="s">
        <v>27</v>
      </c>
      <c r="E466" t="s">
        <v>87</v>
      </c>
      <c r="F466" t="s">
        <v>977</v>
      </c>
      <c r="G466">
        <v>0</v>
      </c>
      <c r="H466" t="s">
        <v>970</v>
      </c>
      <c r="I466">
        <v>71</v>
      </c>
      <c r="J466">
        <v>53</v>
      </c>
      <c r="K466" t="s">
        <v>959</v>
      </c>
      <c r="L466" t="s">
        <v>960</v>
      </c>
      <c r="M466">
        <v>43</v>
      </c>
      <c r="N466" t="s">
        <v>961</v>
      </c>
    </row>
    <row r="467" spans="1:14" ht="14.5" x14ac:dyDescent="0.35">
      <c r="A467" t="s">
        <v>1605</v>
      </c>
      <c r="B467" s="2">
        <v>45722</v>
      </c>
      <c r="C467" t="s">
        <v>1264</v>
      </c>
      <c r="D467" t="s">
        <v>108</v>
      </c>
      <c r="E467" t="s">
        <v>206</v>
      </c>
      <c r="F467" t="s">
        <v>957</v>
      </c>
      <c r="G467">
        <v>10</v>
      </c>
      <c r="H467" t="s">
        <v>1029</v>
      </c>
      <c r="I467">
        <v>85</v>
      </c>
      <c r="J467">
        <v>80</v>
      </c>
      <c r="K467" t="s">
        <v>982</v>
      </c>
      <c r="L467" t="s">
        <v>966</v>
      </c>
      <c r="N467" t="s">
        <v>978</v>
      </c>
    </row>
    <row r="468" spans="1:14" ht="14.5" x14ac:dyDescent="0.35">
      <c r="A468" t="s">
        <v>1606</v>
      </c>
      <c r="B468" s="2">
        <v>46104</v>
      </c>
      <c r="C468" t="s">
        <v>546</v>
      </c>
      <c r="D468" t="s">
        <v>36</v>
      </c>
      <c r="E468" t="s">
        <v>37</v>
      </c>
      <c r="F468" t="s">
        <v>1012</v>
      </c>
      <c r="G468">
        <v>9</v>
      </c>
      <c r="H468" t="s">
        <v>995</v>
      </c>
      <c r="I468">
        <v>60</v>
      </c>
      <c r="J468">
        <v>67</v>
      </c>
      <c r="K468" t="s">
        <v>1000</v>
      </c>
      <c r="L468" t="s">
        <v>966</v>
      </c>
      <c r="N468" t="s">
        <v>978</v>
      </c>
    </row>
    <row r="469" spans="1:14" ht="14.5" x14ac:dyDescent="0.35">
      <c r="A469" t="s">
        <v>1607</v>
      </c>
      <c r="B469" s="2">
        <v>45938</v>
      </c>
      <c r="C469" t="s">
        <v>574</v>
      </c>
      <c r="D469" t="s">
        <v>108</v>
      </c>
      <c r="E469" t="s">
        <v>206</v>
      </c>
      <c r="F469" t="s">
        <v>992</v>
      </c>
      <c r="G469">
        <v>0</v>
      </c>
      <c r="H469" t="s">
        <v>995</v>
      </c>
      <c r="I469">
        <v>98</v>
      </c>
      <c r="J469">
        <v>55</v>
      </c>
      <c r="K469" t="s">
        <v>965</v>
      </c>
      <c r="L469" t="s">
        <v>966</v>
      </c>
      <c r="N469" t="s">
        <v>967</v>
      </c>
    </row>
    <row r="470" spans="1:14" ht="14.5" x14ac:dyDescent="0.35">
      <c r="A470" t="s">
        <v>1608</v>
      </c>
      <c r="B470" s="2">
        <v>46009</v>
      </c>
      <c r="C470" t="s">
        <v>882</v>
      </c>
      <c r="D470" t="s">
        <v>69</v>
      </c>
      <c r="E470" t="s">
        <v>117</v>
      </c>
      <c r="F470" t="s">
        <v>977</v>
      </c>
      <c r="G470">
        <v>2</v>
      </c>
      <c r="H470" t="s">
        <v>958</v>
      </c>
      <c r="I470">
        <v>95</v>
      </c>
      <c r="J470">
        <v>97</v>
      </c>
      <c r="K470" t="s">
        <v>1000</v>
      </c>
      <c r="L470" t="s">
        <v>966</v>
      </c>
      <c r="N470" t="s">
        <v>961</v>
      </c>
    </row>
    <row r="471" spans="1:14" ht="14.5" x14ac:dyDescent="0.35">
      <c r="A471" t="s">
        <v>1609</v>
      </c>
      <c r="B471" s="2">
        <v>46274</v>
      </c>
      <c r="C471" t="s">
        <v>551</v>
      </c>
      <c r="D471" t="s">
        <v>159</v>
      </c>
      <c r="E471" t="s">
        <v>324</v>
      </c>
      <c r="F471" t="s">
        <v>1012</v>
      </c>
      <c r="G471">
        <v>3</v>
      </c>
      <c r="H471" t="s">
        <v>970</v>
      </c>
      <c r="I471">
        <v>74</v>
      </c>
      <c r="J471">
        <v>77</v>
      </c>
      <c r="K471" t="s">
        <v>993</v>
      </c>
      <c r="L471" t="s">
        <v>966</v>
      </c>
      <c r="N471" t="s">
        <v>973</v>
      </c>
    </row>
    <row r="472" spans="1:14" ht="14.5" x14ac:dyDescent="0.35">
      <c r="A472" t="s">
        <v>1610</v>
      </c>
      <c r="B472" s="2">
        <v>45847</v>
      </c>
      <c r="C472" t="s">
        <v>914</v>
      </c>
      <c r="D472" t="s">
        <v>159</v>
      </c>
      <c r="E472" t="s">
        <v>269</v>
      </c>
      <c r="F472" t="s">
        <v>963</v>
      </c>
      <c r="G472">
        <v>9</v>
      </c>
      <c r="H472" t="s">
        <v>981</v>
      </c>
      <c r="I472">
        <v>71</v>
      </c>
      <c r="J472">
        <v>88</v>
      </c>
      <c r="K472" t="s">
        <v>993</v>
      </c>
      <c r="L472" t="s">
        <v>966</v>
      </c>
      <c r="N472" t="s">
        <v>973</v>
      </c>
    </row>
    <row r="473" spans="1:14" ht="14.5" x14ac:dyDescent="0.35">
      <c r="A473" t="s">
        <v>1611</v>
      </c>
      <c r="B473" s="2">
        <v>46177</v>
      </c>
      <c r="C473" t="s">
        <v>774</v>
      </c>
      <c r="D473" t="s">
        <v>56</v>
      </c>
      <c r="E473" t="s">
        <v>217</v>
      </c>
      <c r="F473" t="s">
        <v>957</v>
      </c>
      <c r="G473">
        <v>1</v>
      </c>
      <c r="H473" t="s">
        <v>995</v>
      </c>
      <c r="I473">
        <v>100</v>
      </c>
      <c r="J473">
        <v>96</v>
      </c>
      <c r="K473" t="s">
        <v>965</v>
      </c>
      <c r="L473" t="s">
        <v>966</v>
      </c>
      <c r="N473" t="s">
        <v>978</v>
      </c>
    </row>
    <row r="474" spans="1:14" ht="14.5" x14ac:dyDescent="0.35">
      <c r="A474" t="s">
        <v>1612</v>
      </c>
      <c r="B474" s="2">
        <v>46277</v>
      </c>
      <c r="C474" t="s">
        <v>121</v>
      </c>
      <c r="D474" t="s">
        <v>36</v>
      </c>
      <c r="E474" t="s">
        <v>37</v>
      </c>
      <c r="F474" t="s">
        <v>987</v>
      </c>
      <c r="G474">
        <v>11</v>
      </c>
      <c r="H474" t="s">
        <v>981</v>
      </c>
      <c r="I474">
        <v>78</v>
      </c>
      <c r="J474">
        <v>41</v>
      </c>
      <c r="K474" t="s">
        <v>993</v>
      </c>
      <c r="L474" t="s">
        <v>966</v>
      </c>
      <c r="N474" t="s">
        <v>1003</v>
      </c>
    </row>
    <row r="475" spans="1:14" ht="14.5" x14ac:dyDescent="0.35">
      <c r="A475" t="s">
        <v>1613</v>
      </c>
      <c r="B475" s="2">
        <v>46266</v>
      </c>
      <c r="C475" t="s">
        <v>1152</v>
      </c>
      <c r="D475" t="s">
        <v>40</v>
      </c>
      <c r="E475" t="s">
        <v>293</v>
      </c>
      <c r="F475" t="s">
        <v>992</v>
      </c>
      <c r="G475">
        <v>10</v>
      </c>
      <c r="H475" t="s">
        <v>1029</v>
      </c>
      <c r="I475">
        <v>87</v>
      </c>
      <c r="J475">
        <v>90</v>
      </c>
      <c r="K475" t="s">
        <v>971</v>
      </c>
      <c r="L475" t="s">
        <v>972</v>
      </c>
      <c r="N475" t="s">
        <v>978</v>
      </c>
    </row>
    <row r="476" spans="1:14" ht="14.5" x14ac:dyDescent="0.35">
      <c r="A476" t="s">
        <v>1614</v>
      </c>
      <c r="B476" s="2">
        <v>45711</v>
      </c>
      <c r="C476" t="s">
        <v>192</v>
      </c>
      <c r="D476" t="s">
        <v>27</v>
      </c>
      <c r="E476" t="s">
        <v>76</v>
      </c>
      <c r="F476" t="s">
        <v>992</v>
      </c>
      <c r="G476">
        <v>2</v>
      </c>
      <c r="H476" t="s">
        <v>964</v>
      </c>
      <c r="I476">
        <v>67</v>
      </c>
      <c r="J476">
        <v>76</v>
      </c>
      <c r="K476" t="s">
        <v>965</v>
      </c>
      <c r="L476" t="s">
        <v>966</v>
      </c>
      <c r="N476" t="s">
        <v>1003</v>
      </c>
    </row>
    <row r="477" spans="1:14" ht="14.5" x14ac:dyDescent="0.35">
      <c r="A477" t="s">
        <v>1615</v>
      </c>
      <c r="B477" s="2">
        <v>46137</v>
      </c>
      <c r="C477" t="s">
        <v>363</v>
      </c>
      <c r="D477" t="s">
        <v>56</v>
      </c>
      <c r="E477" t="s">
        <v>112</v>
      </c>
      <c r="F477" t="s">
        <v>975</v>
      </c>
      <c r="G477">
        <v>2</v>
      </c>
      <c r="H477" t="s">
        <v>964</v>
      </c>
      <c r="I477">
        <v>52</v>
      </c>
      <c r="J477">
        <v>66</v>
      </c>
      <c r="K477" t="s">
        <v>965</v>
      </c>
      <c r="L477" t="s">
        <v>966</v>
      </c>
      <c r="N477" t="s">
        <v>961</v>
      </c>
    </row>
    <row r="478" spans="1:14" ht="14.5" x14ac:dyDescent="0.35">
      <c r="A478" t="s">
        <v>1616</v>
      </c>
      <c r="B478" s="2">
        <v>45852</v>
      </c>
      <c r="C478" t="s">
        <v>1447</v>
      </c>
      <c r="D478" t="s">
        <v>69</v>
      </c>
      <c r="E478" t="s">
        <v>117</v>
      </c>
      <c r="F478" t="s">
        <v>957</v>
      </c>
      <c r="G478">
        <v>5</v>
      </c>
      <c r="H478" t="s">
        <v>988</v>
      </c>
      <c r="I478">
        <v>77</v>
      </c>
      <c r="J478">
        <v>59</v>
      </c>
      <c r="K478" t="s">
        <v>965</v>
      </c>
      <c r="L478" t="s">
        <v>966</v>
      </c>
      <c r="N478" t="s">
        <v>1003</v>
      </c>
    </row>
    <row r="479" spans="1:14" ht="14.5" x14ac:dyDescent="0.35">
      <c r="A479" t="s">
        <v>1617</v>
      </c>
      <c r="B479" s="2">
        <v>46137</v>
      </c>
      <c r="C479" t="s">
        <v>619</v>
      </c>
      <c r="D479" t="s">
        <v>40</v>
      </c>
      <c r="E479" t="s">
        <v>65</v>
      </c>
      <c r="F479" t="s">
        <v>957</v>
      </c>
      <c r="G479">
        <v>12</v>
      </c>
      <c r="H479" t="s">
        <v>988</v>
      </c>
      <c r="I479">
        <v>59</v>
      </c>
      <c r="J479">
        <v>86</v>
      </c>
      <c r="K479" t="s">
        <v>1000</v>
      </c>
      <c r="L479" t="s">
        <v>966</v>
      </c>
      <c r="N479" t="s">
        <v>1003</v>
      </c>
    </row>
    <row r="480" spans="1:14" ht="14.5" x14ac:dyDescent="0.35">
      <c r="A480" t="s">
        <v>1618</v>
      </c>
      <c r="B480" s="2">
        <v>46012</v>
      </c>
      <c r="C480" t="s">
        <v>475</v>
      </c>
      <c r="D480" t="s">
        <v>108</v>
      </c>
      <c r="E480" t="s">
        <v>126</v>
      </c>
      <c r="F480" t="s">
        <v>963</v>
      </c>
      <c r="G480">
        <v>1</v>
      </c>
      <c r="H480" t="s">
        <v>964</v>
      </c>
      <c r="I480">
        <v>81</v>
      </c>
      <c r="J480">
        <v>81</v>
      </c>
      <c r="K480" t="s">
        <v>982</v>
      </c>
      <c r="L480" t="s">
        <v>966</v>
      </c>
      <c r="N480" t="s">
        <v>961</v>
      </c>
    </row>
    <row r="481" spans="1:14" ht="14.5" x14ac:dyDescent="0.35">
      <c r="A481" t="s">
        <v>1619</v>
      </c>
      <c r="B481" s="2">
        <v>46148</v>
      </c>
      <c r="C481" t="s">
        <v>390</v>
      </c>
      <c r="D481" t="s">
        <v>21</v>
      </c>
      <c r="E481" t="s">
        <v>22</v>
      </c>
      <c r="F481" t="s">
        <v>957</v>
      </c>
      <c r="G481">
        <v>10</v>
      </c>
      <c r="H481" t="s">
        <v>964</v>
      </c>
      <c r="I481">
        <v>58</v>
      </c>
      <c r="J481">
        <v>65</v>
      </c>
      <c r="K481" t="s">
        <v>982</v>
      </c>
      <c r="L481" t="s">
        <v>966</v>
      </c>
      <c r="N481" t="s">
        <v>967</v>
      </c>
    </row>
    <row r="482" spans="1:14" ht="14.5" x14ac:dyDescent="0.35">
      <c r="A482" t="s">
        <v>1620</v>
      </c>
      <c r="B482" s="2">
        <v>46021</v>
      </c>
      <c r="C482" t="s">
        <v>1560</v>
      </c>
      <c r="D482" t="s">
        <v>56</v>
      </c>
      <c r="E482" t="s">
        <v>112</v>
      </c>
      <c r="F482" t="s">
        <v>957</v>
      </c>
      <c r="G482">
        <v>6</v>
      </c>
      <c r="H482" t="s">
        <v>970</v>
      </c>
      <c r="I482">
        <v>86</v>
      </c>
      <c r="J482">
        <v>69</v>
      </c>
      <c r="K482" t="s">
        <v>982</v>
      </c>
      <c r="L482" t="s">
        <v>966</v>
      </c>
      <c r="N482" t="s">
        <v>967</v>
      </c>
    </row>
    <row r="483" spans="1:14" ht="14.5" x14ac:dyDescent="0.35">
      <c r="A483" t="s">
        <v>1621</v>
      </c>
      <c r="B483" s="2">
        <v>45868</v>
      </c>
      <c r="C483" t="s">
        <v>643</v>
      </c>
      <c r="D483" t="s">
        <v>36</v>
      </c>
      <c r="E483" t="s">
        <v>93</v>
      </c>
      <c r="F483" t="s">
        <v>975</v>
      </c>
      <c r="G483">
        <v>3</v>
      </c>
      <c r="H483" t="s">
        <v>1029</v>
      </c>
      <c r="I483">
        <v>46</v>
      </c>
      <c r="J483">
        <v>90</v>
      </c>
      <c r="K483" t="s">
        <v>965</v>
      </c>
      <c r="L483" t="s">
        <v>966</v>
      </c>
      <c r="N483" t="s">
        <v>961</v>
      </c>
    </row>
    <row r="484" spans="1:14" ht="14.5" x14ac:dyDescent="0.35">
      <c r="A484" t="s">
        <v>1622</v>
      </c>
      <c r="B484" s="2">
        <v>46249</v>
      </c>
      <c r="C484" t="s">
        <v>308</v>
      </c>
      <c r="D484" t="s">
        <v>27</v>
      </c>
      <c r="E484" t="s">
        <v>87</v>
      </c>
      <c r="F484" t="s">
        <v>1012</v>
      </c>
      <c r="G484">
        <v>2</v>
      </c>
      <c r="H484" t="s">
        <v>958</v>
      </c>
      <c r="I484">
        <v>85</v>
      </c>
      <c r="J484">
        <v>56</v>
      </c>
      <c r="K484" t="s">
        <v>982</v>
      </c>
      <c r="L484" t="s">
        <v>966</v>
      </c>
      <c r="N484" t="s">
        <v>973</v>
      </c>
    </row>
    <row r="485" spans="1:14" ht="14.5" x14ac:dyDescent="0.35">
      <c r="A485" t="s">
        <v>1623</v>
      </c>
      <c r="B485" s="2">
        <v>45698</v>
      </c>
      <c r="C485" t="s">
        <v>1102</v>
      </c>
      <c r="D485" t="s">
        <v>159</v>
      </c>
      <c r="E485" t="s">
        <v>160</v>
      </c>
      <c r="F485" t="s">
        <v>957</v>
      </c>
      <c r="G485">
        <v>7</v>
      </c>
      <c r="H485" t="s">
        <v>964</v>
      </c>
      <c r="I485">
        <v>88</v>
      </c>
      <c r="J485">
        <v>85</v>
      </c>
      <c r="K485" t="s">
        <v>1000</v>
      </c>
      <c r="L485" t="s">
        <v>966</v>
      </c>
      <c r="N485" t="s">
        <v>978</v>
      </c>
    </row>
    <row r="486" spans="1:14" ht="14.5" x14ac:dyDescent="0.35">
      <c r="A486" t="s">
        <v>1624</v>
      </c>
      <c r="B486" s="2">
        <v>46019</v>
      </c>
      <c r="C486" t="s">
        <v>282</v>
      </c>
      <c r="D486" t="s">
        <v>69</v>
      </c>
      <c r="E486" t="s">
        <v>70</v>
      </c>
      <c r="F486" t="s">
        <v>975</v>
      </c>
      <c r="G486">
        <v>12</v>
      </c>
      <c r="H486" t="s">
        <v>1029</v>
      </c>
      <c r="I486">
        <v>63</v>
      </c>
      <c r="J486">
        <v>74</v>
      </c>
      <c r="K486" t="s">
        <v>993</v>
      </c>
      <c r="L486" t="s">
        <v>966</v>
      </c>
      <c r="N486" t="s">
        <v>961</v>
      </c>
    </row>
    <row r="487" spans="1:14" ht="14.5" x14ac:dyDescent="0.35">
      <c r="A487" t="s">
        <v>1625</v>
      </c>
      <c r="B487" s="2">
        <v>46117</v>
      </c>
      <c r="C487" t="s">
        <v>891</v>
      </c>
      <c r="D487" t="s">
        <v>21</v>
      </c>
      <c r="E487" t="s">
        <v>49</v>
      </c>
      <c r="F487" t="s">
        <v>977</v>
      </c>
      <c r="G487">
        <v>0</v>
      </c>
      <c r="H487" t="s">
        <v>964</v>
      </c>
      <c r="I487">
        <v>80</v>
      </c>
      <c r="J487">
        <v>58</v>
      </c>
      <c r="K487" t="s">
        <v>965</v>
      </c>
      <c r="L487" t="s">
        <v>966</v>
      </c>
      <c r="N487" t="s">
        <v>961</v>
      </c>
    </row>
    <row r="488" spans="1:14" ht="14.5" x14ac:dyDescent="0.35">
      <c r="A488" t="s">
        <v>1626</v>
      </c>
      <c r="B488" s="2">
        <v>46159</v>
      </c>
      <c r="C488" t="s">
        <v>510</v>
      </c>
      <c r="D488" t="s">
        <v>56</v>
      </c>
      <c r="E488" t="s">
        <v>112</v>
      </c>
      <c r="F488" t="s">
        <v>963</v>
      </c>
      <c r="G488">
        <v>9</v>
      </c>
      <c r="H488" t="s">
        <v>995</v>
      </c>
      <c r="I488">
        <v>89</v>
      </c>
      <c r="J488">
        <v>67</v>
      </c>
      <c r="K488" t="s">
        <v>959</v>
      </c>
      <c r="L488" t="s">
        <v>960</v>
      </c>
      <c r="M488">
        <v>23</v>
      </c>
      <c r="N488" t="s">
        <v>973</v>
      </c>
    </row>
    <row r="489" spans="1:14" ht="14.5" x14ac:dyDescent="0.35">
      <c r="A489" t="s">
        <v>1627</v>
      </c>
      <c r="B489" s="2">
        <v>46019</v>
      </c>
      <c r="C489" t="s">
        <v>1628</v>
      </c>
      <c r="D489" t="s">
        <v>45</v>
      </c>
      <c r="E489" t="s">
        <v>46</v>
      </c>
      <c r="F489" t="s">
        <v>987</v>
      </c>
      <c r="G489">
        <v>5</v>
      </c>
      <c r="H489" t="s">
        <v>995</v>
      </c>
      <c r="I489">
        <v>50</v>
      </c>
      <c r="J489">
        <v>83</v>
      </c>
      <c r="K489" t="s">
        <v>971</v>
      </c>
      <c r="L489" t="s">
        <v>972</v>
      </c>
      <c r="N489" t="s">
        <v>967</v>
      </c>
    </row>
    <row r="490" spans="1:14" ht="14.5" x14ac:dyDescent="0.35">
      <c r="A490" t="s">
        <v>1629</v>
      </c>
      <c r="B490" s="2">
        <v>45968</v>
      </c>
      <c r="C490" t="s">
        <v>1031</v>
      </c>
      <c r="D490" t="s">
        <v>21</v>
      </c>
      <c r="E490" t="s">
        <v>49</v>
      </c>
      <c r="F490" t="s">
        <v>975</v>
      </c>
      <c r="G490">
        <v>11</v>
      </c>
      <c r="H490" t="s">
        <v>1029</v>
      </c>
      <c r="I490">
        <v>79</v>
      </c>
      <c r="J490">
        <v>89</v>
      </c>
      <c r="K490" t="s">
        <v>993</v>
      </c>
      <c r="L490" t="s">
        <v>966</v>
      </c>
      <c r="N490" t="s">
        <v>973</v>
      </c>
    </row>
    <row r="491" spans="1:14" ht="14.5" x14ac:dyDescent="0.35">
      <c r="A491" t="s">
        <v>1630</v>
      </c>
      <c r="B491" s="2">
        <v>45872</v>
      </c>
      <c r="C491" t="s">
        <v>1398</v>
      </c>
      <c r="D491" t="s">
        <v>52</v>
      </c>
      <c r="E491" t="s">
        <v>176</v>
      </c>
      <c r="F491" t="s">
        <v>987</v>
      </c>
      <c r="G491">
        <v>6</v>
      </c>
      <c r="H491" t="s">
        <v>1029</v>
      </c>
      <c r="I491">
        <v>45</v>
      </c>
      <c r="J491">
        <v>68</v>
      </c>
      <c r="K491" t="s">
        <v>965</v>
      </c>
      <c r="L491" t="s">
        <v>966</v>
      </c>
      <c r="N491" t="s">
        <v>967</v>
      </c>
    </row>
    <row r="492" spans="1:14" ht="14.5" x14ac:dyDescent="0.35">
      <c r="A492" t="s">
        <v>1631</v>
      </c>
      <c r="B492" s="2">
        <v>45852</v>
      </c>
      <c r="C492" t="s">
        <v>1632</v>
      </c>
      <c r="D492" t="s">
        <v>69</v>
      </c>
      <c r="E492" t="s">
        <v>105</v>
      </c>
      <c r="F492" t="s">
        <v>957</v>
      </c>
      <c r="G492">
        <v>10</v>
      </c>
      <c r="H492" t="s">
        <v>958</v>
      </c>
      <c r="I492">
        <v>62</v>
      </c>
      <c r="J492">
        <v>83</v>
      </c>
      <c r="K492" t="s">
        <v>965</v>
      </c>
      <c r="L492" t="s">
        <v>966</v>
      </c>
      <c r="N492" t="s">
        <v>1003</v>
      </c>
    </row>
    <row r="493" spans="1:14" ht="14.5" x14ac:dyDescent="0.35">
      <c r="A493" t="s">
        <v>1633</v>
      </c>
      <c r="B493" s="2">
        <v>45775</v>
      </c>
      <c r="C493" t="s">
        <v>1634</v>
      </c>
      <c r="D493" t="s">
        <v>69</v>
      </c>
      <c r="E493" t="s">
        <v>319</v>
      </c>
      <c r="F493" t="s">
        <v>977</v>
      </c>
      <c r="G493">
        <v>6</v>
      </c>
      <c r="H493" t="s">
        <v>988</v>
      </c>
      <c r="I493">
        <v>94</v>
      </c>
      <c r="J493">
        <v>76</v>
      </c>
      <c r="K493" t="s">
        <v>965</v>
      </c>
      <c r="L493" t="s">
        <v>966</v>
      </c>
      <c r="N493" t="s">
        <v>961</v>
      </c>
    </row>
    <row r="494" spans="1:14" ht="14.5" x14ac:dyDescent="0.35">
      <c r="A494" t="s">
        <v>1635</v>
      </c>
      <c r="B494" s="2">
        <v>45884</v>
      </c>
      <c r="C494" t="s">
        <v>1070</v>
      </c>
      <c r="D494" t="s">
        <v>56</v>
      </c>
      <c r="E494" t="s">
        <v>217</v>
      </c>
      <c r="F494" t="s">
        <v>975</v>
      </c>
      <c r="G494">
        <v>1</v>
      </c>
      <c r="H494" t="s">
        <v>981</v>
      </c>
      <c r="I494">
        <v>72</v>
      </c>
      <c r="J494">
        <v>93</v>
      </c>
      <c r="K494" t="s">
        <v>982</v>
      </c>
      <c r="L494" t="s">
        <v>966</v>
      </c>
      <c r="N494" t="s">
        <v>967</v>
      </c>
    </row>
    <row r="495" spans="1:14" ht="14.5" x14ac:dyDescent="0.35">
      <c r="A495" t="s">
        <v>1636</v>
      </c>
      <c r="B495" s="2">
        <v>45667</v>
      </c>
      <c r="C495" t="s">
        <v>772</v>
      </c>
      <c r="D495" t="s">
        <v>108</v>
      </c>
      <c r="E495" t="s">
        <v>126</v>
      </c>
      <c r="F495" t="s">
        <v>963</v>
      </c>
      <c r="G495">
        <v>3</v>
      </c>
      <c r="H495" t="s">
        <v>995</v>
      </c>
      <c r="I495">
        <v>58</v>
      </c>
      <c r="J495">
        <v>94</v>
      </c>
      <c r="K495" t="s">
        <v>965</v>
      </c>
      <c r="L495" t="s">
        <v>966</v>
      </c>
      <c r="N495" t="s">
        <v>961</v>
      </c>
    </row>
    <row r="496" spans="1:14" ht="14.5" x14ac:dyDescent="0.35">
      <c r="A496" t="s">
        <v>1637</v>
      </c>
      <c r="B496" s="2">
        <v>46104</v>
      </c>
      <c r="C496" t="s">
        <v>267</v>
      </c>
      <c r="D496" t="s">
        <v>56</v>
      </c>
      <c r="E496" t="s">
        <v>79</v>
      </c>
      <c r="F496" t="s">
        <v>963</v>
      </c>
      <c r="G496">
        <v>6</v>
      </c>
      <c r="H496" t="s">
        <v>970</v>
      </c>
      <c r="I496">
        <v>61</v>
      </c>
      <c r="J496">
        <v>77</v>
      </c>
      <c r="K496" t="s">
        <v>1000</v>
      </c>
      <c r="L496" t="s">
        <v>966</v>
      </c>
      <c r="N496" t="s">
        <v>1003</v>
      </c>
    </row>
    <row r="497" spans="1:14" ht="14.5" x14ac:dyDescent="0.35">
      <c r="A497" t="s">
        <v>1638</v>
      </c>
      <c r="B497" s="2">
        <v>45760</v>
      </c>
      <c r="C497" t="s">
        <v>641</v>
      </c>
      <c r="D497" t="s">
        <v>27</v>
      </c>
      <c r="E497" t="s">
        <v>28</v>
      </c>
      <c r="F497" t="s">
        <v>957</v>
      </c>
      <c r="G497">
        <v>5</v>
      </c>
      <c r="H497" t="s">
        <v>988</v>
      </c>
      <c r="I497">
        <v>91</v>
      </c>
      <c r="J497">
        <v>81</v>
      </c>
      <c r="K497" t="s">
        <v>965</v>
      </c>
      <c r="L497" t="s">
        <v>966</v>
      </c>
      <c r="N497" t="s">
        <v>978</v>
      </c>
    </row>
    <row r="498" spans="1:14" ht="14.5" x14ac:dyDescent="0.35">
      <c r="A498" t="s">
        <v>1639</v>
      </c>
      <c r="B498" s="2">
        <v>45661</v>
      </c>
      <c r="C498" t="s">
        <v>1640</v>
      </c>
      <c r="D498" t="s">
        <v>159</v>
      </c>
      <c r="E498" t="s">
        <v>187</v>
      </c>
      <c r="F498" t="s">
        <v>963</v>
      </c>
      <c r="G498">
        <v>9</v>
      </c>
      <c r="H498" t="s">
        <v>981</v>
      </c>
      <c r="I498">
        <v>53</v>
      </c>
      <c r="J498">
        <v>58</v>
      </c>
      <c r="K498" t="s">
        <v>965</v>
      </c>
      <c r="L498" t="s">
        <v>966</v>
      </c>
      <c r="N498" t="s">
        <v>961</v>
      </c>
    </row>
    <row r="499" spans="1:14" ht="14.5" x14ac:dyDescent="0.35">
      <c r="A499" t="s">
        <v>1641</v>
      </c>
      <c r="B499" s="2">
        <v>46244</v>
      </c>
      <c r="C499" t="s">
        <v>400</v>
      </c>
      <c r="D499" t="s">
        <v>45</v>
      </c>
      <c r="E499" t="s">
        <v>239</v>
      </c>
      <c r="F499" t="s">
        <v>977</v>
      </c>
      <c r="G499">
        <v>11</v>
      </c>
      <c r="H499" t="s">
        <v>1029</v>
      </c>
      <c r="I499">
        <v>71</v>
      </c>
      <c r="J499">
        <v>46</v>
      </c>
      <c r="K499" t="s">
        <v>959</v>
      </c>
      <c r="L499" t="s">
        <v>960</v>
      </c>
      <c r="M499">
        <v>22</v>
      </c>
      <c r="N499" t="s">
        <v>1003</v>
      </c>
    </row>
    <row r="500" spans="1:14" ht="14.5" x14ac:dyDescent="0.35">
      <c r="A500" t="s">
        <v>1642</v>
      </c>
      <c r="B500" s="2">
        <v>45908</v>
      </c>
      <c r="C500" t="s">
        <v>855</v>
      </c>
      <c r="D500" t="s">
        <v>40</v>
      </c>
      <c r="E500" t="s">
        <v>90</v>
      </c>
      <c r="F500" t="s">
        <v>963</v>
      </c>
      <c r="G500">
        <v>11</v>
      </c>
      <c r="H500" t="s">
        <v>988</v>
      </c>
      <c r="I500">
        <v>55</v>
      </c>
      <c r="J500">
        <v>48</v>
      </c>
      <c r="K500" t="s">
        <v>971</v>
      </c>
      <c r="L500" t="s">
        <v>972</v>
      </c>
      <c r="N500" t="s">
        <v>967</v>
      </c>
    </row>
    <row r="501" spans="1:14" ht="14.5" x14ac:dyDescent="0.35">
      <c r="A501" t="s">
        <v>1643</v>
      </c>
      <c r="B501" s="2">
        <v>46113</v>
      </c>
      <c r="C501" t="s">
        <v>149</v>
      </c>
      <c r="D501" t="s">
        <v>69</v>
      </c>
      <c r="E501" t="s">
        <v>70</v>
      </c>
      <c r="F501" t="s">
        <v>992</v>
      </c>
      <c r="G501">
        <v>10</v>
      </c>
      <c r="H501" t="s">
        <v>981</v>
      </c>
      <c r="I501">
        <v>64</v>
      </c>
      <c r="J501">
        <v>55</v>
      </c>
      <c r="K501" t="s">
        <v>993</v>
      </c>
      <c r="L501" t="s">
        <v>966</v>
      </c>
      <c r="N501" t="s">
        <v>1003</v>
      </c>
    </row>
  </sheetData>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9C12"/>
  </sheetPr>
  <dimension ref="A1:L501"/>
  <sheetViews>
    <sheetView zoomScaleNormal="100" workbookViewId="0">
      <pane ySplit="1" topLeftCell="A2" activePane="bottomLeft" state="frozen"/>
      <selection pane="bottomLeft" activeCell="H6" sqref="A2:L501"/>
    </sheetView>
  </sheetViews>
  <sheetFormatPr defaultColWidth="8.6328125" defaultRowHeight="15" customHeight="1" x14ac:dyDescent="0.35"/>
  <cols>
    <col min="1" max="1" width="14.7265625" customWidth="1"/>
    <col min="2" max="2" width="22" customWidth="1"/>
    <col min="3" max="3" width="18" customWidth="1"/>
    <col min="4" max="4" width="27" customWidth="1"/>
    <col min="5" max="5" width="20.453125" customWidth="1"/>
    <col min="6" max="7" width="17" customWidth="1"/>
    <col min="8" max="8" width="14" customWidth="1"/>
    <col min="9" max="9" width="17" customWidth="1"/>
    <col min="10" max="10" width="21.54296875" customWidth="1"/>
    <col min="11" max="11" width="14.6328125" customWidth="1"/>
    <col min="12" max="12" width="19.08984375" customWidth="1"/>
  </cols>
  <sheetData>
    <row r="1" spans="1:12" ht="30" customHeight="1" x14ac:dyDescent="0.35">
      <c r="A1" s="1" t="s">
        <v>7</v>
      </c>
      <c r="B1" s="1" t="s">
        <v>8</v>
      </c>
      <c r="C1" s="1" t="s">
        <v>0</v>
      </c>
      <c r="D1" s="1" t="s">
        <v>9</v>
      </c>
      <c r="E1" s="1" t="s">
        <v>949</v>
      </c>
      <c r="F1" s="1" t="s">
        <v>925</v>
      </c>
      <c r="G1" s="1" t="s">
        <v>1644</v>
      </c>
      <c r="H1" s="1" t="s">
        <v>1645</v>
      </c>
      <c r="I1" s="1" t="s">
        <v>1646</v>
      </c>
      <c r="J1" s="1" t="s">
        <v>1647</v>
      </c>
      <c r="K1" s="1" t="s">
        <v>1648</v>
      </c>
      <c r="L1" s="1" t="s">
        <v>1649</v>
      </c>
    </row>
    <row r="2" spans="1:12" ht="14.5" x14ac:dyDescent="0.35">
      <c r="A2" t="s">
        <v>19</v>
      </c>
      <c r="B2" t="s">
        <v>20</v>
      </c>
      <c r="C2" t="s">
        <v>21</v>
      </c>
      <c r="D2" t="s">
        <v>22</v>
      </c>
      <c r="E2">
        <v>5.2</v>
      </c>
      <c r="F2">
        <v>46289</v>
      </c>
      <c r="G2">
        <v>555468</v>
      </c>
      <c r="H2">
        <v>9.5</v>
      </c>
      <c r="I2">
        <v>52769</v>
      </c>
      <c r="J2">
        <v>608237</v>
      </c>
      <c r="K2" t="s">
        <v>1650</v>
      </c>
      <c r="L2">
        <v>13.5</v>
      </c>
    </row>
    <row r="3" spans="1:12" ht="14.5" x14ac:dyDescent="0.35">
      <c r="A3" t="s">
        <v>25</v>
      </c>
      <c r="B3" t="s">
        <v>26</v>
      </c>
      <c r="C3" t="s">
        <v>27</v>
      </c>
      <c r="D3" t="s">
        <v>28</v>
      </c>
      <c r="E3">
        <v>7.4</v>
      </c>
      <c r="F3">
        <v>40280</v>
      </c>
      <c r="G3">
        <v>483360</v>
      </c>
      <c r="H3">
        <v>14.3</v>
      </c>
      <c r="I3">
        <v>69120</v>
      </c>
      <c r="J3">
        <v>552480</v>
      </c>
      <c r="K3" t="s">
        <v>1651</v>
      </c>
      <c r="L3">
        <v>4.7</v>
      </c>
    </row>
    <row r="4" spans="1:12" ht="14.5" x14ac:dyDescent="0.35">
      <c r="A4" t="s">
        <v>30</v>
      </c>
      <c r="B4" t="s">
        <v>31</v>
      </c>
      <c r="C4" t="s">
        <v>27</v>
      </c>
      <c r="D4" t="s">
        <v>28</v>
      </c>
      <c r="E4">
        <v>3</v>
      </c>
      <c r="F4">
        <v>56893</v>
      </c>
      <c r="G4">
        <v>682716</v>
      </c>
      <c r="H4">
        <v>11.9</v>
      </c>
      <c r="I4">
        <v>81243</v>
      </c>
      <c r="J4">
        <v>763959</v>
      </c>
      <c r="K4" t="s">
        <v>1652</v>
      </c>
      <c r="L4">
        <v>4.8</v>
      </c>
    </row>
    <row r="5" spans="1:12" ht="14.5" x14ac:dyDescent="0.35">
      <c r="A5" t="s">
        <v>34</v>
      </c>
      <c r="B5" t="s">
        <v>35</v>
      </c>
      <c r="C5" t="s">
        <v>36</v>
      </c>
      <c r="D5" t="s">
        <v>37</v>
      </c>
      <c r="E5">
        <v>3.9</v>
      </c>
      <c r="F5">
        <v>64421</v>
      </c>
      <c r="G5">
        <v>773052</v>
      </c>
      <c r="H5">
        <v>14.9</v>
      </c>
      <c r="I5">
        <v>115185</v>
      </c>
      <c r="J5">
        <v>888237</v>
      </c>
      <c r="K5" t="s">
        <v>1653</v>
      </c>
      <c r="L5">
        <v>12.4</v>
      </c>
    </row>
    <row r="6" spans="1:12" ht="14.5" x14ac:dyDescent="0.35">
      <c r="A6" t="s">
        <v>38</v>
      </c>
      <c r="B6" t="s">
        <v>39</v>
      </c>
      <c r="C6" t="s">
        <v>40</v>
      </c>
      <c r="D6" t="s">
        <v>41</v>
      </c>
      <c r="E6">
        <v>6.7</v>
      </c>
      <c r="F6">
        <v>75052</v>
      </c>
      <c r="G6">
        <v>900624</v>
      </c>
      <c r="H6">
        <v>14</v>
      </c>
      <c r="I6">
        <v>126087</v>
      </c>
      <c r="J6">
        <v>1026711</v>
      </c>
      <c r="K6" t="s">
        <v>1652</v>
      </c>
      <c r="L6">
        <v>8.3000000000000007</v>
      </c>
    </row>
    <row r="7" spans="1:12" ht="14.5" x14ac:dyDescent="0.35">
      <c r="A7" t="s">
        <v>43</v>
      </c>
      <c r="B7" t="s">
        <v>44</v>
      </c>
      <c r="C7" t="s">
        <v>45</v>
      </c>
      <c r="D7" t="s">
        <v>46</v>
      </c>
      <c r="E7">
        <v>1.7</v>
      </c>
      <c r="F7">
        <v>44361</v>
      </c>
      <c r="G7">
        <v>532332</v>
      </c>
      <c r="H7">
        <v>6.4</v>
      </c>
      <c r="I7">
        <v>34069</v>
      </c>
      <c r="J7">
        <v>566401</v>
      </c>
      <c r="K7" t="s">
        <v>1654</v>
      </c>
      <c r="L7">
        <v>11.7</v>
      </c>
    </row>
    <row r="8" spans="1:12" ht="14.5" x14ac:dyDescent="0.35">
      <c r="A8" t="s">
        <v>47</v>
      </c>
      <c r="B8" t="s">
        <v>48</v>
      </c>
      <c r="C8" t="s">
        <v>21</v>
      </c>
      <c r="D8" t="s">
        <v>49</v>
      </c>
      <c r="E8">
        <v>1.3</v>
      </c>
      <c r="F8">
        <v>53203</v>
      </c>
      <c r="G8">
        <v>638436</v>
      </c>
      <c r="H8">
        <v>11.7</v>
      </c>
      <c r="I8">
        <v>74697</v>
      </c>
      <c r="J8">
        <v>713133</v>
      </c>
      <c r="K8" t="s">
        <v>1655</v>
      </c>
      <c r="L8">
        <v>5.4</v>
      </c>
    </row>
    <row r="9" spans="1:12" ht="14.5" x14ac:dyDescent="0.35">
      <c r="A9" t="s">
        <v>50</v>
      </c>
      <c r="B9" t="s">
        <v>51</v>
      </c>
      <c r="C9" t="s">
        <v>52</v>
      </c>
      <c r="D9" t="s">
        <v>53</v>
      </c>
      <c r="E9">
        <v>6.9</v>
      </c>
      <c r="F9">
        <v>58512</v>
      </c>
      <c r="G9">
        <v>702144</v>
      </c>
      <c r="H9">
        <v>14</v>
      </c>
      <c r="I9">
        <v>98300</v>
      </c>
      <c r="J9">
        <v>800444</v>
      </c>
      <c r="K9" t="s">
        <v>1652</v>
      </c>
      <c r="L9">
        <v>8.3000000000000007</v>
      </c>
    </row>
    <row r="10" spans="1:12" ht="14.5" x14ac:dyDescent="0.35">
      <c r="A10" t="s">
        <v>54</v>
      </c>
      <c r="B10" t="s">
        <v>55</v>
      </c>
      <c r="C10" t="s">
        <v>56</v>
      </c>
      <c r="D10" t="s">
        <v>57</v>
      </c>
      <c r="E10">
        <v>5.9</v>
      </c>
      <c r="F10">
        <v>76520</v>
      </c>
      <c r="G10">
        <v>918240</v>
      </c>
      <c r="H10">
        <v>5.9</v>
      </c>
      <c r="I10">
        <v>54176</v>
      </c>
      <c r="J10">
        <v>972416</v>
      </c>
      <c r="K10" t="s">
        <v>1654</v>
      </c>
      <c r="L10">
        <v>8.1999999999999993</v>
      </c>
    </row>
    <row r="11" spans="1:12" ht="14.5" x14ac:dyDescent="0.35">
      <c r="A11" t="s">
        <v>58</v>
      </c>
      <c r="B11" t="s">
        <v>59</v>
      </c>
      <c r="C11" t="s">
        <v>36</v>
      </c>
      <c r="D11" t="s">
        <v>37</v>
      </c>
      <c r="E11">
        <v>5</v>
      </c>
      <c r="F11">
        <v>49417</v>
      </c>
      <c r="G11">
        <v>593004</v>
      </c>
      <c r="H11">
        <v>10.5</v>
      </c>
      <c r="I11">
        <v>62265</v>
      </c>
      <c r="J11">
        <v>655269</v>
      </c>
      <c r="K11" t="s">
        <v>1655</v>
      </c>
      <c r="L11">
        <v>13.6</v>
      </c>
    </row>
    <row r="12" spans="1:12" ht="14.5" x14ac:dyDescent="0.35">
      <c r="A12" t="s">
        <v>60</v>
      </c>
      <c r="B12" t="s">
        <v>61</v>
      </c>
      <c r="C12" t="s">
        <v>36</v>
      </c>
      <c r="D12" t="s">
        <v>62</v>
      </c>
      <c r="E12">
        <v>7.1</v>
      </c>
      <c r="F12">
        <v>58021</v>
      </c>
      <c r="G12">
        <v>696252</v>
      </c>
      <c r="H12">
        <v>13.1</v>
      </c>
      <c r="I12">
        <v>91209</v>
      </c>
      <c r="J12">
        <v>787461</v>
      </c>
      <c r="K12" t="s">
        <v>1655</v>
      </c>
      <c r="L12">
        <v>14.3</v>
      </c>
    </row>
    <row r="13" spans="1:12" ht="14.5" x14ac:dyDescent="0.35">
      <c r="A13" t="s">
        <v>63</v>
      </c>
      <c r="B13" t="s">
        <v>64</v>
      </c>
      <c r="C13" t="s">
        <v>40</v>
      </c>
      <c r="D13" t="s">
        <v>65</v>
      </c>
      <c r="E13">
        <v>5.4</v>
      </c>
      <c r="F13">
        <v>102341</v>
      </c>
      <c r="G13">
        <v>1228092</v>
      </c>
      <c r="H13">
        <v>11</v>
      </c>
      <c r="I13">
        <v>135090</v>
      </c>
      <c r="J13">
        <v>1363182</v>
      </c>
      <c r="K13" t="s">
        <v>1654</v>
      </c>
      <c r="L13">
        <v>5.9</v>
      </c>
    </row>
    <row r="14" spans="1:12" ht="14.5" x14ac:dyDescent="0.35">
      <c r="A14" t="s">
        <v>67</v>
      </c>
      <c r="B14" t="s">
        <v>68</v>
      </c>
      <c r="C14" t="s">
        <v>69</v>
      </c>
      <c r="D14" t="s">
        <v>70</v>
      </c>
      <c r="E14">
        <v>6.1</v>
      </c>
      <c r="F14">
        <v>62718</v>
      </c>
      <c r="G14">
        <v>752616</v>
      </c>
      <c r="H14">
        <v>8.5</v>
      </c>
      <c r="I14">
        <v>63972</v>
      </c>
      <c r="J14">
        <v>816588</v>
      </c>
      <c r="K14" t="s">
        <v>1652</v>
      </c>
      <c r="L14">
        <v>8.6999999999999993</v>
      </c>
    </row>
    <row r="15" spans="1:12" ht="14.5" x14ac:dyDescent="0.35">
      <c r="A15" t="s">
        <v>71</v>
      </c>
      <c r="B15" t="s">
        <v>72</v>
      </c>
      <c r="C15" t="s">
        <v>27</v>
      </c>
      <c r="D15" t="s">
        <v>73</v>
      </c>
      <c r="E15">
        <v>3.3</v>
      </c>
      <c r="F15">
        <v>75447</v>
      </c>
      <c r="G15">
        <v>905364</v>
      </c>
      <c r="H15">
        <v>7.6</v>
      </c>
      <c r="I15">
        <v>68808</v>
      </c>
      <c r="J15">
        <v>974172</v>
      </c>
      <c r="K15" t="s">
        <v>1650</v>
      </c>
      <c r="L15">
        <v>13.8</v>
      </c>
    </row>
    <row r="16" spans="1:12" ht="14.5" x14ac:dyDescent="0.35">
      <c r="A16" t="s">
        <v>74</v>
      </c>
      <c r="B16" t="s">
        <v>75</v>
      </c>
      <c r="C16" t="s">
        <v>27</v>
      </c>
      <c r="D16" t="s">
        <v>76</v>
      </c>
      <c r="E16">
        <v>6.5</v>
      </c>
      <c r="F16">
        <v>48033</v>
      </c>
      <c r="G16">
        <v>576396</v>
      </c>
      <c r="H16">
        <v>17.3</v>
      </c>
      <c r="I16">
        <v>99717</v>
      </c>
      <c r="J16">
        <v>676113</v>
      </c>
      <c r="K16" t="s">
        <v>1650</v>
      </c>
      <c r="L16">
        <v>9.1999999999999993</v>
      </c>
    </row>
    <row r="17" spans="1:12" ht="14.5" x14ac:dyDescent="0.35">
      <c r="A17" t="s">
        <v>77</v>
      </c>
      <c r="B17" t="s">
        <v>78</v>
      </c>
      <c r="C17" t="s">
        <v>56</v>
      </c>
      <c r="D17" t="s">
        <v>79</v>
      </c>
      <c r="E17">
        <v>1.1000000000000001</v>
      </c>
      <c r="F17">
        <v>89348</v>
      </c>
      <c r="G17">
        <v>1072176</v>
      </c>
      <c r="H17">
        <v>4.0999999999999996</v>
      </c>
      <c r="I17">
        <v>43959</v>
      </c>
      <c r="J17">
        <v>1116135</v>
      </c>
      <c r="K17" t="s">
        <v>1651</v>
      </c>
      <c r="L17">
        <v>9.6999999999999993</v>
      </c>
    </row>
    <row r="18" spans="1:12" ht="14.5" x14ac:dyDescent="0.35">
      <c r="A18" t="s">
        <v>80</v>
      </c>
      <c r="B18" t="s">
        <v>81</v>
      </c>
      <c r="C18" t="s">
        <v>27</v>
      </c>
      <c r="D18" t="s">
        <v>28</v>
      </c>
      <c r="E18">
        <v>4.8</v>
      </c>
      <c r="F18">
        <v>112012</v>
      </c>
      <c r="G18">
        <v>1344144</v>
      </c>
      <c r="H18">
        <v>5.9</v>
      </c>
      <c r="I18">
        <v>79304</v>
      </c>
      <c r="J18">
        <v>1423448</v>
      </c>
      <c r="K18" t="s">
        <v>1655</v>
      </c>
      <c r="L18">
        <v>9.1999999999999993</v>
      </c>
    </row>
    <row r="19" spans="1:12" ht="14.5" x14ac:dyDescent="0.35">
      <c r="A19" t="s">
        <v>82</v>
      </c>
      <c r="B19" t="s">
        <v>83</v>
      </c>
      <c r="C19" t="s">
        <v>36</v>
      </c>
      <c r="D19" t="s">
        <v>84</v>
      </c>
      <c r="E19">
        <v>7.7</v>
      </c>
      <c r="F19">
        <v>122646</v>
      </c>
      <c r="G19">
        <v>1471752</v>
      </c>
      <c r="H19">
        <v>16</v>
      </c>
      <c r="I19">
        <v>235480</v>
      </c>
      <c r="J19">
        <v>1707232</v>
      </c>
      <c r="K19" t="s">
        <v>1654</v>
      </c>
      <c r="L19">
        <v>6.3</v>
      </c>
    </row>
    <row r="20" spans="1:12" ht="14.5" x14ac:dyDescent="0.35">
      <c r="A20" t="s">
        <v>85</v>
      </c>
      <c r="B20" t="s">
        <v>86</v>
      </c>
      <c r="C20" t="s">
        <v>27</v>
      </c>
      <c r="D20" t="s">
        <v>87</v>
      </c>
      <c r="E20">
        <v>2.1</v>
      </c>
      <c r="F20">
        <v>107818</v>
      </c>
      <c r="G20">
        <v>1293816</v>
      </c>
      <c r="H20">
        <v>12.1</v>
      </c>
      <c r="I20">
        <v>156552</v>
      </c>
      <c r="J20">
        <v>1450368</v>
      </c>
      <c r="K20" t="s">
        <v>1651</v>
      </c>
      <c r="L20">
        <v>8.9</v>
      </c>
    </row>
    <row r="21" spans="1:12" ht="14.5" x14ac:dyDescent="0.35">
      <c r="A21" t="s">
        <v>88</v>
      </c>
      <c r="B21" t="s">
        <v>89</v>
      </c>
      <c r="C21" t="s">
        <v>40</v>
      </c>
      <c r="D21" t="s">
        <v>90</v>
      </c>
      <c r="E21">
        <v>2.2999999999999998</v>
      </c>
      <c r="F21">
        <v>30552</v>
      </c>
      <c r="G21">
        <v>366624</v>
      </c>
      <c r="H21">
        <v>12.2</v>
      </c>
      <c r="I21">
        <v>44728</v>
      </c>
      <c r="J21">
        <v>411352</v>
      </c>
      <c r="K21" t="s">
        <v>1652</v>
      </c>
      <c r="L21">
        <v>8.4</v>
      </c>
    </row>
    <row r="22" spans="1:12" ht="14.5" x14ac:dyDescent="0.35">
      <c r="A22" t="s">
        <v>91</v>
      </c>
      <c r="B22" t="s">
        <v>92</v>
      </c>
      <c r="C22" t="s">
        <v>36</v>
      </c>
      <c r="D22" t="s">
        <v>93</v>
      </c>
      <c r="E22">
        <v>1.4</v>
      </c>
      <c r="F22">
        <v>38322</v>
      </c>
      <c r="G22">
        <v>459864</v>
      </c>
      <c r="H22">
        <v>12.7</v>
      </c>
      <c r="I22">
        <v>58403</v>
      </c>
      <c r="J22">
        <v>518267</v>
      </c>
      <c r="K22" t="s">
        <v>1654</v>
      </c>
      <c r="L22">
        <v>13.9</v>
      </c>
    </row>
    <row r="23" spans="1:12" ht="14.5" x14ac:dyDescent="0.35">
      <c r="A23" t="s">
        <v>94</v>
      </c>
      <c r="B23" t="s">
        <v>95</v>
      </c>
      <c r="C23" t="s">
        <v>21</v>
      </c>
      <c r="D23" t="s">
        <v>49</v>
      </c>
      <c r="E23">
        <v>2.4</v>
      </c>
      <c r="F23">
        <v>100063</v>
      </c>
      <c r="G23">
        <v>1200756</v>
      </c>
      <c r="H23">
        <v>17.100000000000001</v>
      </c>
      <c r="I23">
        <v>205329</v>
      </c>
      <c r="J23">
        <v>1406085</v>
      </c>
      <c r="K23" t="s">
        <v>1651</v>
      </c>
      <c r="L23">
        <v>13.9</v>
      </c>
    </row>
    <row r="24" spans="1:12" ht="14.5" x14ac:dyDescent="0.35">
      <c r="A24" t="s">
        <v>96</v>
      </c>
      <c r="B24" t="s">
        <v>97</v>
      </c>
      <c r="C24" t="s">
        <v>27</v>
      </c>
      <c r="D24" t="s">
        <v>76</v>
      </c>
      <c r="E24">
        <v>5.5</v>
      </c>
      <c r="F24">
        <v>121447</v>
      </c>
      <c r="G24">
        <v>1457364</v>
      </c>
      <c r="H24">
        <v>16.2</v>
      </c>
      <c r="I24">
        <v>236093</v>
      </c>
      <c r="J24">
        <v>1693457</v>
      </c>
      <c r="K24" t="s">
        <v>1652</v>
      </c>
      <c r="L24">
        <v>8.4</v>
      </c>
    </row>
    <row r="25" spans="1:12" ht="14.5" x14ac:dyDescent="0.35">
      <c r="A25" t="s">
        <v>98</v>
      </c>
      <c r="B25" t="s">
        <v>99</v>
      </c>
      <c r="C25" t="s">
        <v>40</v>
      </c>
      <c r="D25" t="s">
        <v>65</v>
      </c>
      <c r="E25">
        <v>5</v>
      </c>
      <c r="F25">
        <v>57451</v>
      </c>
      <c r="G25">
        <v>689412</v>
      </c>
      <c r="H25">
        <v>12.6</v>
      </c>
      <c r="I25">
        <v>86866</v>
      </c>
      <c r="J25">
        <v>776278</v>
      </c>
      <c r="K25" t="s">
        <v>1654</v>
      </c>
      <c r="L25">
        <v>3.4</v>
      </c>
    </row>
    <row r="26" spans="1:12" ht="14.5" x14ac:dyDescent="0.35">
      <c r="A26" t="s">
        <v>100</v>
      </c>
      <c r="B26" t="s">
        <v>101</v>
      </c>
      <c r="C26" t="s">
        <v>52</v>
      </c>
      <c r="D26" t="s">
        <v>102</v>
      </c>
      <c r="E26">
        <v>5.3</v>
      </c>
      <c r="F26">
        <v>28942</v>
      </c>
      <c r="G26">
        <v>347304</v>
      </c>
      <c r="H26">
        <v>14.6</v>
      </c>
      <c r="I26">
        <v>50706</v>
      </c>
      <c r="J26">
        <v>398010</v>
      </c>
      <c r="K26" t="s">
        <v>1651</v>
      </c>
      <c r="L26">
        <v>4.8</v>
      </c>
    </row>
    <row r="27" spans="1:12" ht="14.5" x14ac:dyDescent="0.35">
      <c r="A27" t="s">
        <v>103</v>
      </c>
      <c r="B27" t="s">
        <v>104</v>
      </c>
      <c r="C27" t="s">
        <v>69</v>
      </c>
      <c r="D27" t="s">
        <v>105</v>
      </c>
      <c r="E27">
        <v>7</v>
      </c>
      <c r="F27">
        <v>95391</v>
      </c>
      <c r="G27">
        <v>1144692</v>
      </c>
      <c r="H27">
        <v>6.3</v>
      </c>
      <c r="I27">
        <v>72116</v>
      </c>
      <c r="J27">
        <v>1216808</v>
      </c>
      <c r="K27" t="s">
        <v>1650</v>
      </c>
      <c r="L27">
        <v>9.4</v>
      </c>
    </row>
    <row r="28" spans="1:12" ht="14.5" x14ac:dyDescent="0.35">
      <c r="A28" t="s">
        <v>106</v>
      </c>
      <c r="B28" t="s">
        <v>107</v>
      </c>
      <c r="C28" t="s">
        <v>108</v>
      </c>
      <c r="D28" t="s">
        <v>109</v>
      </c>
      <c r="E28">
        <v>1.3</v>
      </c>
      <c r="F28">
        <v>89953</v>
      </c>
      <c r="G28">
        <v>1079436</v>
      </c>
      <c r="H28">
        <v>11.5</v>
      </c>
      <c r="I28">
        <v>124135</v>
      </c>
      <c r="J28">
        <v>1203571</v>
      </c>
      <c r="K28" t="s">
        <v>1650</v>
      </c>
      <c r="L28">
        <v>5</v>
      </c>
    </row>
    <row r="29" spans="1:12" ht="14.5" x14ac:dyDescent="0.35">
      <c r="A29" t="s">
        <v>110</v>
      </c>
      <c r="B29" t="s">
        <v>111</v>
      </c>
      <c r="C29" t="s">
        <v>56</v>
      </c>
      <c r="D29" t="s">
        <v>112</v>
      </c>
      <c r="E29">
        <v>2.9</v>
      </c>
      <c r="F29">
        <v>74438</v>
      </c>
      <c r="G29">
        <v>893256</v>
      </c>
      <c r="H29">
        <v>7</v>
      </c>
      <c r="I29">
        <v>62528</v>
      </c>
      <c r="J29">
        <v>955784</v>
      </c>
      <c r="K29" t="s">
        <v>1651</v>
      </c>
      <c r="L29">
        <v>9.8000000000000007</v>
      </c>
    </row>
    <row r="30" spans="1:12" ht="14.5" x14ac:dyDescent="0.35">
      <c r="A30" t="s">
        <v>113</v>
      </c>
      <c r="B30" t="s">
        <v>81</v>
      </c>
      <c r="C30" t="s">
        <v>108</v>
      </c>
      <c r="D30" t="s">
        <v>114</v>
      </c>
      <c r="E30">
        <v>3.2</v>
      </c>
      <c r="F30">
        <v>123448</v>
      </c>
      <c r="G30">
        <v>1481376</v>
      </c>
      <c r="H30">
        <v>16.100000000000001</v>
      </c>
      <c r="I30">
        <v>238502</v>
      </c>
      <c r="J30">
        <v>1719878</v>
      </c>
      <c r="K30" t="s">
        <v>1651</v>
      </c>
      <c r="L30">
        <v>3</v>
      </c>
    </row>
    <row r="31" spans="1:12" ht="14.5" x14ac:dyDescent="0.35">
      <c r="A31" t="s">
        <v>115</v>
      </c>
      <c r="B31" t="s">
        <v>116</v>
      </c>
      <c r="C31" t="s">
        <v>69</v>
      </c>
      <c r="D31" t="s">
        <v>117</v>
      </c>
      <c r="E31">
        <v>2.7</v>
      </c>
      <c r="F31">
        <v>46373</v>
      </c>
      <c r="G31">
        <v>556476</v>
      </c>
      <c r="H31">
        <v>11.9</v>
      </c>
      <c r="I31">
        <v>66221</v>
      </c>
      <c r="J31">
        <v>622697</v>
      </c>
      <c r="K31" t="s">
        <v>1651</v>
      </c>
      <c r="L31">
        <v>8.6999999999999993</v>
      </c>
    </row>
    <row r="32" spans="1:12" ht="14.5" x14ac:dyDescent="0.35">
      <c r="A32" t="s">
        <v>118</v>
      </c>
      <c r="B32" t="s">
        <v>119</v>
      </c>
      <c r="C32" t="s">
        <v>36</v>
      </c>
      <c r="D32" t="s">
        <v>84</v>
      </c>
      <c r="E32">
        <v>2.8</v>
      </c>
      <c r="F32">
        <v>100132</v>
      </c>
      <c r="G32">
        <v>1201584</v>
      </c>
      <c r="H32">
        <v>16.100000000000001</v>
      </c>
      <c r="I32">
        <v>193455</v>
      </c>
      <c r="J32">
        <v>1395039</v>
      </c>
      <c r="K32" t="s">
        <v>1655</v>
      </c>
      <c r="L32">
        <v>11</v>
      </c>
    </row>
    <row r="33" spans="1:12" ht="14.5" x14ac:dyDescent="0.35">
      <c r="A33" t="s">
        <v>120</v>
      </c>
      <c r="B33" t="s">
        <v>121</v>
      </c>
      <c r="C33" t="s">
        <v>27</v>
      </c>
      <c r="D33" t="s">
        <v>28</v>
      </c>
      <c r="E33">
        <v>5.9</v>
      </c>
      <c r="F33">
        <v>81269</v>
      </c>
      <c r="G33">
        <v>975228</v>
      </c>
      <c r="H33">
        <v>16.5</v>
      </c>
      <c r="I33">
        <v>160913</v>
      </c>
      <c r="J33">
        <v>1136141</v>
      </c>
      <c r="K33" t="s">
        <v>1655</v>
      </c>
      <c r="L33">
        <v>11.2</v>
      </c>
    </row>
    <row r="34" spans="1:12" ht="14.5" x14ac:dyDescent="0.35">
      <c r="A34" t="s">
        <v>122</v>
      </c>
      <c r="B34" t="s">
        <v>123</v>
      </c>
      <c r="C34" t="s">
        <v>69</v>
      </c>
      <c r="D34" t="s">
        <v>70</v>
      </c>
      <c r="E34">
        <v>3.5</v>
      </c>
      <c r="F34">
        <v>28282</v>
      </c>
      <c r="G34">
        <v>339384</v>
      </c>
      <c r="H34">
        <v>17.8</v>
      </c>
      <c r="I34">
        <v>60410</v>
      </c>
      <c r="J34">
        <v>399794</v>
      </c>
      <c r="K34" t="s">
        <v>1655</v>
      </c>
      <c r="L34">
        <v>6</v>
      </c>
    </row>
    <row r="35" spans="1:12" ht="14.5" x14ac:dyDescent="0.35">
      <c r="A35" t="s">
        <v>124</v>
      </c>
      <c r="B35" t="s">
        <v>125</v>
      </c>
      <c r="C35" t="s">
        <v>108</v>
      </c>
      <c r="D35" t="s">
        <v>126</v>
      </c>
      <c r="E35">
        <v>2.2999999999999998</v>
      </c>
      <c r="F35">
        <v>48289</v>
      </c>
      <c r="G35">
        <v>579468</v>
      </c>
      <c r="H35">
        <v>4.5999999999999996</v>
      </c>
      <c r="I35">
        <v>26656</v>
      </c>
      <c r="J35">
        <v>606124</v>
      </c>
      <c r="K35" t="s">
        <v>1652</v>
      </c>
      <c r="L35">
        <v>10.4</v>
      </c>
    </row>
    <row r="36" spans="1:12" ht="14.5" x14ac:dyDescent="0.35">
      <c r="A36" t="s">
        <v>127</v>
      </c>
      <c r="B36" t="s">
        <v>128</v>
      </c>
      <c r="C36" t="s">
        <v>69</v>
      </c>
      <c r="D36" t="s">
        <v>105</v>
      </c>
      <c r="E36">
        <v>7.1</v>
      </c>
      <c r="F36">
        <v>34572</v>
      </c>
      <c r="G36">
        <v>414864</v>
      </c>
      <c r="H36">
        <v>7</v>
      </c>
      <c r="I36">
        <v>29040</v>
      </c>
      <c r="J36">
        <v>443904</v>
      </c>
      <c r="K36" t="s">
        <v>1652</v>
      </c>
      <c r="L36">
        <v>4.0999999999999996</v>
      </c>
    </row>
    <row r="37" spans="1:12" ht="14.5" x14ac:dyDescent="0.35">
      <c r="A37" t="s">
        <v>129</v>
      </c>
      <c r="B37" t="s">
        <v>130</v>
      </c>
      <c r="C37" t="s">
        <v>27</v>
      </c>
      <c r="D37" t="s">
        <v>87</v>
      </c>
      <c r="E37">
        <v>6.8</v>
      </c>
      <c r="F37">
        <v>52356</v>
      </c>
      <c r="G37">
        <v>628272</v>
      </c>
      <c r="H37">
        <v>16.5</v>
      </c>
      <c r="I37">
        <v>103665</v>
      </c>
      <c r="J37">
        <v>731937</v>
      </c>
      <c r="K37" t="s">
        <v>1651</v>
      </c>
      <c r="L37">
        <v>8.6999999999999993</v>
      </c>
    </row>
    <row r="38" spans="1:12" ht="14.5" x14ac:dyDescent="0.35">
      <c r="A38" t="s">
        <v>131</v>
      </c>
      <c r="B38" t="s">
        <v>132</v>
      </c>
      <c r="C38" t="s">
        <v>21</v>
      </c>
      <c r="D38" t="s">
        <v>133</v>
      </c>
      <c r="E38">
        <v>1.4</v>
      </c>
      <c r="F38">
        <v>60271</v>
      </c>
      <c r="G38">
        <v>723252</v>
      </c>
      <c r="H38">
        <v>15.9</v>
      </c>
      <c r="I38">
        <v>114997</v>
      </c>
      <c r="J38">
        <v>838249</v>
      </c>
      <c r="K38" t="s">
        <v>1654</v>
      </c>
      <c r="L38">
        <v>3.4</v>
      </c>
    </row>
    <row r="39" spans="1:12" ht="14.5" x14ac:dyDescent="0.35">
      <c r="A39" t="s">
        <v>134</v>
      </c>
      <c r="B39" t="s">
        <v>135</v>
      </c>
      <c r="C39" t="s">
        <v>52</v>
      </c>
      <c r="D39" t="s">
        <v>102</v>
      </c>
      <c r="E39">
        <v>1.2</v>
      </c>
      <c r="F39">
        <v>102085</v>
      </c>
      <c r="G39">
        <v>1225020</v>
      </c>
      <c r="H39">
        <v>6.6</v>
      </c>
      <c r="I39">
        <v>80851</v>
      </c>
      <c r="J39">
        <v>1305871</v>
      </c>
      <c r="K39" t="s">
        <v>1650</v>
      </c>
      <c r="L39">
        <v>7.1</v>
      </c>
    </row>
    <row r="40" spans="1:12" ht="14.5" x14ac:dyDescent="0.35">
      <c r="A40" t="s">
        <v>136</v>
      </c>
      <c r="B40" t="s">
        <v>137</v>
      </c>
      <c r="C40" t="s">
        <v>36</v>
      </c>
      <c r="D40" t="s">
        <v>93</v>
      </c>
      <c r="E40">
        <v>4.8</v>
      </c>
      <c r="F40">
        <v>79876</v>
      </c>
      <c r="G40">
        <v>958512</v>
      </c>
      <c r="H40">
        <v>14.9</v>
      </c>
      <c r="I40">
        <v>142818</v>
      </c>
      <c r="J40">
        <v>1101330</v>
      </c>
      <c r="K40" t="s">
        <v>1650</v>
      </c>
      <c r="L40">
        <v>6.2</v>
      </c>
    </row>
    <row r="41" spans="1:12" ht="14.5" x14ac:dyDescent="0.35">
      <c r="A41" t="s">
        <v>138</v>
      </c>
      <c r="B41" t="s">
        <v>139</v>
      </c>
      <c r="C41" t="s">
        <v>108</v>
      </c>
      <c r="D41" t="s">
        <v>126</v>
      </c>
      <c r="E41">
        <v>2.6</v>
      </c>
      <c r="F41">
        <v>109416</v>
      </c>
      <c r="G41">
        <v>1312992</v>
      </c>
      <c r="H41">
        <v>11</v>
      </c>
      <c r="I41">
        <v>144429</v>
      </c>
      <c r="J41">
        <v>1457421</v>
      </c>
      <c r="K41" t="s">
        <v>1653</v>
      </c>
      <c r="L41">
        <v>9.1999999999999993</v>
      </c>
    </row>
    <row r="42" spans="1:12" ht="14.5" x14ac:dyDescent="0.35">
      <c r="A42" t="s">
        <v>140</v>
      </c>
      <c r="B42" t="s">
        <v>141</v>
      </c>
      <c r="C42" t="s">
        <v>21</v>
      </c>
      <c r="D42" t="s">
        <v>49</v>
      </c>
      <c r="E42">
        <v>4.8</v>
      </c>
      <c r="F42">
        <v>45361</v>
      </c>
      <c r="G42">
        <v>544332</v>
      </c>
      <c r="H42">
        <v>5.5</v>
      </c>
      <c r="I42">
        <v>29938</v>
      </c>
      <c r="J42">
        <v>574270</v>
      </c>
      <c r="K42" t="s">
        <v>1653</v>
      </c>
      <c r="L42">
        <v>13.2</v>
      </c>
    </row>
    <row r="43" spans="1:12" ht="14.5" x14ac:dyDescent="0.35">
      <c r="A43" t="s">
        <v>142</v>
      </c>
      <c r="B43" t="s">
        <v>143</v>
      </c>
      <c r="C43" t="s">
        <v>21</v>
      </c>
      <c r="D43" t="s">
        <v>133</v>
      </c>
      <c r="E43">
        <v>6</v>
      </c>
      <c r="F43">
        <v>85433</v>
      </c>
      <c r="G43">
        <v>1025196</v>
      </c>
      <c r="H43">
        <v>17.2</v>
      </c>
      <c r="I43">
        <v>176334</v>
      </c>
      <c r="J43">
        <v>1201530</v>
      </c>
      <c r="K43" t="s">
        <v>1654</v>
      </c>
      <c r="L43">
        <v>5.8</v>
      </c>
    </row>
    <row r="44" spans="1:12" ht="14.5" x14ac:dyDescent="0.35">
      <c r="A44" t="s">
        <v>144</v>
      </c>
      <c r="B44" t="s">
        <v>145</v>
      </c>
      <c r="C44" t="s">
        <v>36</v>
      </c>
      <c r="D44" t="s">
        <v>62</v>
      </c>
      <c r="E44">
        <v>4.4000000000000004</v>
      </c>
      <c r="F44">
        <v>114951</v>
      </c>
      <c r="G44">
        <v>1379412</v>
      </c>
      <c r="H44">
        <v>7.9</v>
      </c>
      <c r="I44">
        <v>108974</v>
      </c>
      <c r="J44">
        <v>1488386</v>
      </c>
      <c r="K44" t="s">
        <v>1654</v>
      </c>
      <c r="L44">
        <v>14</v>
      </c>
    </row>
    <row r="45" spans="1:12" ht="14.5" x14ac:dyDescent="0.35">
      <c r="A45" t="s">
        <v>146</v>
      </c>
      <c r="B45" t="s">
        <v>147</v>
      </c>
      <c r="C45" t="s">
        <v>36</v>
      </c>
      <c r="D45" t="s">
        <v>37</v>
      </c>
      <c r="E45">
        <v>6</v>
      </c>
      <c r="F45">
        <v>63697</v>
      </c>
      <c r="G45">
        <v>764364</v>
      </c>
      <c r="H45">
        <v>5.5</v>
      </c>
      <c r="I45">
        <v>42040</v>
      </c>
      <c r="J45">
        <v>806404</v>
      </c>
      <c r="K45" t="s">
        <v>1653</v>
      </c>
      <c r="L45">
        <v>12.4</v>
      </c>
    </row>
    <row r="46" spans="1:12" ht="14.5" x14ac:dyDescent="0.35">
      <c r="A46" t="s">
        <v>148</v>
      </c>
      <c r="B46" t="s">
        <v>149</v>
      </c>
      <c r="C46" t="s">
        <v>69</v>
      </c>
      <c r="D46" t="s">
        <v>150</v>
      </c>
      <c r="E46">
        <v>2.1</v>
      </c>
      <c r="F46">
        <v>92032</v>
      </c>
      <c r="G46">
        <v>1104384</v>
      </c>
      <c r="H46">
        <v>13</v>
      </c>
      <c r="I46">
        <v>143570</v>
      </c>
      <c r="J46">
        <v>1247954</v>
      </c>
      <c r="K46" t="s">
        <v>1654</v>
      </c>
      <c r="L46">
        <v>14.2</v>
      </c>
    </row>
    <row r="47" spans="1:12" ht="14.5" x14ac:dyDescent="0.35">
      <c r="A47" t="s">
        <v>151</v>
      </c>
      <c r="B47" t="s">
        <v>152</v>
      </c>
      <c r="C47" t="s">
        <v>21</v>
      </c>
      <c r="D47" t="s">
        <v>153</v>
      </c>
      <c r="E47">
        <v>7.7</v>
      </c>
      <c r="F47">
        <v>71719</v>
      </c>
      <c r="G47">
        <v>860628</v>
      </c>
      <c r="H47">
        <v>14.5</v>
      </c>
      <c r="I47">
        <v>124791</v>
      </c>
      <c r="J47">
        <v>985419</v>
      </c>
      <c r="K47" t="s">
        <v>1655</v>
      </c>
      <c r="L47">
        <v>7.1</v>
      </c>
    </row>
    <row r="48" spans="1:12" ht="14.5" x14ac:dyDescent="0.35">
      <c r="A48" t="s">
        <v>154</v>
      </c>
      <c r="B48" t="s">
        <v>155</v>
      </c>
      <c r="C48" t="s">
        <v>36</v>
      </c>
      <c r="D48" t="s">
        <v>93</v>
      </c>
      <c r="E48">
        <v>3</v>
      </c>
      <c r="F48">
        <v>101519</v>
      </c>
      <c r="G48">
        <v>1218228</v>
      </c>
      <c r="H48">
        <v>15.1</v>
      </c>
      <c r="I48">
        <v>183952</v>
      </c>
      <c r="J48">
        <v>1402180</v>
      </c>
      <c r="K48" t="s">
        <v>1653</v>
      </c>
      <c r="L48">
        <v>4.5999999999999996</v>
      </c>
    </row>
    <row r="49" spans="1:12" ht="14.5" x14ac:dyDescent="0.35">
      <c r="A49" t="s">
        <v>156</v>
      </c>
      <c r="B49" t="s">
        <v>157</v>
      </c>
      <c r="C49" t="s">
        <v>21</v>
      </c>
      <c r="D49" t="s">
        <v>133</v>
      </c>
      <c r="E49">
        <v>1.2</v>
      </c>
      <c r="F49">
        <v>100420</v>
      </c>
      <c r="G49">
        <v>1205040</v>
      </c>
      <c r="H49">
        <v>10.9</v>
      </c>
      <c r="I49">
        <v>131349</v>
      </c>
      <c r="J49">
        <v>1336389</v>
      </c>
      <c r="K49" t="s">
        <v>1655</v>
      </c>
      <c r="L49">
        <v>11.2</v>
      </c>
    </row>
    <row r="50" spans="1:12" ht="14.5" x14ac:dyDescent="0.35">
      <c r="A50" t="s">
        <v>158</v>
      </c>
      <c r="B50" t="s">
        <v>26</v>
      </c>
      <c r="C50" t="s">
        <v>159</v>
      </c>
      <c r="D50" t="s">
        <v>160</v>
      </c>
      <c r="E50">
        <v>7.3</v>
      </c>
      <c r="F50">
        <v>74898</v>
      </c>
      <c r="G50">
        <v>898776</v>
      </c>
      <c r="H50">
        <v>12.4</v>
      </c>
      <c r="I50">
        <v>111448</v>
      </c>
      <c r="J50">
        <v>1010224</v>
      </c>
      <c r="K50" t="s">
        <v>1650</v>
      </c>
      <c r="L50">
        <v>7.8</v>
      </c>
    </row>
    <row r="51" spans="1:12" ht="14.5" x14ac:dyDescent="0.35">
      <c r="A51" t="s">
        <v>161</v>
      </c>
      <c r="B51" t="s">
        <v>162</v>
      </c>
      <c r="C51" t="s">
        <v>21</v>
      </c>
      <c r="D51" t="s">
        <v>163</v>
      </c>
      <c r="E51">
        <v>5.0999999999999996</v>
      </c>
      <c r="F51">
        <v>49299</v>
      </c>
      <c r="G51">
        <v>591588</v>
      </c>
      <c r="H51">
        <v>9.1999999999999993</v>
      </c>
      <c r="I51">
        <v>54426</v>
      </c>
      <c r="J51">
        <v>646014</v>
      </c>
      <c r="K51" t="s">
        <v>1653</v>
      </c>
      <c r="L51">
        <v>4.2</v>
      </c>
    </row>
    <row r="52" spans="1:12" ht="14.5" x14ac:dyDescent="0.35">
      <c r="A52" t="s">
        <v>164</v>
      </c>
      <c r="B52" t="s">
        <v>165</v>
      </c>
      <c r="C52" t="s">
        <v>56</v>
      </c>
      <c r="D52" t="s">
        <v>79</v>
      </c>
      <c r="E52">
        <v>3.1</v>
      </c>
      <c r="F52">
        <v>115806</v>
      </c>
      <c r="G52">
        <v>1389672</v>
      </c>
      <c r="H52">
        <v>17.399999999999999</v>
      </c>
      <c r="I52">
        <v>241803</v>
      </c>
      <c r="J52">
        <v>1631475</v>
      </c>
      <c r="K52" t="s">
        <v>1655</v>
      </c>
      <c r="L52">
        <v>9.1</v>
      </c>
    </row>
    <row r="53" spans="1:12" ht="14.5" x14ac:dyDescent="0.35">
      <c r="A53" t="s">
        <v>166</v>
      </c>
      <c r="B53" t="s">
        <v>167</v>
      </c>
      <c r="C53" t="s">
        <v>36</v>
      </c>
      <c r="D53" t="s">
        <v>93</v>
      </c>
      <c r="E53">
        <v>7.3</v>
      </c>
      <c r="F53">
        <v>89694</v>
      </c>
      <c r="G53">
        <v>1076328</v>
      </c>
      <c r="H53">
        <v>13.5</v>
      </c>
      <c r="I53">
        <v>145304</v>
      </c>
      <c r="J53">
        <v>1221632</v>
      </c>
      <c r="K53" t="s">
        <v>1655</v>
      </c>
      <c r="L53">
        <v>8</v>
      </c>
    </row>
    <row r="54" spans="1:12" ht="14.5" x14ac:dyDescent="0.35">
      <c r="A54" t="s">
        <v>168</v>
      </c>
      <c r="B54" t="s">
        <v>169</v>
      </c>
      <c r="C54" t="s">
        <v>108</v>
      </c>
      <c r="D54" t="s">
        <v>126</v>
      </c>
      <c r="E54">
        <v>5.2</v>
      </c>
      <c r="F54">
        <v>31101</v>
      </c>
      <c r="G54">
        <v>373212</v>
      </c>
      <c r="H54">
        <v>10.199999999999999</v>
      </c>
      <c r="I54">
        <v>38068</v>
      </c>
      <c r="J54">
        <v>411280</v>
      </c>
      <c r="K54" t="s">
        <v>1653</v>
      </c>
      <c r="L54">
        <v>13.6</v>
      </c>
    </row>
    <row r="55" spans="1:12" ht="14.5" x14ac:dyDescent="0.35">
      <c r="A55" t="s">
        <v>170</v>
      </c>
      <c r="B55" t="s">
        <v>171</v>
      </c>
      <c r="C55" t="s">
        <v>56</v>
      </c>
      <c r="D55" t="s">
        <v>57</v>
      </c>
      <c r="E55">
        <v>4.5999999999999996</v>
      </c>
      <c r="F55">
        <v>74025</v>
      </c>
      <c r="G55">
        <v>888300</v>
      </c>
      <c r="H55">
        <v>6.4</v>
      </c>
      <c r="I55">
        <v>56851</v>
      </c>
      <c r="J55">
        <v>945151</v>
      </c>
      <c r="K55" t="s">
        <v>1652</v>
      </c>
      <c r="L55">
        <v>12.5</v>
      </c>
    </row>
    <row r="56" spans="1:12" ht="14.5" x14ac:dyDescent="0.35">
      <c r="A56" t="s">
        <v>172</v>
      </c>
      <c r="B56" t="s">
        <v>173</v>
      </c>
      <c r="C56" t="s">
        <v>56</v>
      </c>
      <c r="D56" t="s">
        <v>57</v>
      </c>
      <c r="E56">
        <v>4.8</v>
      </c>
      <c r="F56">
        <v>51405</v>
      </c>
      <c r="G56">
        <v>616860</v>
      </c>
      <c r="H56">
        <v>9.6</v>
      </c>
      <c r="I56">
        <v>59219</v>
      </c>
      <c r="J56">
        <v>676079</v>
      </c>
      <c r="K56" t="s">
        <v>1655</v>
      </c>
      <c r="L56">
        <v>5</v>
      </c>
    </row>
    <row r="57" spans="1:12" ht="14.5" x14ac:dyDescent="0.35">
      <c r="A57" t="s">
        <v>174</v>
      </c>
      <c r="B57" t="s">
        <v>175</v>
      </c>
      <c r="C57" t="s">
        <v>52</v>
      </c>
      <c r="D57" t="s">
        <v>176</v>
      </c>
      <c r="E57">
        <v>4.2</v>
      </c>
      <c r="F57">
        <v>85199</v>
      </c>
      <c r="G57">
        <v>1022388</v>
      </c>
      <c r="H57">
        <v>8.6999999999999993</v>
      </c>
      <c r="I57">
        <v>88948</v>
      </c>
      <c r="J57">
        <v>1111336</v>
      </c>
      <c r="K57" t="s">
        <v>1655</v>
      </c>
      <c r="L57">
        <v>7.9</v>
      </c>
    </row>
    <row r="58" spans="1:12" ht="14.5" x14ac:dyDescent="0.35">
      <c r="A58" t="s">
        <v>177</v>
      </c>
      <c r="B58" t="s">
        <v>178</v>
      </c>
      <c r="C58" t="s">
        <v>21</v>
      </c>
      <c r="D58" t="s">
        <v>153</v>
      </c>
      <c r="E58">
        <v>7.2</v>
      </c>
      <c r="F58">
        <v>120901</v>
      </c>
      <c r="G58">
        <v>1450812</v>
      </c>
      <c r="H58">
        <v>17.399999999999999</v>
      </c>
      <c r="I58">
        <v>252441</v>
      </c>
      <c r="J58">
        <v>1703253</v>
      </c>
      <c r="K58" t="s">
        <v>1654</v>
      </c>
      <c r="L58">
        <v>14.2</v>
      </c>
    </row>
    <row r="59" spans="1:12" ht="14.5" x14ac:dyDescent="0.35">
      <c r="A59" t="s">
        <v>179</v>
      </c>
      <c r="B59" t="s">
        <v>180</v>
      </c>
      <c r="C59" t="s">
        <v>27</v>
      </c>
      <c r="D59" t="s">
        <v>87</v>
      </c>
      <c r="E59">
        <v>7</v>
      </c>
      <c r="F59">
        <v>115062</v>
      </c>
      <c r="G59">
        <v>1380744</v>
      </c>
      <c r="H59">
        <v>17.899999999999999</v>
      </c>
      <c r="I59">
        <v>247153</v>
      </c>
      <c r="J59">
        <v>1627897</v>
      </c>
      <c r="K59" t="s">
        <v>1650</v>
      </c>
      <c r="L59">
        <v>11.4</v>
      </c>
    </row>
    <row r="60" spans="1:12" ht="14.5" x14ac:dyDescent="0.35">
      <c r="A60" t="s">
        <v>181</v>
      </c>
      <c r="B60" t="s">
        <v>182</v>
      </c>
      <c r="C60" t="s">
        <v>45</v>
      </c>
      <c r="D60" t="s">
        <v>46</v>
      </c>
      <c r="E60">
        <v>2.1</v>
      </c>
      <c r="F60">
        <v>68538</v>
      </c>
      <c r="G60">
        <v>822456</v>
      </c>
      <c r="H60">
        <v>10.8</v>
      </c>
      <c r="I60">
        <v>88825</v>
      </c>
      <c r="J60">
        <v>911281</v>
      </c>
      <c r="K60" t="s">
        <v>1652</v>
      </c>
      <c r="L60">
        <v>7.6</v>
      </c>
    </row>
    <row r="61" spans="1:12" ht="14.5" x14ac:dyDescent="0.35">
      <c r="A61" t="s">
        <v>183</v>
      </c>
      <c r="B61" t="s">
        <v>184</v>
      </c>
      <c r="C61" t="s">
        <v>40</v>
      </c>
      <c r="D61" t="s">
        <v>65</v>
      </c>
      <c r="E61">
        <v>6.3</v>
      </c>
      <c r="F61">
        <v>53144</v>
      </c>
      <c r="G61">
        <v>637728</v>
      </c>
      <c r="H61">
        <v>15.4</v>
      </c>
      <c r="I61">
        <v>98210</v>
      </c>
      <c r="J61">
        <v>735938</v>
      </c>
      <c r="K61" t="s">
        <v>1653</v>
      </c>
      <c r="L61">
        <v>9.5</v>
      </c>
    </row>
    <row r="62" spans="1:12" ht="14.5" x14ac:dyDescent="0.35">
      <c r="A62" t="s">
        <v>185</v>
      </c>
      <c r="B62" t="s">
        <v>186</v>
      </c>
      <c r="C62" t="s">
        <v>159</v>
      </c>
      <c r="D62" t="s">
        <v>187</v>
      </c>
      <c r="E62">
        <v>1.6</v>
      </c>
      <c r="F62">
        <v>28053</v>
      </c>
      <c r="G62">
        <v>336636</v>
      </c>
      <c r="H62">
        <v>15.2</v>
      </c>
      <c r="I62">
        <v>51169</v>
      </c>
      <c r="J62">
        <v>387805</v>
      </c>
      <c r="K62" t="s">
        <v>1654</v>
      </c>
      <c r="L62">
        <v>14.6</v>
      </c>
    </row>
    <row r="63" spans="1:12" ht="14.5" x14ac:dyDescent="0.35">
      <c r="A63" t="s">
        <v>188</v>
      </c>
      <c r="B63" t="s">
        <v>169</v>
      </c>
      <c r="C63" t="s">
        <v>69</v>
      </c>
      <c r="D63" t="s">
        <v>70</v>
      </c>
      <c r="E63">
        <v>2.8</v>
      </c>
      <c r="F63">
        <v>85954</v>
      </c>
      <c r="G63">
        <v>1031448</v>
      </c>
      <c r="H63">
        <v>9.6999999999999993</v>
      </c>
      <c r="I63">
        <v>100050</v>
      </c>
      <c r="J63">
        <v>1131498</v>
      </c>
      <c r="K63" t="s">
        <v>1654</v>
      </c>
      <c r="L63">
        <v>13.9</v>
      </c>
    </row>
    <row r="64" spans="1:12" ht="14.5" x14ac:dyDescent="0.35">
      <c r="A64" t="s">
        <v>189</v>
      </c>
      <c r="B64" t="s">
        <v>190</v>
      </c>
      <c r="C64" t="s">
        <v>27</v>
      </c>
      <c r="D64" t="s">
        <v>76</v>
      </c>
      <c r="E64">
        <v>4.5999999999999996</v>
      </c>
      <c r="F64">
        <v>95561</v>
      </c>
      <c r="G64">
        <v>1146732</v>
      </c>
      <c r="H64">
        <v>7.8</v>
      </c>
      <c r="I64">
        <v>89445</v>
      </c>
      <c r="J64">
        <v>1236177</v>
      </c>
      <c r="K64" t="s">
        <v>1654</v>
      </c>
      <c r="L64">
        <v>4</v>
      </c>
    </row>
    <row r="65" spans="1:12" ht="14.5" x14ac:dyDescent="0.35">
      <c r="A65" t="s">
        <v>191</v>
      </c>
      <c r="B65" t="s">
        <v>192</v>
      </c>
      <c r="C65" t="s">
        <v>40</v>
      </c>
      <c r="D65" t="s">
        <v>41</v>
      </c>
      <c r="E65">
        <v>5.2</v>
      </c>
      <c r="F65">
        <v>54100</v>
      </c>
      <c r="G65">
        <v>649200</v>
      </c>
      <c r="H65">
        <v>10.1</v>
      </c>
      <c r="I65">
        <v>65569</v>
      </c>
      <c r="J65">
        <v>714769</v>
      </c>
      <c r="K65" t="s">
        <v>1654</v>
      </c>
      <c r="L65">
        <v>12.7</v>
      </c>
    </row>
    <row r="66" spans="1:12" ht="14.5" x14ac:dyDescent="0.35">
      <c r="A66" t="s">
        <v>193</v>
      </c>
      <c r="B66" t="s">
        <v>194</v>
      </c>
      <c r="C66" t="s">
        <v>52</v>
      </c>
      <c r="D66" t="s">
        <v>195</v>
      </c>
      <c r="E66">
        <v>2.6</v>
      </c>
      <c r="F66">
        <v>82321</v>
      </c>
      <c r="G66">
        <v>987852</v>
      </c>
      <c r="H66">
        <v>6.2</v>
      </c>
      <c r="I66">
        <v>61247</v>
      </c>
      <c r="J66">
        <v>1049099</v>
      </c>
      <c r="K66" t="s">
        <v>1650</v>
      </c>
      <c r="L66">
        <v>6.2</v>
      </c>
    </row>
    <row r="67" spans="1:12" ht="14.5" x14ac:dyDescent="0.35">
      <c r="A67" t="s">
        <v>196</v>
      </c>
      <c r="B67" t="s">
        <v>197</v>
      </c>
      <c r="C67" t="s">
        <v>69</v>
      </c>
      <c r="D67" t="s">
        <v>70</v>
      </c>
      <c r="E67">
        <v>5</v>
      </c>
      <c r="F67">
        <v>47342</v>
      </c>
      <c r="G67">
        <v>568104</v>
      </c>
      <c r="H67">
        <v>15.9</v>
      </c>
      <c r="I67">
        <v>90329</v>
      </c>
      <c r="J67">
        <v>658433</v>
      </c>
      <c r="K67" t="s">
        <v>1654</v>
      </c>
      <c r="L67">
        <v>13</v>
      </c>
    </row>
    <row r="68" spans="1:12" ht="14.5" x14ac:dyDescent="0.35">
      <c r="A68" t="s">
        <v>198</v>
      </c>
      <c r="B68" t="s">
        <v>199</v>
      </c>
      <c r="C68" t="s">
        <v>21</v>
      </c>
      <c r="D68" t="s">
        <v>153</v>
      </c>
      <c r="E68">
        <v>1.9</v>
      </c>
      <c r="F68">
        <v>88889</v>
      </c>
      <c r="G68">
        <v>1066668</v>
      </c>
      <c r="H68">
        <v>5.5</v>
      </c>
      <c r="I68">
        <v>58667</v>
      </c>
      <c r="J68">
        <v>1125335</v>
      </c>
      <c r="K68" t="s">
        <v>1650</v>
      </c>
      <c r="L68">
        <v>7.9</v>
      </c>
    </row>
    <row r="69" spans="1:12" ht="14.5" x14ac:dyDescent="0.35">
      <c r="A69" t="s">
        <v>200</v>
      </c>
      <c r="B69" t="s">
        <v>201</v>
      </c>
      <c r="C69" t="s">
        <v>69</v>
      </c>
      <c r="D69" t="s">
        <v>105</v>
      </c>
      <c r="E69">
        <v>2.5</v>
      </c>
      <c r="F69">
        <v>115500</v>
      </c>
      <c r="G69">
        <v>1386000</v>
      </c>
      <c r="H69">
        <v>10.4</v>
      </c>
      <c r="I69">
        <v>144144</v>
      </c>
      <c r="J69">
        <v>1530144</v>
      </c>
      <c r="K69" t="s">
        <v>1652</v>
      </c>
      <c r="L69">
        <v>11.9</v>
      </c>
    </row>
    <row r="70" spans="1:12" ht="14.5" x14ac:dyDescent="0.35">
      <c r="A70" t="s">
        <v>202</v>
      </c>
      <c r="B70" t="s">
        <v>203</v>
      </c>
      <c r="C70" t="s">
        <v>45</v>
      </c>
      <c r="D70" t="s">
        <v>46</v>
      </c>
      <c r="E70">
        <v>3</v>
      </c>
      <c r="F70">
        <v>99810</v>
      </c>
      <c r="G70">
        <v>1197720</v>
      </c>
      <c r="H70">
        <v>4.3</v>
      </c>
      <c r="I70">
        <v>51502</v>
      </c>
      <c r="J70">
        <v>1249222</v>
      </c>
      <c r="K70" t="s">
        <v>1651</v>
      </c>
      <c r="L70">
        <v>10.3</v>
      </c>
    </row>
    <row r="71" spans="1:12" ht="14.5" x14ac:dyDescent="0.35">
      <c r="A71" t="s">
        <v>204</v>
      </c>
      <c r="B71" t="s">
        <v>205</v>
      </c>
      <c r="C71" t="s">
        <v>108</v>
      </c>
      <c r="D71" t="s">
        <v>206</v>
      </c>
      <c r="E71">
        <v>4.5999999999999996</v>
      </c>
      <c r="F71">
        <v>96327</v>
      </c>
      <c r="G71">
        <v>1155924</v>
      </c>
      <c r="H71">
        <v>16.8</v>
      </c>
      <c r="I71">
        <v>194195</v>
      </c>
      <c r="J71">
        <v>1350119</v>
      </c>
      <c r="K71" t="s">
        <v>1652</v>
      </c>
      <c r="L71">
        <v>7.9</v>
      </c>
    </row>
    <row r="72" spans="1:12" ht="14.5" x14ac:dyDescent="0.35">
      <c r="A72" t="s">
        <v>207</v>
      </c>
      <c r="B72" t="s">
        <v>208</v>
      </c>
      <c r="C72" t="s">
        <v>36</v>
      </c>
      <c r="D72" t="s">
        <v>84</v>
      </c>
      <c r="E72">
        <v>5.0999999999999996</v>
      </c>
      <c r="F72">
        <v>63614</v>
      </c>
      <c r="G72">
        <v>763368</v>
      </c>
      <c r="H72">
        <v>6.5</v>
      </c>
      <c r="I72">
        <v>49619</v>
      </c>
      <c r="J72">
        <v>812987</v>
      </c>
      <c r="K72" t="s">
        <v>1651</v>
      </c>
      <c r="L72">
        <v>9.6999999999999993</v>
      </c>
    </row>
    <row r="73" spans="1:12" ht="14.5" x14ac:dyDescent="0.35">
      <c r="A73" t="s">
        <v>209</v>
      </c>
      <c r="B73" t="s">
        <v>210</v>
      </c>
      <c r="C73" t="s">
        <v>27</v>
      </c>
      <c r="D73" t="s">
        <v>28</v>
      </c>
      <c r="E73">
        <v>5.2</v>
      </c>
      <c r="F73">
        <v>78205</v>
      </c>
      <c r="G73">
        <v>938460</v>
      </c>
      <c r="H73">
        <v>10.6</v>
      </c>
      <c r="I73">
        <v>99477</v>
      </c>
      <c r="J73">
        <v>1037937</v>
      </c>
      <c r="K73" t="s">
        <v>1650</v>
      </c>
      <c r="L73">
        <v>3.2</v>
      </c>
    </row>
    <row r="74" spans="1:12" ht="14.5" x14ac:dyDescent="0.35">
      <c r="A74" t="s">
        <v>211</v>
      </c>
      <c r="B74" t="s">
        <v>212</v>
      </c>
      <c r="C74" t="s">
        <v>69</v>
      </c>
      <c r="D74" t="s">
        <v>105</v>
      </c>
      <c r="E74">
        <v>4</v>
      </c>
      <c r="F74">
        <v>99121</v>
      </c>
      <c r="G74">
        <v>1189452</v>
      </c>
      <c r="H74">
        <v>4.7</v>
      </c>
      <c r="I74">
        <v>55904</v>
      </c>
      <c r="J74">
        <v>1245356</v>
      </c>
      <c r="K74" t="s">
        <v>1652</v>
      </c>
      <c r="L74">
        <v>3.8</v>
      </c>
    </row>
    <row r="75" spans="1:12" ht="14.5" x14ac:dyDescent="0.35">
      <c r="A75" t="s">
        <v>213</v>
      </c>
      <c r="B75" t="s">
        <v>214</v>
      </c>
      <c r="C75" t="s">
        <v>52</v>
      </c>
      <c r="D75" t="s">
        <v>195</v>
      </c>
      <c r="E75">
        <v>1.2</v>
      </c>
      <c r="F75">
        <v>119163</v>
      </c>
      <c r="G75">
        <v>1429956</v>
      </c>
      <c r="H75">
        <v>8.4</v>
      </c>
      <c r="I75">
        <v>120116</v>
      </c>
      <c r="J75">
        <v>1550072</v>
      </c>
      <c r="K75" t="s">
        <v>1654</v>
      </c>
      <c r="L75">
        <v>14</v>
      </c>
    </row>
    <row r="76" spans="1:12" ht="14.5" x14ac:dyDescent="0.35">
      <c r="A76" t="s">
        <v>215</v>
      </c>
      <c r="B76" t="s">
        <v>216</v>
      </c>
      <c r="C76" t="s">
        <v>56</v>
      </c>
      <c r="D76" t="s">
        <v>217</v>
      </c>
      <c r="E76">
        <v>4.4000000000000004</v>
      </c>
      <c r="F76">
        <v>79116</v>
      </c>
      <c r="G76">
        <v>949392</v>
      </c>
      <c r="H76">
        <v>5.8</v>
      </c>
      <c r="I76">
        <v>55065</v>
      </c>
      <c r="J76">
        <v>1004457</v>
      </c>
      <c r="K76" t="s">
        <v>1655</v>
      </c>
      <c r="L76">
        <v>5.6</v>
      </c>
    </row>
    <row r="77" spans="1:12" ht="14.5" x14ac:dyDescent="0.35">
      <c r="A77" t="s">
        <v>218</v>
      </c>
      <c r="B77" t="s">
        <v>219</v>
      </c>
      <c r="C77" t="s">
        <v>27</v>
      </c>
      <c r="D77" t="s">
        <v>87</v>
      </c>
      <c r="E77">
        <v>4.7</v>
      </c>
      <c r="F77">
        <v>85125</v>
      </c>
      <c r="G77">
        <v>1021500</v>
      </c>
      <c r="H77">
        <v>12.2</v>
      </c>
      <c r="I77">
        <v>124623</v>
      </c>
      <c r="J77">
        <v>1146123</v>
      </c>
      <c r="K77" t="s">
        <v>1650</v>
      </c>
      <c r="L77">
        <v>13.8</v>
      </c>
    </row>
    <row r="78" spans="1:12" ht="14.5" x14ac:dyDescent="0.35">
      <c r="A78" t="s">
        <v>220</v>
      </c>
      <c r="B78" t="s">
        <v>221</v>
      </c>
      <c r="C78" t="s">
        <v>56</v>
      </c>
      <c r="D78" t="s">
        <v>57</v>
      </c>
      <c r="E78">
        <v>2.5</v>
      </c>
      <c r="F78">
        <v>44728</v>
      </c>
      <c r="G78">
        <v>536736</v>
      </c>
      <c r="H78">
        <v>8.1999999999999993</v>
      </c>
      <c r="I78">
        <v>44012</v>
      </c>
      <c r="J78">
        <v>580748</v>
      </c>
      <c r="K78" t="s">
        <v>1650</v>
      </c>
      <c r="L78">
        <v>7.1</v>
      </c>
    </row>
    <row r="79" spans="1:12" ht="14.5" x14ac:dyDescent="0.35">
      <c r="A79" t="s">
        <v>222</v>
      </c>
      <c r="B79" t="s">
        <v>223</v>
      </c>
      <c r="C79" t="s">
        <v>52</v>
      </c>
      <c r="D79" t="s">
        <v>224</v>
      </c>
      <c r="E79">
        <v>2.9</v>
      </c>
      <c r="F79">
        <v>45786</v>
      </c>
      <c r="G79">
        <v>549432</v>
      </c>
      <c r="H79">
        <v>10.1</v>
      </c>
      <c r="I79">
        <v>55493</v>
      </c>
      <c r="J79">
        <v>604925</v>
      </c>
      <c r="K79" t="s">
        <v>1653</v>
      </c>
      <c r="L79">
        <v>11.4</v>
      </c>
    </row>
    <row r="80" spans="1:12" ht="14.5" x14ac:dyDescent="0.35">
      <c r="A80" t="s">
        <v>225</v>
      </c>
      <c r="B80" t="s">
        <v>226</v>
      </c>
      <c r="C80" t="s">
        <v>159</v>
      </c>
      <c r="D80" t="s">
        <v>160</v>
      </c>
      <c r="E80">
        <v>4.0999999999999996</v>
      </c>
      <c r="F80">
        <v>55742</v>
      </c>
      <c r="G80">
        <v>668904</v>
      </c>
      <c r="H80">
        <v>8</v>
      </c>
      <c r="I80">
        <v>53512</v>
      </c>
      <c r="J80">
        <v>722416</v>
      </c>
      <c r="K80" t="s">
        <v>1653</v>
      </c>
      <c r="L80">
        <v>12.7</v>
      </c>
    </row>
    <row r="81" spans="1:12" ht="14.5" x14ac:dyDescent="0.35">
      <c r="A81" t="s">
        <v>227</v>
      </c>
      <c r="B81" t="s">
        <v>219</v>
      </c>
      <c r="C81" t="s">
        <v>40</v>
      </c>
      <c r="D81" t="s">
        <v>65</v>
      </c>
      <c r="E81">
        <v>4.9000000000000004</v>
      </c>
      <c r="F81">
        <v>38735</v>
      </c>
      <c r="G81">
        <v>464820</v>
      </c>
      <c r="H81">
        <v>14.4</v>
      </c>
      <c r="I81">
        <v>66934</v>
      </c>
      <c r="J81">
        <v>531754</v>
      </c>
      <c r="K81" t="s">
        <v>1650</v>
      </c>
      <c r="L81">
        <v>14.1</v>
      </c>
    </row>
    <row r="82" spans="1:12" ht="14.5" x14ac:dyDescent="0.35">
      <c r="A82" t="s">
        <v>228</v>
      </c>
      <c r="B82" t="s">
        <v>229</v>
      </c>
      <c r="C82" t="s">
        <v>27</v>
      </c>
      <c r="D82" t="s">
        <v>28</v>
      </c>
      <c r="E82">
        <v>7</v>
      </c>
      <c r="F82">
        <v>113426</v>
      </c>
      <c r="G82">
        <v>1361112</v>
      </c>
      <c r="H82">
        <v>6.4</v>
      </c>
      <c r="I82">
        <v>87111</v>
      </c>
      <c r="J82">
        <v>1448223</v>
      </c>
      <c r="K82" t="s">
        <v>1655</v>
      </c>
      <c r="L82">
        <v>12.5</v>
      </c>
    </row>
    <row r="83" spans="1:12" ht="14.5" x14ac:dyDescent="0.35">
      <c r="A83" t="s">
        <v>230</v>
      </c>
      <c r="B83" t="s">
        <v>231</v>
      </c>
      <c r="C83" t="s">
        <v>69</v>
      </c>
      <c r="D83" t="s">
        <v>117</v>
      </c>
      <c r="E83">
        <v>5.0999999999999996</v>
      </c>
      <c r="F83">
        <v>44544</v>
      </c>
      <c r="G83">
        <v>534528</v>
      </c>
      <c r="H83">
        <v>14.6</v>
      </c>
      <c r="I83">
        <v>78041</v>
      </c>
      <c r="J83">
        <v>612569</v>
      </c>
      <c r="K83" t="s">
        <v>1652</v>
      </c>
      <c r="L83">
        <v>12.6</v>
      </c>
    </row>
    <row r="84" spans="1:12" ht="14.5" x14ac:dyDescent="0.35">
      <c r="A84" t="s">
        <v>232</v>
      </c>
      <c r="B84" t="s">
        <v>233</v>
      </c>
      <c r="C84" t="s">
        <v>45</v>
      </c>
      <c r="D84" t="s">
        <v>234</v>
      </c>
      <c r="E84">
        <v>3.6</v>
      </c>
      <c r="F84">
        <v>49992</v>
      </c>
      <c r="G84">
        <v>599904</v>
      </c>
      <c r="H84">
        <v>13.4</v>
      </c>
      <c r="I84">
        <v>80387</v>
      </c>
      <c r="J84">
        <v>680291</v>
      </c>
      <c r="K84" t="s">
        <v>1654</v>
      </c>
      <c r="L84">
        <v>9.3000000000000007</v>
      </c>
    </row>
    <row r="85" spans="1:12" ht="14.5" x14ac:dyDescent="0.35">
      <c r="A85" t="s">
        <v>235</v>
      </c>
      <c r="B85" t="s">
        <v>236</v>
      </c>
      <c r="C85" t="s">
        <v>21</v>
      </c>
      <c r="D85" t="s">
        <v>133</v>
      </c>
      <c r="E85">
        <v>1.3</v>
      </c>
      <c r="F85">
        <v>31365</v>
      </c>
      <c r="G85">
        <v>376380</v>
      </c>
      <c r="H85">
        <v>11.8</v>
      </c>
      <c r="I85">
        <v>44413</v>
      </c>
      <c r="J85">
        <v>420793</v>
      </c>
      <c r="K85" t="s">
        <v>1651</v>
      </c>
      <c r="L85">
        <v>3.4</v>
      </c>
    </row>
    <row r="86" spans="1:12" ht="14.5" x14ac:dyDescent="0.35">
      <c r="A86" t="s">
        <v>237</v>
      </c>
      <c r="B86" t="s">
        <v>238</v>
      </c>
      <c r="C86" t="s">
        <v>45</v>
      </c>
      <c r="D86" t="s">
        <v>239</v>
      </c>
      <c r="E86">
        <v>6.9</v>
      </c>
      <c r="F86">
        <v>105607</v>
      </c>
      <c r="G86">
        <v>1267284</v>
      </c>
      <c r="H86">
        <v>16.8</v>
      </c>
      <c r="I86">
        <v>212904</v>
      </c>
      <c r="J86">
        <v>1480188</v>
      </c>
      <c r="K86" t="s">
        <v>1655</v>
      </c>
      <c r="L86">
        <v>6.2</v>
      </c>
    </row>
    <row r="87" spans="1:12" ht="14.5" x14ac:dyDescent="0.35">
      <c r="A87" t="s">
        <v>240</v>
      </c>
      <c r="B87" t="s">
        <v>241</v>
      </c>
      <c r="C87" t="s">
        <v>21</v>
      </c>
      <c r="D87" t="s">
        <v>163</v>
      </c>
      <c r="E87">
        <v>7.3</v>
      </c>
      <c r="F87">
        <v>73508</v>
      </c>
      <c r="G87">
        <v>882096</v>
      </c>
      <c r="H87">
        <v>6</v>
      </c>
      <c r="I87">
        <v>52926</v>
      </c>
      <c r="J87">
        <v>935022</v>
      </c>
      <c r="K87" t="s">
        <v>1652</v>
      </c>
      <c r="L87">
        <v>8.3000000000000007</v>
      </c>
    </row>
    <row r="88" spans="1:12" ht="14.5" x14ac:dyDescent="0.35">
      <c r="A88" t="s">
        <v>242</v>
      </c>
      <c r="B88" t="s">
        <v>243</v>
      </c>
      <c r="C88" t="s">
        <v>40</v>
      </c>
      <c r="D88" t="s">
        <v>41</v>
      </c>
      <c r="E88">
        <v>3</v>
      </c>
      <c r="F88">
        <v>92251</v>
      </c>
      <c r="G88">
        <v>1107012</v>
      </c>
      <c r="H88">
        <v>17</v>
      </c>
      <c r="I88">
        <v>188192</v>
      </c>
      <c r="J88">
        <v>1295204</v>
      </c>
      <c r="K88" t="s">
        <v>1650</v>
      </c>
      <c r="L88">
        <v>7.2</v>
      </c>
    </row>
    <row r="89" spans="1:12" ht="14.5" x14ac:dyDescent="0.35">
      <c r="A89" t="s">
        <v>244</v>
      </c>
      <c r="B89" t="s">
        <v>78</v>
      </c>
      <c r="C89" t="s">
        <v>40</v>
      </c>
      <c r="D89" t="s">
        <v>65</v>
      </c>
      <c r="E89">
        <v>5.8</v>
      </c>
      <c r="F89">
        <v>124180</v>
      </c>
      <c r="G89">
        <v>1490160</v>
      </c>
      <c r="H89">
        <v>5</v>
      </c>
      <c r="I89">
        <v>74508</v>
      </c>
      <c r="J89">
        <v>1564668</v>
      </c>
      <c r="K89" t="s">
        <v>1653</v>
      </c>
      <c r="L89">
        <v>3.9</v>
      </c>
    </row>
    <row r="90" spans="1:12" ht="14.5" x14ac:dyDescent="0.35">
      <c r="A90" t="s">
        <v>245</v>
      </c>
      <c r="B90" t="s">
        <v>246</v>
      </c>
      <c r="C90" t="s">
        <v>45</v>
      </c>
      <c r="D90" t="s">
        <v>239</v>
      </c>
      <c r="E90">
        <v>1.1000000000000001</v>
      </c>
      <c r="F90">
        <v>63179</v>
      </c>
      <c r="G90">
        <v>758148</v>
      </c>
      <c r="H90">
        <v>10.1</v>
      </c>
      <c r="I90">
        <v>76573</v>
      </c>
      <c r="J90">
        <v>834721</v>
      </c>
      <c r="K90" t="s">
        <v>1651</v>
      </c>
      <c r="L90">
        <v>5.4</v>
      </c>
    </row>
    <row r="91" spans="1:12" ht="14.5" x14ac:dyDescent="0.35">
      <c r="A91" t="s">
        <v>247</v>
      </c>
      <c r="B91" t="s">
        <v>248</v>
      </c>
      <c r="C91" t="s">
        <v>21</v>
      </c>
      <c r="D91" t="s">
        <v>163</v>
      </c>
      <c r="E91">
        <v>2.5</v>
      </c>
      <c r="F91">
        <v>102691</v>
      </c>
      <c r="G91">
        <v>1232292</v>
      </c>
      <c r="H91">
        <v>13.8</v>
      </c>
      <c r="I91">
        <v>170056</v>
      </c>
      <c r="J91">
        <v>1402348</v>
      </c>
      <c r="K91" t="s">
        <v>1650</v>
      </c>
      <c r="L91">
        <v>3.9</v>
      </c>
    </row>
    <row r="92" spans="1:12" ht="14.5" x14ac:dyDescent="0.35">
      <c r="A92" t="s">
        <v>249</v>
      </c>
      <c r="B92" t="s">
        <v>250</v>
      </c>
      <c r="C92" t="s">
        <v>40</v>
      </c>
      <c r="D92" t="s">
        <v>41</v>
      </c>
      <c r="E92">
        <v>5.7</v>
      </c>
      <c r="F92">
        <v>91904</v>
      </c>
      <c r="G92">
        <v>1102848</v>
      </c>
      <c r="H92">
        <v>6</v>
      </c>
      <c r="I92">
        <v>66171</v>
      </c>
      <c r="J92">
        <v>1169019</v>
      </c>
      <c r="K92" t="s">
        <v>1654</v>
      </c>
      <c r="L92">
        <v>4.2</v>
      </c>
    </row>
    <row r="93" spans="1:12" ht="14.5" x14ac:dyDescent="0.35">
      <c r="A93" t="s">
        <v>251</v>
      </c>
      <c r="B93" t="s">
        <v>252</v>
      </c>
      <c r="C93" t="s">
        <v>36</v>
      </c>
      <c r="D93" t="s">
        <v>253</v>
      </c>
      <c r="E93">
        <v>1.5</v>
      </c>
      <c r="F93">
        <v>29330</v>
      </c>
      <c r="G93">
        <v>351960</v>
      </c>
      <c r="H93">
        <v>4.3</v>
      </c>
      <c r="I93">
        <v>15134</v>
      </c>
      <c r="J93">
        <v>367094</v>
      </c>
      <c r="K93" t="s">
        <v>1650</v>
      </c>
      <c r="L93">
        <v>9.6999999999999993</v>
      </c>
    </row>
    <row r="94" spans="1:12" ht="14.5" x14ac:dyDescent="0.35">
      <c r="A94" t="s">
        <v>254</v>
      </c>
      <c r="B94" t="s">
        <v>255</v>
      </c>
      <c r="C94" t="s">
        <v>21</v>
      </c>
      <c r="D94" t="s">
        <v>133</v>
      </c>
      <c r="E94">
        <v>1.5</v>
      </c>
      <c r="F94">
        <v>59499</v>
      </c>
      <c r="G94">
        <v>713988</v>
      </c>
      <c r="H94">
        <v>5.0999999999999996</v>
      </c>
      <c r="I94">
        <v>36413</v>
      </c>
      <c r="J94">
        <v>750401</v>
      </c>
      <c r="K94" t="s">
        <v>1652</v>
      </c>
      <c r="L94">
        <v>14.6</v>
      </c>
    </row>
    <row r="95" spans="1:12" ht="14.5" x14ac:dyDescent="0.35">
      <c r="A95" t="s">
        <v>256</v>
      </c>
      <c r="B95" t="s">
        <v>257</v>
      </c>
      <c r="C95" t="s">
        <v>108</v>
      </c>
      <c r="D95" t="s">
        <v>206</v>
      </c>
      <c r="E95">
        <v>4.4000000000000004</v>
      </c>
      <c r="F95">
        <v>57045</v>
      </c>
      <c r="G95">
        <v>684540</v>
      </c>
      <c r="H95">
        <v>13.3</v>
      </c>
      <c r="I95">
        <v>91044</v>
      </c>
      <c r="J95">
        <v>775584</v>
      </c>
      <c r="K95" t="s">
        <v>1655</v>
      </c>
      <c r="L95">
        <v>10.199999999999999</v>
      </c>
    </row>
    <row r="96" spans="1:12" ht="14.5" x14ac:dyDescent="0.35">
      <c r="A96" t="s">
        <v>258</v>
      </c>
      <c r="B96" t="s">
        <v>259</v>
      </c>
      <c r="C96" t="s">
        <v>36</v>
      </c>
      <c r="D96" t="s">
        <v>62</v>
      </c>
      <c r="E96">
        <v>1.5</v>
      </c>
      <c r="F96">
        <v>97588</v>
      </c>
      <c r="G96">
        <v>1171056</v>
      </c>
      <c r="H96">
        <v>15.6</v>
      </c>
      <c r="I96">
        <v>182685</v>
      </c>
      <c r="J96">
        <v>1353741</v>
      </c>
      <c r="K96" t="s">
        <v>1654</v>
      </c>
      <c r="L96">
        <v>8.9</v>
      </c>
    </row>
    <row r="97" spans="1:12" ht="14.5" x14ac:dyDescent="0.35">
      <c r="A97" t="s">
        <v>260</v>
      </c>
      <c r="B97" t="s">
        <v>261</v>
      </c>
      <c r="C97" t="s">
        <v>27</v>
      </c>
      <c r="D97" t="s">
        <v>73</v>
      </c>
      <c r="E97">
        <v>4.7</v>
      </c>
      <c r="F97">
        <v>68189</v>
      </c>
      <c r="G97">
        <v>818268</v>
      </c>
      <c r="H97">
        <v>6.7</v>
      </c>
      <c r="I97">
        <v>54824</v>
      </c>
      <c r="J97">
        <v>873092</v>
      </c>
      <c r="K97" t="s">
        <v>1652</v>
      </c>
      <c r="L97">
        <v>13.2</v>
      </c>
    </row>
    <row r="98" spans="1:12" ht="14.5" x14ac:dyDescent="0.35">
      <c r="A98" t="s">
        <v>262</v>
      </c>
      <c r="B98" t="s">
        <v>263</v>
      </c>
      <c r="C98" t="s">
        <v>21</v>
      </c>
      <c r="D98" t="s">
        <v>133</v>
      </c>
      <c r="E98">
        <v>1.7</v>
      </c>
      <c r="F98">
        <v>118461</v>
      </c>
      <c r="G98">
        <v>1421532</v>
      </c>
      <c r="H98">
        <v>8.1</v>
      </c>
      <c r="I98">
        <v>115144</v>
      </c>
      <c r="J98">
        <v>1536676</v>
      </c>
      <c r="K98" t="s">
        <v>1651</v>
      </c>
      <c r="L98">
        <v>4.4000000000000004</v>
      </c>
    </row>
    <row r="99" spans="1:12" ht="14.5" x14ac:dyDescent="0.35">
      <c r="A99" t="s">
        <v>264</v>
      </c>
      <c r="B99" t="s">
        <v>265</v>
      </c>
      <c r="C99" t="s">
        <v>69</v>
      </c>
      <c r="D99" t="s">
        <v>70</v>
      </c>
      <c r="E99">
        <v>1.9</v>
      </c>
      <c r="F99">
        <v>106222</v>
      </c>
      <c r="G99">
        <v>1274664</v>
      </c>
      <c r="H99">
        <v>14.5</v>
      </c>
      <c r="I99">
        <v>184826</v>
      </c>
      <c r="J99">
        <v>1459490</v>
      </c>
      <c r="K99" t="s">
        <v>1650</v>
      </c>
      <c r="L99">
        <v>6.2</v>
      </c>
    </row>
    <row r="100" spans="1:12" ht="14.5" x14ac:dyDescent="0.35">
      <c r="A100" t="s">
        <v>266</v>
      </c>
      <c r="B100" t="s">
        <v>267</v>
      </c>
      <c r="C100" t="s">
        <v>69</v>
      </c>
      <c r="D100" t="s">
        <v>150</v>
      </c>
      <c r="E100">
        <v>5.7</v>
      </c>
      <c r="F100">
        <v>67618</v>
      </c>
      <c r="G100">
        <v>811416</v>
      </c>
      <c r="H100">
        <v>8.1999999999999993</v>
      </c>
      <c r="I100">
        <v>66536</v>
      </c>
      <c r="J100">
        <v>877952</v>
      </c>
      <c r="K100" t="s">
        <v>1654</v>
      </c>
      <c r="L100">
        <v>8</v>
      </c>
    </row>
    <row r="101" spans="1:12" ht="14.5" x14ac:dyDescent="0.35">
      <c r="A101" t="s">
        <v>268</v>
      </c>
      <c r="B101" t="s">
        <v>210</v>
      </c>
      <c r="C101" t="s">
        <v>159</v>
      </c>
      <c r="D101" t="s">
        <v>269</v>
      </c>
      <c r="E101">
        <v>1.5</v>
      </c>
      <c r="F101">
        <v>66290</v>
      </c>
      <c r="G101">
        <v>795480</v>
      </c>
      <c r="H101">
        <v>16.600000000000001</v>
      </c>
      <c r="I101">
        <v>132050</v>
      </c>
      <c r="J101">
        <v>927530</v>
      </c>
      <c r="K101" t="s">
        <v>1650</v>
      </c>
      <c r="L101">
        <v>11</v>
      </c>
    </row>
    <row r="102" spans="1:12" ht="14.5" x14ac:dyDescent="0.35">
      <c r="A102" t="s">
        <v>270</v>
      </c>
      <c r="B102" t="s">
        <v>271</v>
      </c>
      <c r="C102" t="s">
        <v>108</v>
      </c>
      <c r="D102" t="s">
        <v>114</v>
      </c>
      <c r="E102">
        <v>4.5999999999999996</v>
      </c>
      <c r="F102">
        <v>89524</v>
      </c>
      <c r="G102">
        <v>1074288</v>
      </c>
      <c r="H102">
        <v>5.9</v>
      </c>
      <c r="I102">
        <v>63383</v>
      </c>
      <c r="J102">
        <v>1137671</v>
      </c>
      <c r="K102" t="s">
        <v>1652</v>
      </c>
      <c r="L102">
        <v>6.8</v>
      </c>
    </row>
    <row r="103" spans="1:12" ht="14.5" x14ac:dyDescent="0.35">
      <c r="A103" t="s">
        <v>272</v>
      </c>
      <c r="B103" t="s">
        <v>273</v>
      </c>
      <c r="C103" t="s">
        <v>40</v>
      </c>
      <c r="D103" t="s">
        <v>90</v>
      </c>
      <c r="E103">
        <v>2.4</v>
      </c>
      <c r="F103">
        <v>42953</v>
      </c>
      <c r="G103">
        <v>515436</v>
      </c>
      <c r="H103">
        <v>10.199999999999999</v>
      </c>
      <c r="I103">
        <v>52574</v>
      </c>
      <c r="J103">
        <v>568010</v>
      </c>
      <c r="K103" t="s">
        <v>1654</v>
      </c>
      <c r="L103">
        <v>8.1</v>
      </c>
    </row>
    <row r="104" spans="1:12" ht="14.5" x14ac:dyDescent="0.35">
      <c r="A104" t="s">
        <v>274</v>
      </c>
      <c r="B104" t="s">
        <v>275</v>
      </c>
      <c r="C104" t="s">
        <v>56</v>
      </c>
      <c r="D104" t="s">
        <v>217</v>
      </c>
      <c r="E104">
        <v>7.1</v>
      </c>
      <c r="F104">
        <v>47887</v>
      </c>
      <c r="G104">
        <v>574644</v>
      </c>
      <c r="H104">
        <v>16.399999999999999</v>
      </c>
      <c r="I104">
        <v>94242</v>
      </c>
      <c r="J104">
        <v>668886</v>
      </c>
      <c r="K104" t="s">
        <v>1654</v>
      </c>
      <c r="L104">
        <v>12.5</v>
      </c>
    </row>
    <row r="105" spans="1:12" ht="14.5" x14ac:dyDescent="0.35">
      <c r="A105" t="s">
        <v>276</v>
      </c>
      <c r="B105" t="s">
        <v>233</v>
      </c>
      <c r="C105" t="s">
        <v>36</v>
      </c>
      <c r="D105" t="s">
        <v>37</v>
      </c>
      <c r="E105">
        <v>1.5</v>
      </c>
      <c r="F105">
        <v>82548</v>
      </c>
      <c r="G105">
        <v>990576</v>
      </c>
      <c r="H105">
        <v>7.9</v>
      </c>
      <c r="I105">
        <v>78256</v>
      </c>
      <c r="J105">
        <v>1068832</v>
      </c>
      <c r="K105" t="s">
        <v>1653</v>
      </c>
      <c r="L105">
        <v>13.9</v>
      </c>
    </row>
    <row r="106" spans="1:12" ht="14.5" x14ac:dyDescent="0.35">
      <c r="A106" t="s">
        <v>277</v>
      </c>
      <c r="B106" t="s">
        <v>278</v>
      </c>
      <c r="C106" t="s">
        <v>45</v>
      </c>
      <c r="D106" t="s">
        <v>234</v>
      </c>
      <c r="E106">
        <v>2.8</v>
      </c>
      <c r="F106">
        <v>66974</v>
      </c>
      <c r="G106">
        <v>803688</v>
      </c>
      <c r="H106">
        <v>13.9</v>
      </c>
      <c r="I106">
        <v>111713</v>
      </c>
      <c r="J106">
        <v>915401</v>
      </c>
      <c r="K106" t="s">
        <v>1655</v>
      </c>
      <c r="L106">
        <v>12.9</v>
      </c>
    </row>
    <row r="107" spans="1:12" ht="14.5" x14ac:dyDescent="0.35">
      <c r="A107" t="s">
        <v>279</v>
      </c>
      <c r="B107" t="s">
        <v>280</v>
      </c>
      <c r="C107" t="s">
        <v>56</v>
      </c>
      <c r="D107" t="s">
        <v>57</v>
      </c>
      <c r="E107">
        <v>5.4</v>
      </c>
      <c r="F107">
        <v>109987</v>
      </c>
      <c r="G107">
        <v>1319844</v>
      </c>
      <c r="H107">
        <v>7.7</v>
      </c>
      <c r="I107">
        <v>101628</v>
      </c>
      <c r="J107">
        <v>1421472</v>
      </c>
      <c r="K107" t="s">
        <v>1655</v>
      </c>
      <c r="L107">
        <v>5.7</v>
      </c>
    </row>
    <row r="108" spans="1:12" ht="14.5" x14ac:dyDescent="0.35">
      <c r="A108" t="s">
        <v>281</v>
      </c>
      <c r="B108" t="s">
        <v>282</v>
      </c>
      <c r="C108" t="s">
        <v>21</v>
      </c>
      <c r="D108" t="s">
        <v>133</v>
      </c>
      <c r="E108">
        <v>1.6</v>
      </c>
      <c r="F108">
        <v>37838</v>
      </c>
      <c r="G108">
        <v>454056</v>
      </c>
      <c r="H108">
        <v>7.9</v>
      </c>
      <c r="I108">
        <v>35870</v>
      </c>
      <c r="J108">
        <v>489926</v>
      </c>
      <c r="K108" t="s">
        <v>1650</v>
      </c>
      <c r="L108">
        <v>11.6</v>
      </c>
    </row>
    <row r="109" spans="1:12" ht="14.5" x14ac:dyDescent="0.35">
      <c r="A109" t="s">
        <v>283</v>
      </c>
      <c r="B109" t="s">
        <v>186</v>
      </c>
      <c r="C109" t="s">
        <v>56</v>
      </c>
      <c r="D109" t="s">
        <v>217</v>
      </c>
      <c r="E109">
        <v>7.4</v>
      </c>
      <c r="F109">
        <v>58340</v>
      </c>
      <c r="G109">
        <v>700080</v>
      </c>
      <c r="H109">
        <v>9.1</v>
      </c>
      <c r="I109">
        <v>63707</v>
      </c>
      <c r="J109">
        <v>763787</v>
      </c>
      <c r="K109" t="s">
        <v>1655</v>
      </c>
      <c r="L109">
        <v>7.9</v>
      </c>
    </row>
    <row r="110" spans="1:12" ht="14.5" x14ac:dyDescent="0.35">
      <c r="A110" t="s">
        <v>284</v>
      </c>
      <c r="B110" t="s">
        <v>285</v>
      </c>
      <c r="C110" t="s">
        <v>108</v>
      </c>
      <c r="D110" t="s">
        <v>114</v>
      </c>
      <c r="E110">
        <v>1.1000000000000001</v>
      </c>
      <c r="F110">
        <v>114662</v>
      </c>
      <c r="G110">
        <v>1375944</v>
      </c>
      <c r="H110">
        <v>9.5</v>
      </c>
      <c r="I110">
        <v>130715</v>
      </c>
      <c r="J110">
        <v>1506659</v>
      </c>
      <c r="K110" t="s">
        <v>1653</v>
      </c>
      <c r="L110">
        <v>8.8000000000000007</v>
      </c>
    </row>
    <row r="111" spans="1:12" ht="14.5" x14ac:dyDescent="0.35">
      <c r="A111" t="s">
        <v>286</v>
      </c>
      <c r="B111" t="s">
        <v>101</v>
      </c>
      <c r="C111" t="s">
        <v>56</v>
      </c>
      <c r="D111" t="s">
        <v>79</v>
      </c>
      <c r="E111">
        <v>4.8</v>
      </c>
      <c r="F111">
        <v>46643</v>
      </c>
      <c r="G111">
        <v>559716</v>
      </c>
      <c r="H111">
        <v>15.4</v>
      </c>
      <c r="I111">
        <v>86196</v>
      </c>
      <c r="J111">
        <v>645912</v>
      </c>
      <c r="K111" t="s">
        <v>1654</v>
      </c>
      <c r="L111">
        <v>13.1</v>
      </c>
    </row>
    <row r="112" spans="1:12" ht="14.5" x14ac:dyDescent="0.35">
      <c r="A112" t="s">
        <v>287</v>
      </c>
      <c r="B112" t="s">
        <v>288</v>
      </c>
      <c r="C112" t="s">
        <v>159</v>
      </c>
      <c r="D112" t="s">
        <v>269</v>
      </c>
      <c r="E112">
        <v>6.4</v>
      </c>
      <c r="F112">
        <v>89433</v>
      </c>
      <c r="G112">
        <v>1073196</v>
      </c>
      <c r="H112">
        <v>6</v>
      </c>
      <c r="I112">
        <v>64392</v>
      </c>
      <c r="J112">
        <v>1137588</v>
      </c>
      <c r="K112" t="s">
        <v>1654</v>
      </c>
      <c r="L112">
        <v>7.6</v>
      </c>
    </row>
    <row r="113" spans="1:12" ht="14.5" x14ac:dyDescent="0.35">
      <c r="A113" t="s">
        <v>289</v>
      </c>
      <c r="B113" t="s">
        <v>290</v>
      </c>
      <c r="C113" t="s">
        <v>56</v>
      </c>
      <c r="D113" t="s">
        <v>57</v>
      </c>
      <c r="E113">
        <v>6.8</v>
      </c>
      <c r="F113">
        <v>106385</v>
      </c>
      <c r="G113">
        <v>1276620</v>
      </c>
      <c r="H113">
        <v>7.4</v>
      </c>
      <c r="I113">
        <v>94470</v>
      </c>
      <c r="J113">
        <v>1371090</v>
      </c>
      <c r="K113" t="s">
        <v>1651</v>
      </c>
      <c r="L113">
        <v>7.3</v>
      </c>
    </row>
    <row r="114" spans="1:12" ht="14.5" x14ac:dyDescent="0.35">
      <c r="A114" t="s">
        <v>291</v>
      </c>
      <c r="B114" t="s">
        <v>292</v>
      </c>
      <c r="C114" t="s">
        <v>40</v>
      </c>
      <c r="D114" t="s">
        <v>293</v>
      </c>
      <c r="E114">
        <v>5.2</v>
      </c>
      <c r="F114">
        <v>116381</v>
      </c>
      <c r="G114">
        <v>1396572</v>
      </c>
      <c r="H114">
        <v>12.1</v>
      </c>
      <c r="I114">
        <v>168985</v>
      </c>
      <c r="J114">
        <v>1565557</v>
      </c>
      <c r="K114" t="s">
        <v>1650</v>
      </c>
      <c r="L114">
        <v>8.6999999999999993</v>
      </c>
    </row>
    <row r="115" spans="1:12" ht="14.5" x14ac:dyDescent="0.35">
      <c r="A115" t="s">
        <v>294</v>
      </c>
      <c r="B115" t="s">
        <v>295</v>
      </c>
      <c r="C115" t="s">
        <v>45</v>
      </c>
      <c r="D115" t="s">
        <v>296</v>
      </c>
      <c r="E115">
        <v>7.3</v>
      </c>
      <c r="F115">
        <v>50962</v>
      </c>
      <c r="G115">
        <v>611544</v>
      </c>
      <c r="H115">
        <v>7.8</v>
      </c>
      <c r="I115">
        <v>47700</v>
      </c>
      <c r="J115">
        <v>659244</v>
      </c>
      <c r="K115" t="s">
        <v>1651</v>
      </c>
      <c r="L115">
        <v>6.8</v>
      </c>
    </row>
    <row r="116" spans="1:12" ht="14.5" x14ac:dyDescent="0.35">
      <c r="A116" t="s">
        <v>297</v>
      </c>
      <c r="B116" t="s">
        <v>298</v>
      </c>
      <c r="C116" t="s">
        <v>108</v>
      </c>
      <c r="D116" t="s">
        <v>126</v>
      </c>
      <c r="E116">
        <v>2.9</v>
      </c>
      <c r="F116">
        <v>111202</v>
      </c>
      <c r="G116">
        <v>1334424</v>
      </c>
      <c r="H116">
        <v>9.6999999999999993</v>
      </c>
      <c r="I116">
        <v>129439</v>
      </c>
      <c r="J116">
        <v>1463863</v>
      </c>
      <c r="K116" t="s">
        <v>1655</v>
      </c>
      <c r="L116">
        <v>8</v>
      </c>
    </row>
    <row r="117" spans="1:12" ht="14.5" x14ac:dyDescent="0.35">
      <c r="A117" t="s">
        <v>299</v>
      </c>
      <c r="B117" t="s">
        <v>300</v>
      </c>
      <c r="C117" t="s">
        <v>21</v>
      </c>
      <c r="D117" t="s">
        <v>153</v>
      </c>
      <c r="E117">
        <v>4</v>
      </c>
      <c r="F117">
        <v>70081</v>
      </c>
      <c r="G117">
        <v>840972</v>
      </c>
      <c r="H117">
        <v>9.3000000000000007</v>
      </c>
      <c r="I117">
        <v>78210</v>
      </c>
      <c r="J117">
        <v>919182</v>
      </c>
      <c r="K117" t="s">
        <v>1651</v>
      </c>
      <c r="L117">
        <v>9</v>
      </c>
    </row>
    <row r="118" spans="1:12" ht="14.5" x14ac:dyDescent="0.35">
      <c r="A118" t="s">
        <v>301</v>
      </c>
      <c r="B118" t="s">
        <v>302</v>
      </c>
      <c r="C118" t="s">
        <v>159</v>
      </c>
      <c r="D118" t="s">
        <v>269</v>
      </c>
      <c r="E118">
        <v>4.5</v>
      </c>
      <c r="F118">
        <v>114846</v>
      </c>
      <c r="G118">
        <v>1378152</v>
      </c>
      <c r="H118">
        <v>9.6</v>
      </c>
      <c r="I118">
        <v>132303</v>
      </c>
      <c r="J118">
        <v>1510455</v>
      </c>
      <c r="K118" t="s">
        <v>1651</v>
      </c>
      <c r="L118">
        <v>12.7</v>
      </c>
    </row>
    <row r="119" spans="1:12" ht="14.5" x14ac:dyDescent="0.35">
      <c r="A119" t="s">
        <v>303</v>
      </c>
      <c r="B119" t="s">
        <v>304</v>
      </c>
      <c r="C119" t="s">
        <v>52</v>
      </c>
      <c r="D119" t="s">
        <v>224</v>
      </c>
      <c r="E119">
        <v>4.9000000000000004</v>
      </c>
      <c r="F119">
        <v>70372</v>
      </c>
      <c r="G119">
        <v>844464</v>
      </c>
      <c r="H119">
        <v>17.5</v>
      </c>
      <c r="I119">
        <v>147781</v>
      </c>
      <c r="J119">
        <v>992245</v>
      </c>
      <c r="K119" t="s">
        <v>1650</v>
      </c>
      <c r="L119">
        <v>4.0999999999999996</v>
      </c>
    </row>
    <row r="120" spans="1:12" ht="14.5" x14ac:dyDescent="0.35">
      <c r="A120" t="s">
        <v>305</v>
      </c>
      <c r="B120" t="s">
        <v>306</v>
      </c>
      <c r="C120" t="s">
        <v>27</v>
      </c>
      <c r="D120" t="s">
        <v>28</v>
      </c>
      <c r="E120">
        <v>7.1</v>
      </c>
      <c r="F120">
        <v>52586</v>
      </c>
      <c r="G120">
        <v>631032</v>
      </c>
      <c r="H120">
        <v>8.1999999999999993</v>
      </c>
      <c r="I120">
        <v>51745</v>
      </c>
      <c r="J120">
        <v>682777</v>
      </c>
      <c r="K120" t="s">
        <v>1653</v>
      </c>
      <c r="L120">
        <v>4.2</v>
      </c>
    </row>
    <row r="121" spans="1:12" ht="14.5" x14ac:dyDescent="0.35">
      <c r="A121" t="s">
        <v>307</v>
      </c>
      <c r="B121" t="s">
        <v>308</v>
      </c>
      <c r="C121" t="s">
        <v>45</v>
      </c>
      <c r="D121" t="s">
        <v>239</v>
      </c>
      <c r="E121">
        <v>5.5</v>
      </c>
      <c r="F121">
        <v>63003</v>
      </c>
      <c r="G121">
        <v>756036</v>
      </c>
      <c r="H121">
        <v>16.8</v>
      </c>
      <c r="I121">
        <v>127014</v>
      </c>
      <c r="J121">
        <v>883050</v>
      </c>
      <c r="K121" t="s">
        <v>1650</v>
      </c>
      <c r="L121">
        <v>14.5</v>
      </c>
    </row>
    <row r="122" spans="1:12" ht="14.5" x14ac:dyDescent="0.35">
      <c r="A122" t="s">
        <v>309</v>
      </c>
      <c r="B122" t="s">
        <v>310</v>
      </c>
      <c r="C122" t="s">
        <v>36</v>
      </c>
      <c r="D122" t="s">
        <v>84</v>
      </c>
      <c r="E122">
        <v>7.4</v>
      </c>
      <c r="F122">
        <v>110578</v>
      </c>
      <c r="G122">
        <v>1326936</v>
      </c>
      <c r="H122">
        <v>16.7</v>
      </c>
      <c r="I122">
        <v>221598</v>
      </c>
      <c r="J122">
        <v>1548534</v>
      </c>
      <c r="K122" t="s">
        <v>1652</v>
      </c>
      <c r="L122">
        <v>5</v>
      </c>
    </row>
    <row r="123" spans="1:12" ht="14.5" x14ac:dyDescent="0.35">
      <c r="A123" t="s">
        <v>311</v>
      </c>
      <c r="B123" t="s">
        <v>312</v>
      </c>
      <c r="C123" t="s">
        <v>159</v>
      </c>
      <c r="D123" t="s">
        <v>269</v>
      </c>
      <c r="E123">
        <v>3.2</v>
      </c>
      <c r="F123">
        <v>40217</v>
      </c>
      <c r="G123">
        <v>482604</v>
      </c>
      <c r="H123">
        <v>14.9</v>
      </c>
      <c r="I123">
        <v>71908</v>
      </c>
      <c r="J123">
        <v>554512</v>
      </c>
      <c r="K123" t="s">
        <v>1652</v>
      </c>
      <c r="L123">
        <v>4.3</v>
      </c>
    </row>
    <row r="124" spans="1:12" ht="14.5" x14ac:dyDescent="0.35">
      <c r="A124" t="s">
        <v>313</v>
      </c>
      <c r="B124" t="s">
        <v>314</v>
      </c>
      <c r="C124" t="s">
        <v>108</v>
      </c>
      <c r="D124" t="s">
        <v>114</v>
      </c>
      <c r="E124">
        <v>4.5</v>
      </c>
      <c r="F124">
        <v>94698</v>
      </c>
      <c r="G124">
        <v>1136376</v>
      </c>
      <c r="H124">
        <v>17.899999999999999</v>
      </c>
      <c r="I124">
        <v>203411</v>
      </c>
      <c r="J124">
        <v>1339787</v>
      </c>
      <c r="K124" t="s">
        <v>1655</v>
      </c>
      <c r="L124">
        <v>11.9</v>
      </c>
    </row>
    <row r="125" spans="1:12" ht="14.5" x14ac:dyDescent="0.35">
      <c r="A125" t="s">
        <v>315</v>
      </c>
      <c r="B125" t="s">
        <v>316</v>
      </c>
      <c r="C125" t="s">
        <v>56</v>
      </c>
      <c r="D125" t="s">
        <v>217</v>
      </c>
      <c r="E125">
        <v>2.6</v>
      </c>
      <c r="F125">
        <v>100255</v>
      </c>
      <c r="G125">
        <v>1203060</v>
      </c>
      <c r="H125">
        <v>6.8</v>
      </c>
      <c r="I125">
        <v>81808</v>
      </c>
      <c r="J125">
        <v>1284868</v>
      </c>
      <c r="K125" t="s">
        <v>1652</v>
      </c>
      <c r="L125">
        <v>13.5</v>
      </c>
    </row>
    <row r="126" spans="1:12" ht="14.5" x14ac:dyDescent="0.35">
      <c r="A126" t="s">
        <v>317</v>
      </c>
      <c r="B126" t="s">
        <v>318</v>
      </c>
      <c r="C126" t="s">
        <v>69</v>
      </c>
      <c r="D126" t="s">
        <v>319</v>
      </c>
      <c r="E126">
        <v>4.5999999999999996</v>
      </c>
      <c r="F126">
        <v>82387</v>
      </c>
      <c r="G126">
        <v>988644</v>
      </c>
      <c r="H126">
        <v>8</v>
      </c>
      <c r="I126">
        <v>79092</v>
      </c>
      <c r="J126">
        <v>1067736</v>
      </c>
      <c r="K126" t="s">
        <v>1655</v>
      </c>
      <c r="L126">
        <v>11.3</v>
      </c>
    </row>
    <row r="127" spans="1:12" ht="14.5" x14ac:dyDescent="0.35">
      <c r="A127" t="s">
        <v>320</v>
      </c>
      <c r="B127" t="s">
        <v>321</v>
      </c>
      <c r="C127" t="s">
        <v>36</v>
      </c>
      <c r="D127" t="s">
        <v>37</v>
      </c>
      <c r="E127">
        <v>1.2</v>
      </c>
      <c r="F127">
        <v>104011</v>
      </c>
      <c r="G127">
        <v>1248132</v>
      </c>
      <c r="H127">
        <v>5.9</v>
      </c>
      <c r="I127">
        <v>73640</v>
      </c>
      <c r="J127">
        <v>1321772</v>
      </c>
      <c r="K127" t="s">
        <v>1655</v>
      </c>
      <c r="L127">
        <v>7.8</v>
      </c>
    </row>
    <row r="128" spans="1:12" ht="14.5" x14ac:dyDescent="0.35">
      <c r="A128" t="s">
        <v>322</v>
      </c>
      <c r="B128" t="s">
        <v>323</v>
      </c>
      <c r="C128" t="s">
        <v>159</v>
      </c>
      <c r="D128" t="s">
        <v>324</v>
      </c>
      <c r="E128">
        <v>4</v>
      </c>
      <c r="F128">
        <v>100340</v>
      </c>
      <c r="G128">
        <v>1204080</v>
      </c>
      <c r="H128">
        <v>4.2</v>
      </c>
      <c r="I128">
        <v>50571</v>
      </c>
      <c r="J128">
        <v>1254651</v>
      </c>
      <c r="K128" t="s">
        <v>1655</v>
      </c>
      <c r="L128">
        <v>9.9</v>
      </c>
    </row>
    <row r="129" spans="1:12" ht="14.5" x14ac:dyDescent="0.35">
      <c r="A129" t="s">
        <v>325</v>
      </c>
      <c r="B129" t="s">
        <v>257</v>
      </c>
      <c r="C129" t="s">
        <v>56</v>
      </c>
      <c r="D129" t="s">
        <v>217</v>
      </c>
      <c r="E129">
        <v>5.0999999999999996</v>
      </c>
      <c r="F129">
        <v>102946</v>
      </c>
      <c r="G129">
        <v>1235352</v>
      </c>
      <c r="H129">
        <v>6.7</v>
      </c>
      <c r="I129">
        <v>82769</v>
      </c>
      <c r="J129">
        <v>1318121</v>
      </c>
      <c r="K129" t="s">
        <v>1653</v>
      </c>
      <c r="L129">
        <v>3.5</v>
      </c>
    </row>
    <row r="130" spans="1:12" ht="14.5" x14ac:dyDescent="0.35">
      <c r="A130" t="s">
        <v>326</v>
      </c>
      <c r="B130" t="s">
        <v>327</v>
      </c>
      <c r="C130" t="s">
        <v>56</v>
      </c>
      <c r="D130" t="s">
        <v>79</v>
      </c>
      <c r="E130">
        <v>3.5</v>
      </c>
      <c r="F130">
        <v>78604</v>
      </c>
      <c r="G130">
        <v>943248</v>
      </c>
      <c r="H130">
        <v>4.7</v>
      </c>
      <c r="I130">
        <v>44333</v>
      </c>
      <c r="J130">
        <v>987581</v>
      </c>
      <c r="K130" t="s">
        <v>1653</v>
      </c>
      <c r="L130">
        <v>4.2</v>
      </c>
    </row>
    <row r="131" spans="1:12" ht="14.5" x14ac:dyDescent="0.35">
      <c r="A131" t="s">
        <v>328</v>
      </c>
      <c r="B131" t="s">
        <v>51</v>
      </c>
      <c r="C131" t="s">
        <v>108</v>
      </c>
      <c r="D131" t="s">
        <v>114</v>
      </c>
      <c r="E131">
        <v>1.1000000000000001</v>
      </c>
      <c r="F131">
        <v>71515</v>
      </c>
      <c r="G131">
        <v>858180</v>
      </c>
      <c r="H131">
        <v>12.7</v>
      </c>
      <c r="I131">
        <v>108989</v>
      </c>
      <c r="J131">
        <v>967169</v>
      </c>
      <c r="K131" t="s">
        <v>1653</v>
      </c>
      <c r="L131">
        <v>5.3</v>
      </c>
    </row>
    <row r="132" spans="1:12" ht="14.5" x14ac:dyDescent="0.35">
      <c r="A132" t="s">
        <v>329</v>
      </c>
      <c r="B132" t="s">
        <v>330</v>
      </c>
      <c r="C132" t="s">
        <v>108</v>
      </c>
      <c r="D132" t="s">
        <v>114</v>
      </c>
      <c r="E132">
        <v>6.1</v>
      </c>
      <c r="F132">
        <v>81736</v>
      </c>
      <c r="G132">
        <v>980832</v>
      </c>
      <c r="H132">
        <v>9.1</v>
      </c>
      <c r="I132">
        <v>89256</v>
      </c>
      <c r="J132">
        <v>1070088</v>
      </c>
      <c r="K132" t="s">
        <v>1655</v>
      </c>
      <c r="L132">
        <v>7.8</v>
      </c>
    </row>
    <row r="133" spans="1:12" ht="14.5" x14ac:dyDescent="0.35">
      <c r="A133" t="s">
        <v>331</v>
      </c>
      <c r="B133" t="s">
        <v>332</v>
      </c>
      <c r="C133" t="s">
        <v>21</v>
      </c>
      <c r="D133" t="s">
        <v>153</v>
      </c>
      <c r="E133">
        <v>0.8</v>
      </c>
      <c r="F133">
        <v>118794</v>
      </c>
      <c r="G133">
        <v>1425528</v>
      </c>
      <c r="H133">
        <v>4.8</v>
      </c>
      <c r="I133">
        <v>68425</v>
      </c>
      <c r="J133">
        <v>1493953</v>
      </c>
      <c r="K133" t="s">
        <v>1653</v>
      </c>
      <c r="L133">
        <v>11</v>
      </c>
    </row>
    <row r="134" spans="1:12" ht="14.5" x14ac:dyDescent="0.35">
      <c r="A134" t="s">
        <v>333</v>
      </c>
      <c r="B134" t="s">
        <v>334</v>
      </c>
      <c r="C134" t="s">
        <v>40</v>
      </c>
      <c r="D134" t="s">
        <v>65</v>
      </c>
      <c r="E134">
        <v>1.7</v>
      </c>
      <c r="F134">
        <v>32705</v>
      </c>
      <c r="G134">
        <v>392460</v>
      </c>
      <c r="H134">
        <v>11.5</v>
      </c>
      <c r="I134">
        <v>45133</v>
      </c>
      <c r="J134">
        <v>437593</v>
      </c>
      <c r="K134" t="s">
        <v>1652</v>
      </c>
      <c r="L134">
        <v>8.8000000000000007</v>
      </c>
    </row>
    <row r="135" spans="1:12" ht="14.5" x14ac:dyDescent="0.35">
      <c r="A135" t="s">
        <v>335</v>
      </c>
      <c r="B135" t="s">
        <v>336</v>
      </c>
      <c r="C135" t="s">
        <v>69</v>
      </c>
      <c r="D135" t="s">
        <v>150</v>
      </c>
      <c r="E135">
        <v>2.9</v>
      </c>
      <c r="F135">
        <v>40903</v>
      </c>
      <c r="G135">
        <v>490836</v>
      </c>
      <c r="H135">
        <v>8.9</v>
      </c>
      <c r="I135">
        <v>43684</v>
      </c>
      <c r="J135">
        <v>534520</v>
      </c>
      <c r="K135" t="s">
        <v>1653</v>
      </c>
      <c r="L135">
        <v>8.5</v>
      </c>
    </row>
    <row r="136" spans="1:12" ht="14.5" x14ac:dyDescent="0.35">
      <c r="A136" t="s">
        <v>337</v>
      </c>
      <c r="B136" t="s">
        <v>338</v>
      </c>
      <c r="C136" t="s">
        <v>108</v>
      </c>
      <c r="D136" t="s">
        <v>109</v>
      </c>
      <c r="E136">
        <v>7.2</v>
      </c>
      <c r="F136">
        <v>70516</v>
      </c>
      <c r="G136">
        <v>846192</v>
      </c>
      <c r="H136">
        <v>14.5</v>
      </c>
      <c r="I136">
        <v>122698</v>
      </c>
      <c r="J136">
        <v>968890</v>
      </c>
      <c r="K136" t="s">
        <v>1654</v>
      </c>
      <c r="L136">
        <v>6.8</v>
      </c>
    </row>
    <row r="137" spans="1:12" ht="14.5" x14ac:dyDescent="0.35">
      <c r="A137" t="s">
        <v>339</v>
      </c>
      <c r="B137" t="s">
        <v>340</v>
      </c>
      <c r="C137" t="s">
        <v>36</v>
      </c>
      <c r="D137" t="s">
        <v>253</v>
      </c>
      <c r="E137">
        <v>6.1</v>
      </c>
      <c r="F137">
        <v>60007</v>
      </c>
      <c r="G137">
        <v>720084</v>
      </c>
      <c r="H137">
        <v>17.899999999999999</v>
      </c>
      <c r="I137">
        <v>128895</v>
      </c>
      <c r="J137">
        <v>848979</v>
      </c>
      <c r="K137" t="s">
        <v>1652</v>
      </c>
      <c r="L137">
        <v>12.2</v>
      </c>
    </row>
    <row r="138" spans="1:12" ht="14.5" x14ac:dyDescent="0.35">
      <c r="A138" t="s">
        <v>341</v>
      </c>
      <c r="B138" t="s">
        <v>342</v>
      </c>
      <c r="C138" t="s">
        <v>45</v>
      </c>
      <c r="D138" t="s">
        <v>234</v>
      </c>
      <c r="E138">
        <v>6.9</v>
      </c>
      <c r="F138">
        <v>107887</v>
      </c>
      <c r="G138">
        <v>1294644</v>
      </c>
      <c r="H138">
        <v>5.3</v>
      </c>
      <c r="I138">
        <v>68616</v>
      </c>
      <c r="J138">
        <v>1363260</v>
      </c>
      <c r="K138" t="s">
        <v>1653</v>
      </c>
      <c r="L138">
        <v>3.6</v>
      </c>
    </row>
    <row r="139" spans="1:12" ht="14.5" x14ac:dyDescent="0.35">
      <c r="A139" t="s">
        <v>343</v>
      </c>
      <c r="B139" t="s">
        <v>344</v>
      </c>
      <c r="C139" t="s">
        <v>45</v>
      </c>
      <c r="D139" t="s">
        <v>234</v>
      </c>
      <c r="E139">
        <v>6.1</v>
      </c>
      <c r="F139">
        <v>58433</v>
      </c>
      <c r="G139">
        <v>701196</v>
      </c>
      <c r="H139">
        <v>9</v>
      </c>
      <c r="I139">
        <v>63108</v>
      </c>
      <c r="J139">
        <v>764304</v>
      </c>
      <c r="K139" t="s">
        <v>1653</v>
      </c>
      <c r="L139">
        <v>7</v>
      </c>
    </row>
    <row r="140" spans="1:12" ht="14.5" x14ac:dyDescent="0.35">
      <c r="A140" t="s">
        <v>345</v>
      </c>
      <c r="B140" t="s">
        <v>346</v>
      </c>
      <c r="C140" t="s">
        <v>108</v>
      </c>
      <c r="D140" t="s">
        <v>126</v>
      </c>
      <c r="E140">
        <v>4.5</v>
      </c>
      <c r="F140">
        <v>116815</v>
      </c>
      <c r="G140">
        <v>1401780</v>
      </c>
      <c r="H140">
        <v>13.2</v>
      </c>
      <c r="I140">
        <v>185035</v>
      </c>
      <c r="J140">
        <v>1586815</v>
      </c>
      <c r="K140" t="s">
        <v>1652</v>
      </c>
      <c r="L140">
        <v>15</v>
      </c>
    </row>
    <row r="141" spans="1:12" ht="14.5" x14ac:dyDescent="0.35">
      <c r="A141" t="s">
        <v>347</v>
      </c>
      <c r="B141" t="s">
        <v>348</v>
      </c>
      <c r="C141" t="s">
        <v>21</v>
      </c>
      <c r="D141" t="s">
        <v>153</v>
      </c>
      <c r="E141">
        <v>4.4000000000000004</v>
      </c>
      <c r="F141">
        <v>111746</v>
      </c>
      <c r="G141">
        <v>1340952</v>
      </c>
      <c r="H141">
        <v>7.8</v>
      </c>
      <c r="I141">
        <v>104594</v>
      </c>
      <c r="J141">
        <v>1445546</v>
      </c>
      <c r="K141" t="s">
        <v>1655</v>
      </c>
      <c r="L141">
        <v>4.3</v>
      </c>
    </row>
    <row r="142" spans="1:12" ht="14.5" x14ac:dyDescent="0.35">
      <c r="A142" t="s">
        <v>349</v>
      </c>
      <c r="B142" t="s">
        <v>350</v>
      </c>
      <c r="C142" t="s">
        <v>108</v>
      </c>
      <c r="D142" t="s">
        <v>126</v>
      </c>
      <c r="E142">
        <v>2.2999999999999998</v>
      </c>
      <c r="F142">
        <v>41979</v>
      </c>
      <c r="G142">
        <v>503748</v>
      </c>
      <c r="H142">
        <v>16.8</v>
      </c>
      <c r="I142">
        <v>84630</v>
      </c>
      <c r="J142">
        <v>588378</v>
      </c>
      <c r="K142" t="s">
        <v>1655</v>
      </c>
      <c r="L142">
        <v>3.4</v>
      </c>
    </row>
    <row r="143" spans="1:12" ht="14.5" x14ac:dyDescent="0.35">
      <c r="A143" t="s">
        <v>351</v>
      </c>
      <c r="B143" t="s">
        <v>123</v>
      </c>
      <c r="C143" t="s">
        <v>45</v>
      </c>
      <c r="D143" t="s">
        <v>46</v>
      </c>
      <c r="E143">
        <v>7.5</v>
      </c>
      <c r="F143">
        <v>114275</v>
      </c>
      <c r="G143">
        <v>1371300</v>
      </c>
      <c r="H143">
        <v>14.2</v>
      </c>
      <c r="I143">
        <v>194725</v>
      </c>
      <c r="J143">
        <v>1566025</v>
      </c>
      <c r="K143" t="s">
        <v>1653</v>
      </c>
      <c r="L143">
        <v>13.7</v>
      </c>
    </row>
    <row r="144" spans="1:12" ht="14.5" x14ac:dyDescent="0.35">
      <c r="A144" t="s">
        <v>352</v>
      </c>
      <c r="B144" t="s">
        <v>353</v>
      </c>
      <c r="C144" t="s">
        <v>52</v>
      </c>
      <c r="D144" t="s">
        <v>102</v>
      </c>
      <c r="E144">
        <v>4.5</v>
      </c>
      <c r="F144">
        <v>58162</v>
      </c>
      <c r="G144">
        <v>697944</v>
      </c>
      <c r="H144">
        <v>6.5</v>
      </c>
      <c r="I144">
        <v>45366</v>
      </c>
      <c r="J144">
        <v>743310</v>
      </c>
      <c r="K144" t="s">
        <v>1650</v>
      </c>
      <c r="L144">
        <v>4.8</v>
      </c>
    </row>
    <row r="145" spans="1:12" ht="14.5" x14ac:dyDescent="0.35">
      <c r="A145" t="s">
        <v>354</v>
      </c>
      <c r="B145" t="s">
        <v>355</v>
      </c>
      <c r="C145" t="s">
        <v>69</v>
      </c>
      <c r="D145" t="s">
        <v>117</v>
      </c>
      <c r="E145">
        <v>6.7</v>
      </c>
      <c r="F145">
        <v>110242</v>
      </c>
      <c r="G145">
        <v>1322904</v>
      </c>
      <c r="H145">
        <v>15.5</v>
      </c>
      <c r="I145">
        <v>205050</v>
      </c>
      <c r="J145">
        <v>1527954</v>
      </c>
      <c r="K145" t="s">
        <v>1650</v>
      </c>
      <c r="L145">
        <v>11.1</v>
      </c>
    </row>
    <row r="146" spans="1:12" ht="14.5" x14ac:dyDescent="0.35">
      <c r="A146" t="s">
        <v>356</v>
      </c>
      <c r="B146" t="s">
        <v>357</v>
      </c>
      <c r="C146" t="s">
        <v>36</v>
      </c>
      <c r="D146" t="s">
        <v>84</v>
      </c>
      <c r="E146">
        <v>3.7</v>
      </c>
      <c r="F146">
        <v>123991</v>
      </c>
      <c r="G146">
        <v>1487892</v>
      </c>
      <c r="H146">
        <v>8.6999999999999993</v>
      </c>
      <c r="I146">
        <v>129447</v>
      </c>
      <c r="J146">
        <v>1617339</v>
      </c>
      <c r="K146" t="s">
        <v>1655</v>
      </c>
      <c r="L146">
        <v>3</v>
      </c>
    </row>
    <row r="147" spans="1:12" ht="14.5" x14ac:dyDescent="0.35">
      <c r="A147" t="s">
        <v>358</v>
      </c>
      <c r="B147" t="s">
        <v>359</v>
      </c>
      <c r="C147" t="s">
        <v>36</v>
      </c>
      <c r="D147" t="s">
        <v>253</v>
      </c>
      <c r="E147">
        <v>5.5</v>
      </c>
      <c r="F147">
        <v>45322</v>
      </c>
      <c r="G147">
        <v>543864</v>
      </c>
      <c r="H147">
        <v>6.7</v>
      </c>
      <c r="I147">
        <v>36439</v>
      </c>
      <c r="J147">
        <v>580303</v>
      </c>
      <c r="K147" t="s">
        <v>1654</v>
      </c>
      <c r="L147">
        <v>4.7</v>
      </c>
    </row>
    <row r="148" spans="1:12" ht="14.5" x14ac:dyDescent="0.35">
      <c r="A148" t="s">
        <v>360</v>
      </c>
      <c r="B148" t="s">
        <v>361</v>
      </c>
      <c r="C148" t="s">
        <v>40</v>
      </c>
      <c r="D148" t="s">
        <v>293</v>
      </c>
      <c r="E148">
        <v>2.2999999999999998</v>
      </c>
      <c r="F148">
        <v>66684</v>
      </c>
      <c r="G148">
        <v>800208</v>
      </c>
      <c r="H148">
        <v>14.6</v>
      </c>
      <c r="I148">
        <v>116830</v>
      </c>
      <c r="J148">
        <v>917038</v>
      </c>
      <c r="K148" t="s">
        <v>1654</v>
      </c>
      <c r="L148">
        <v>7.3</v>
      </c>
    </row>
    <row r="149" spans="1:12" ht="14.5" x14ac:dyDescent="0.35">
      <c r="A149" t="s">
        <v>362</v>
      </c>
      <c r="B149" t="s">
        <v>363</v>
      </c>
      <c r="C149" t="s">
        <v>21</v>
      </c>
      <c r="D149" t="s">
        <v>153</v>
      </c>
      <c r="E149">
        <v>5.2</v>
      </c>
      <c r="F149">
        <v>116647</v>
      </c>
      <c r="G149">
        <v>1399764</v>
      </c>
      <c r="H149">
        <v>16.7</v>
      </c>
      <c r="I149">
        <v>233761</v>
      </c>
      <c r="J149">
        <v>1633525</v>
      </c>
      <c r="K149" t="s">
        <v>1655</v>
      </c>
      <c r="L149">
        <v>9.9</v>
      </c>
    </row>
    <row r="150" spans="1:12" ht="14.5" x14ac:dyDescent="0.35">
      <c r="A150" t="s">
        <v>364</v>
      </c>
      <c r="B150" t="s">
        <v>365</v>
      </c>
      <c r="C150" t="s">
        <v>27</v>
      </c>
      <c r="D150" t="s">
        <v>73</v>
      </c>
      <c r="E150">
        <v>7.6</v>
      </c>
      <c r="F150">
        <v>62663</v>
      </c>
      <c r="G150">
        <v>751956</v>
      </c>
      <c r="H150">
        <v>15.8</v>
      </c>
      <c r="I150">
        <v>118809</v>
      </c>
      <c r="J150">
        <v>870765</v>
      </c>
      <c r="K150" t="s">
        <v>1650</v>
      </c>
      <c r="L150">
        <v>7.4</v>
      </c>
    </row>
    <row r="151" spans="1:12" ht="14.5" x14ac:dyDescent="0.35">
      <c r="A151" t="s">
        <v>366</v>
      </c>
      <c r="B151" t="s">
        <v>367</v>
      </c>
      <c r="C151" t="s">
        <v>108</v>
      </c>
      <c r="D151" t="s">
        <v>126</v>
      </c>
      <c r="E151">
        <v>3.5</v>
      </c>
      <c r="F151">
        <v>111695</v>
      </c>
      <c r="G151">
        <v>1340340</v>
      </c>
      <c r="H151">
        <v>14.9</v>
      </c>
      <c r="I151">
        <v>199711</v>
      </c>
      <c r="J151">
        <v>1540051</v>
      </c>
      <c r="K151" t="s">
        <v>1655</v>
      </c>
      <c r="L151">
        <v>3.8</v>
      </c>
    </row>
    <row r="152" spans="1:12" ht="14.5" x14ac:dyDescent="0.35">
      <c r="A152" t="s">
        <v>368</v>
      </c>
      <c r="B152" t="s">
        <v>369</v>
      </c>
      <c r="C152" t="s">
        <v>69</v>
      </c>
      <c r="D152" t="s">
        <v>70</v>
      </c>
      <c r="E152">
        <v>4.0999999999999996</v>
      </c>
      <c r="F152">
        <v>107964</v>
      </c>
      <c r="G152">
        <v>1295568</v>
      </c>
      <c r="H152">
        <v>13.7</v>
      </c>
      <c r="I152">
        <v>177493</v>
      </c>
      <c r="J152">
        <v>1473061</v>
      </c>
      <c r="K152" t="s">
        <v>1654</v>
      </c>
      <c r="L152">
        <v>8.1999999999999993</v>
      </c>
    </row>
    <row r="153" spans="1:12" ht="14.5" x14ac:dyDescent="0.35">
      <c r="A153" t="s">
        <v>370</v>
      </c>
      <c r="B153" t="s">
        <v>371</v>
      </c>
      <c r="C153" t="s">
        <v>108</v>
      </c>
      <c r="D153" t="s">
        <v>126</v>
      </c>
      <c r="E153">
        <v>6.2</v>
      </c>
      <c r="F153">
        <v>33943</v>
      </c>
      <c r="G153">
        <v>407316</v>
      </c>
      <c r="H153">
        <v>8.6999999999999993</v>
      </c>
      <c r="I153">
        <v>35436</v>
      </c>
      <c r="J153">
        <v>442752</v>
      </c>
      <c r="K153" t="s">
        <v>1652</v>
      </c>
      <c r="L153">
        <v>7.5</v>
      </c>
    </row>
    <row r="154" spans="1:12" ht="14.5" x14ac:dyDescent="0.35">
      <c r="A154" t="s">
        <v>372</v>
      </c>
      <c r="B154" t="s">
        <v>373</v>
      </c>
      <c r="C154" t="s">
        <v>108</v>
      </c>
      <c r="D154" t="s">
        <v>114</v>
      </c>
      <c r="E154">
        <v>1.7</v>
      </c>
      <c r="F154">
        <v>45781</v>
      </c>
      <c r="G154">
        <v>549372</v>
      </c>
      <c r="H154">
        <v>4.5999999999999996</v>
      </c>
      <c r="I154">
        <v>25271</v>
      </c>
      <c r="J154">
        <v>574643</v>
      </c>
      <c r="K154" t="s">
        <v>1653</v>
      </c>
      <c r="L154">
        <v>4</v>
      </c>
    </row>
    <row r="155" spans="1:12" ht="14.5" x14ac:dyDescent="0.35">
      <c r="A155" t="s">
        <v>374</v>
      </c>
      <c r="B155" t="s">
        <v>375</v>
      </c>
      <c r="C155" t="s">
        <v>40</v>
      </c>
      <c r="D155" t="s">
        <v>65</v>
      </c>
      <c r="E155">
        <v>6.6</v>
      </c>
      <c r="F155">
        <v>92139</v>
      </c>
      <c r="G155">
        <v>1105668</v>
      </c>
      <c r="H155">
        <v>13</v>
      </c>
      <c r="I155">
        <v>143737</v>
      </c>
      <c r="J155">
        <v>1249405</v>
      </c>
      <c r="K155" t="s">
        <v>1654</v>
      </c>
      <c r="L155">
        <v>5.5</v>
      </c>
    </row>
    <row r="156" spans="1:12" ht="14.5" x14ac:dyDescent="0.35">
      <c r="A156" t="s">
        <v>376</v>
      </c>
      <c r="B156" t="s">
        <v>377</v>
      </c>
      <c r="C156" t="s">
        <v>36</v>
      </c>
      <c r="D156" t="s">
        <v>37</v>
      </c>
      <c r="E156">
        <v>2.8</v>
      </c>
      <c r="F156">
        <v>86287</v>
      </c>
      <c r="G156">
        <v>1035444</v>
      </c>
      <c r="H156">
        <v>11.7</v>
      </c>
      <c r="I156">
        <v>121147</v>
      </c>
      <c r="J156">
        <v>1156591</v>
      </c>
      <c r="K156" t="s">
        <v>1650</v>
      </c>
      <c r="L156">
        <v>6</v>
      </c>
    </row>
    <row r="157" spans="1:12" ht="14.5" x14ac:dyDescent="0.35">
      <c r="A157" t="s">
        <v>378</v>
      </c>
      <c r="B157" t="s">
        <v>379</v>
      </c>
      <c r="C157" t="s">
        <v>21</v>
      </c>
      <c r="D157" t="s">
        <v>163</v>
      </c>
      <c r="E157">
        <v>3.3</v>
      </c>
      <c r="F157">
        <v>64160</v>
      </c>
      <c r="G157">
        <v>769920</v>
      </c>
      <c r="H157">
        <v>13.7</v>
      </c>
      <c r="I157">
        <v>105479</v>
      </c>
      <c r="J157">
        <v>875399</v>
      </c>
      <c r="K157" t="s">
        <v>1652</v>
      </c>
      <c r="L157">
        <v>9.4</v>
      </c>
    </row>
    <row r="158" spans="1:12" ht="14.5" x14ac:dyDescent="0.35">
      <c r="A158" t="s">
        <v>380</v>
      </c>
      <c r="B158" t="s">
        <v>72</v>
      </c>
      <c r="C158" t="s">
        <v>108</v>
      </c>
      <c r="D158" t="s">
        <v>114</v>
      </c>
      <c r="E158">
        <v>7.2</v>
      </c>
      <c r="F158">
        <v>71713</v>
      </c>
      <c r="G158">
        <v>860556</v>
      </c>
      <c r="H158">
        <v>9.6</v>
      </c>
      <c r="I158">
        <v>82613</v>
      </c>
      <c r="J158">
        <v>943169</v>
      </c>
      <c r="K158" t="s">
        <v>1655</v>
      </c>
      <c r="L158">
        <v>6.2</v>
      </c>
    </row>
    <row r="159" spans="1:12" ht="14.5" x14ac:dyDescent="0.35">
      <c r="A159" t="s">
        <v>381</v>
      </c>
      <c r="B159" t="s">
        <v>26</v>
      </c>
      <c r="C159" t="s">
        <v>45</v>
      </c>
      <c r="D159" t="s">
        <v>234</v>
      </c>
      <c r="E159">
        <v>5.4</v>
      </c>
      <c r="F159">
        <v>104858</v>
      </c>
      <c r="G159">
        <v>1258296</v>
      </c>
      <c r="H159">
        <v>15.6</v>
      </c>
      <c r="I159">
        <v>196294</v>
      </c>
      <c r="J159">
        <v>1454590</v>
      </c>
      <c r="K159" t="s">
        <v>1650</v>
      </c>
      <c r="L159">
        <v>10.5</v>
      </c>
    </row>
    <row r="160" spans="1:12" ht="14.5" x14ac:dyDescent="0.35">
      <c r="A160" t="s">
        <v>382</v>
      </c>
      <c r="B160" t="s">
        <v>383</v>
      </c>
      <c r="C160" t="s">
        <v>40</v>
      </c>
      <c r="D160" t="s">
        <v>90</v>
      </c>
      <c r="E160">
        <v>6.1</v>
      </c>
      <c r="F160">
        <v>45038</v>
      </c>
      <c r="G160">
        <v>540456</v>
      </c>
      <c r="H160">
        <v>10.6</v>
      </c>
      <c r="I160">
        <v>57288</v>
      </c>
      <c r="J160">
        <v>597744</v>
      </c>
      <c r="K160" t="s">
        <v>1652</v>
      </c>
      <c r="L160">
        <v>12.9</v>
      </c>
    </row>
    <row r="161" spans="1:12" ht="14.5" x14ac:dyDescent="0.35">
      <c r="A161" t="s">
        <v>384</v>
      </c>
      <c r="B161" t="s">
        <v>385</v>
      </c>
      <c r="C161" t="s">
        <v>159</v>
      </c>
      <c r="D161" t="s">
        <v>160</v>
      </c>
      <c r="E161">
        <v>7.6</v>
      </c>
      <c r="F161">
        <v>74955</v>
      </c>
      <c r="G161">
        <v>899460</v>
      </c>
      <c r="H161">
        <v>13.2</v>
      </c>
      <c r="I161">
        <v>118729</v>
      </c>
      <c r="J161">
        <v>1018189</v>
      </c>
      <c r="K161" t="s">
        <v>1655</v>
      </c>
      <c r="L161">
        <v>3.9</v>
      </c>
    </row>
    <row r="162" spans="1:12" ht="14.5" x14ac:dyDescent="0.35">
      <c r="A162" t="s">
        <v>386</v>
      </c>
      <c r="B162" t="s">
        <v>157</v>
      </c>
      <c r="C162" t="s">
        <v>45</v>
      </c>
      <c r="D162" t="s">
        <v>46</v>
      </c>
      <c r="E162">
        <v>4.8</v>
      </c>
      <c r="F162">
        <v>34868</v>
      </c>
      <c r="G162">
        <v>418416</v>
      </c>
      <c r="H162">
        <v>15.7</v>
      </c>
      <c r="I162">
        <v>65691</v>
      </c>
      <c r="J162">
        <v>484107</v>
      </c>
      <c r="K162" t="s">
        <v>1653</v>
      </c>
      <c r="L162">
        <v>4.4000000000000004</v>
      </c>
    </row>
    <row r="163" spans="1:12" ht="14.5" x14ac:dyDescent="0.35">
      <c r="A163" t="s">
        <v>387</v>
      </c>
      <c r="B163" t="s">
        <v>388</v>
      </c>
      <c r="C163" t="s">
        <v>27</v>
      </c>
      <c r="D163" t="s">
        <v>28</v>
      </c>
      <c r="E163">
        <v>2.7</v>
      </c>
      <c r="F163">
        <v>75453</v>
      </c>
      <c r="G163">
        <v>905436</v>
      </c>
      <c r="H163">
        <v>4.9000000000000004</v>
      </c>
      <c r="I163">
        <v>44366</v>
      </c>
      <c r="J163">
        <v>949802</v>
      </c>
      <c r="K163" t="s">
        <v>1655</v>
      </c>
      <c r="L163">
        <v>13.8</v>
      </c>
    </row>
    <row r="164" spans="1:12" ht="14.5" x14ac:dyDescent="0.35">
      <c r="A164" t="s">
        <v>389</v>
      </c>
      <c r="B164" t="s">
        <v>390</v>
      </c>
      <c r="C164" t="s">
        <v>21</v>
      </c>
      <c r="D164" t="s">
        <v>153</v>
      </c>
      <c r="E164">
        <v>1.9</v>
      </c>
      <c r="F164">
        <v>67535</v>
      </c>
      <c r="G164">
        <v>810420</v>
      </c>
      <c r="H164">
        <v>9.6999999999999993</v>
      </c>
      <c r="I164">
        <v>78611</v>
      </c>
      <c r="J164">
        <v>889031</v>
      </c>
      <c r="K164" t="s">
        <v>1651</v>
      </c>
      <c r="L164">
        <v>14.4</v>
      </c>
    </row>
    <row r="165" spans="1:12" ht="14.5" x14ac:dyDescent="0.35">
      <c r="A165" t="s">
        <v>391</v>
      </c>
      <c r="B165" t="s">
        <v>392</v>
      </c>
      <c r="C165" t="s">
        <v>52</v>
      </c>
      <c r="D165" t="s">
        <v>224</v>
      </c>
      <c r="E165">
        <v>6.5</v>
      </c>
      <c r="F165">
        <v>92260</v>
      </c>
      <c r="G165">
        <v>1107120</v>
      </c>
      <c r="H165">
        <v>9.3000000000000007</v>
      </c>
      <c r="I165">
        <v>102962</v>
      </c>
      <c r="J165">
        <v>1210082</v>
      </c>
      <c r="K165" t="s">
        <v>1654</v>
      </c>
      <c r="L165">
        <v>8.9</v>
      </c>
    </row>
    <row r="166" spans="1:12" ht="14.5" x14ac:dyDescent="0.35">
      <c r="A166" t="s">
        <v>393</v>
      </c>
      <c r="B166" t="s">
        <v>394</v>
      </c>
      <c r="C166" t="s">
        <v>21</v>
      </c>
      <c r="D166" t="s">
        <v>22</v>
      </c>
      <c r="E166">
        <v>7</v>
      </c>
      <c r="F166">
        <v>44540</v>
      </c>
      <c r="G166">
        <v>534480</v>
      </c>
      <c r="H166">
        <v>10.7</v>
      </c>
      <c r="I166">
        <v>57189</v>
      </c>
      <c r="J166">
        <v>591669</v>
      </c>
      <c r="K166" t="s">
        <v>1652</v>
      </c>
      <c r="L166">
        <v>4.5</v>
      </c>
    </row>
    <row r="167" spans="1:12" ht="14.5" x14ac:dyDescent="0.35">
      <c r="A167" t="s">
        <v>395</v>
      </c>
      <c r="B167" t="s">
        <v>396</v>
      </c>
      <c r="C167" t="s">
        <v>45</v>
      </c>
      <c r="D167" t="s">
        <v>46</v>
      </c>
      <c r="E167">
        <v>4.4000000000000004</v>
      </c>
      <c r="F167">
        <v>87469</v>
      </c>
      <c r="G167">
        <v>1049628</v>
      </c>
      <c r="H167">
        <v>6.9</v>
      </c>
      <c r="I167">
        <v>72424</v>
      </c>
      <c r="J167">
        <v>1122052</v>
      </c>
      <c r="K167" t="s">
        <v>1655</v>
      </c>
      <c r="L167">
        <v>7.2</v>
      </c>
    </row>
    <row r="168" spans="1:12" ht="14.5" x14ac:dyDescent="0.35">
      <c r="A168" t="s">
        <v>397</v>
      </c>
      <c r="B168" t="s">
        <v>398</v>
      </c>
      <c r="C168" t="s">
        <v>56</v>
      </c>
      <c r="D168" t="s">
        <v>79</v>
      </c>
      <c r="E168">
        <v>5.3</v>
      </c>
      <c r="F168">
        <v>84370</v>
      </c>
      <c r="G168">
        <v>1012440</v>
      </c>
      <c r="H168">
        <v>16.100000000000001</v>
      </c>
      <c r="I168">
        <v>163003</v>
      </c>
      <c r="J168">
        <v>1175443</v>
      </c>
      <c r="K168" t="s">
        <v>1655</v>
      </c>
      <c r="L168">
        <v>6.9</v>
      </c>
    </row>
    <row r="169" spans="1:12" ht="14.5" x14ac:dyDescent="0.35">
      <c r="A169" t="s">
        <v>399</v>
      </c>
      <c r="B169" t="s">
        <v>400</v>
      </c>
      <c r="C169" t="s">
        <v>56</v>
      </c>
      <c r="D169" t="s">
        <v>57</v>
      </c>
      <c r="E169">
        <v>3.1</v>
      </c>
      <c r="F169">
        <v>123631</v>
      </c>
      <c r="G169">
        <v>1483572</v>
      </c>
      <c r="H169">
        <v>12.2</v>
      </c>
      <c r="I169">
        <v>180996</v>
      </c>
      <c r="J169">
        <v>1664568</v>
      </c>
      <c r="K169" t="s">
        <v>1651</v>
      </c>
      <c r="L169">
        <v>14.1</v>
      </c>
    </row>
    <row r="170" spans="1:12" ht="14.5" x14ac:dyDescent="0.35">
      <c r="A170" t="s">
        <v>401</v>
      </c>
      <c r="B170" t="s">
        <v>402</v>
      </c>
      <c r="C170" t="s">
        <v>56</v>
      </c>
      <c r="D170" t="s">
        <v>57</v>
      </c>
      <c r="E170">
        <v>6</v>
      </c>
      <c r="F170">
        <v>118023</v>
      </c>
      <c r="G170">
        <v>1416276</v>
      </c>
      <c r="H170">
        <v>7.1</v>
      </c>
      <c r="I170">
        <v>100556</v>
      </c>
      <c r="J170">
        <v>1516832</v>
      </c>
      <c r="K170" t="s">
        <v>1652</v>
      </c>
      <c r="L170">
        <v>11</v>
      </c>
    </row>
    <row r="171" spans="1:12" ht="14.5" x14ac:dyDescent="0.35">
      <c r="A171" t="s">
        <v>403</v>
      </c>
      <c r="B171" t="s">
        <v>404</v>
      </c>
      <c r="C171" t="s">
        <v>21</v>
      </c>
      <c r="D171" t="s">
        <v>22</v>
      </c>
      <c r="E171">
        <v>2.9</v>
      </c>
      <c r="F171">
        <v>40656</v>
      </c>
      <c r="G171">
        <v>487872</v>
      </c>
      <c r="H171">
        <v>6.1</v>
      </c>
      <c r="I171">
        <v>29760</v>
      </c>
      <c r="J171">
        <v>517632</v>
      </c>
      <c r="K171" t="s">
        <v>1652</v>
      </c>
      <c r="L171">
        <v>12.6</v>
      </c>
    </row>
    <row r="172" spans="1:12" ht="14.5" x14ac:dyDescent="0.35">
      <c r="A172" t="s">
        <v>405</v>
      </c>
      <c r="B172" t="s">
        <v>81</v>
      </c>
      <c r="C172" t="s">
        <v>159</v>
      </c>
      <c r="D172" t="s">
        <v>187</v>
      </c>
      <c r="E172">
        <v>1.4</v>
      </c>
      <c r="F172">
        <v>101620</v>
      </c>
      <c r="G172">
        <v>1219440</v>
      </c>
      <c r="H172">
        <v>15.3</v>
      </c>
      <c r="I172">
        <v>186574</v>
      </c>
      <c r="J172">
        <v>1406014</v>
      </c>
      <c r="K172" t="s">
        <v>1654</v>
      </c>
      <c r="L172">
        <v>14.6</v>
      </c>
    </row>
    <row r="173" spans="1:12" ht="14.5" x14ac:dyDescent="0.35">
      <c r="A173" t="s">
        <v>406</v>
      </c>
      <c r="B173" t="s">
        <v>407</v>
      </c>
      <c r="C173" t="s">
        <v>56</v>
      </c>
      <c r="D173" t="s">
        <v>57</v>
      </c>
      <c r="E173">
        <v>4.5</v>
      </c>
      <c r="F173">
        <v>106696</v>
      </c>
      <c r="G173">
        <v>1280352</v>
      </c>
      <c r="H173">
        <v>16.600000000000001</v>
      </c>
      <c r="I173">
        <v>212538</v>
      </c>
      <c r="J173">
        <v>1492890</v>
      </c>
      <c r="K173" t="s">
        <v>1652</v>
      </c>
      <c r="L173">
        <v>6.7</v>
      </c>
    </row>
    <row r="174" spans="1:12" ht="14.5" x14ac:dyDescent="0.35">
      <c r="A174" t="s">
        <v>408</v>
      </c>
      <c r="B174" t="s">
        <v>51</v>
      </c>
      <c r="C174" t="s">
        <v>21</v>
      </c>
      <c r="D174" t="s">
        <v>49</v>
      </c>
      <c r="E174">
        <v>2.2999999999999998</v>
      </c>
      <c r="F174">
        <v>57392</v>
      </c>
      <c r="G174">
        <v>688704</v>
      </c>
      <c r="H174">
        <v>7.6</v>
      </c>
      <c r="I174">
        <v>52342</v>
      </c>
      <c r="J174">
        <v>741046</v>
      </c>
      <c r="K174" t="s">
        <v>1650</v>
      </c>
      <c r="L174">
        <v>7.6</v>
      </c>
    </row>
    <row r="175" spans="1:12" ht="14.5" x14ac:dyDescent="0.35">
      <c r="A175" t="s">
        <v>409</v>
      </c>
      <c r="B175" t="s">
        <v>410</v>
      </c>
      <c r="C175" t="s">
        <v>40</v>
      </c>
      <c r="D175" t="s">
        <v>293</v>
      </c>
      <c r="E175">
        <v>1.3</v>
      </c>
      <c r="F175">
        <v>57643</v>
      </c>
      <c r="G175">
        <v>691716</v>
      </c>
      <c r="H175">
        <v>13.8</v>
      </c>
      <c r="I175">
        <v>95457</v>
      </c>
      <c r="J175">
        <v>787173</v>
      </c>
      <c r="K175" t="s">
        <v>1652</v>
      </c>
      <c r="L175">
        <v>12.9</v>
      </c>
    </row>
    <row r="176" spans="1:12" ht="14.5" x14ac:dyDescent="0.35">
      <c r="A176" t="s">
        <v>411</v>
      </c>
      <c r="B176" t="s">
        <v>288</v>
      </c>
      <c r="C176" t="s">
        <v>27</v>
      </c>
      <c r="D176" t="s">
        <v>28</v>
      </c>
      <c r="E176">
        <v>5.7</v>
      </c>
      <c r="F176">
        <v>63818</v>
      </c>
      <c r="G176">
        <v>765816</v>
      </c>
      <c r="H176">
        <v>5.6</v>
      </c>
      <c r="I176">
        <v>42886</v>
      </c>
      <c r="J176">
        <v>808702</v>
      </c>
      <c r="K176" t="s">
        <v>1652</v>
      </c>
      <c r="L176">
        <v>14.1</v>
      </c>
    </row>
    <row r="177" spans="1:12" ht="14.5" x14ac:dyDescent="0.35">
      <c r="A177" t="s">
        <v>412</v>
      </c>
      <c r="B177" t="s">
        <v>413</v>
      </c>
      <c r="C177" t="s">
        <v>40</v>
      </c>
      <c r="D177" t="s">
        <v>293</v>
      </c>
      <c r="E177">
        <v>6.1</v>
      </c>
      <c r="F177">
        <v>102228</v>
      </c>
      <c r="G177">
        <v>1226736</v>
      </c>
      <c r="H177">
        <v>15.3</v>
      </c>
      <c r="I177">
        <v>187691</v>
      </c>
      <c r="J177">
        <v>1414427</v>
      </c>
      <c r="K177" t="s">
        <v>1652</v>
      </c>
      <c r="L177">
        <v>3.9</v>
      </c>
    </row>
    <row r="178" spans="1:12" ht="14.5" x14ac:dyDescent="0.35">
      <c r="A178" t="s">
        <v>414</v>
      </c>
      <c r="B178" t="s">
        <v>415</v>
      </c>
      <c r="C178" t="s">
        <v>21</v>
      </c>
      <c r="D178" t="s">
        <v>133</v>
      </c>
      <c r="E178">
        <v>1.8</v>
      </c>
      <c r="F178">
        <v>56197</v>
      </c>
      <c r="G178">
        <v>674364</v>
      </c>
      <c r="H178">
        <v>7.2</v>
      </c>
      <c r="I178">
        <v>48554</v>
      </c>
      <c r="J178">
        <v>722918</v>
      </c>
      <c r="K178" t="s">
        <v>1655</v>
      </c>
      <c r="L178">
        <v>14.5</v>
      </c>
    </row>
    <row r="179" spans="1:12" ht="14.5" x14ac:dyDescent="0.35">
      <c r="A179" t="s">
        <v>416</v>
      </c>
      <c r="B179" t="s">
        <v>417</v>
      </c>
      <c r="C179" t="s">
        <v>108</v>
      </c>
      <c r="D179" t="s">
        <v>126</v>
      </c>
      <c r="E179">
        <v>4.3</v>
      </c>
      <c r="F179">
        <v>122581</v>
      </c>
      <c r="G179">
        <v>1470972</v>
      </c>
      <c r="H179">
        <v>7.6</v>
      </c>
      <c r="I179">
        <v>111794</v>
      </c>
      <c r="J179">
        <v>1582766</v>
      </c>
      <c r="K179" t="s">
        <v>1651</v>
      </c>
      <c r="L179">
        <v>3</v>
      </c>
    </row>
    <row r="180" spans="1:12" ht="14.5" x14ac:dyDescent="0.35">
      <c r="A180" t="s">
        <v>418</v>
      </c>
      <c r="B180" t="s">
        <v>419</v>
      </c>
      <c r="C180" t="s">
        <v>45</v>
      </c>
      <c r="D180" t="s">
        <v>296</v>
      </c>
      <c r="E180">
        <v>6</v>
      </c>
      <c r="F180">
        <v>108981</v>
      </c>
      <c r="G180">
        <v>1307772</v>
      </c>
      <c r="H180">
        <v>15.8</v>
      </c>
      <c r="I180">
        <v>206628</v>
      </c>
      <c r="J180">
        <v>1514400</v>
      </c>
      <c r="K180" t="s">
        <v>1655</v>
      </c>
      <c r="L180">
        <v>8</v>
      </c>
    </row>
    <row r="181" spans="1:12" ht="14.5" x14ac:dyDescent="0.35">
      <c r="A181" t="s">
        <v>420</v>
      </c>
      <c r="B181" t="s">
        <v>348</v>
      </c>
      <c r="C181" t="s">
        <v>36</v>
      </c>
      <c r="D181" t="s">
        <v>84</v>
      </c>
      <c r="E181">
        <v>0.9</v>
      </c>
      <c r="F181">
        <v>85939</v>
      </c>
      <c r="G181">
        <v>1031268</v>
      </c>
      <c r="H181">
        <v>5.6</v>
      </c>
      <c r="I181">
        <v>57751</v>
      </c>
      <c r="J181">
        <v>1089019</v>
      </c>
      <c r="K181" t="s">
        <v>1652</v>
      </c>
      <c r="L181">
        <v>3.1</v>
      </c>
    </row>
    <row r="182" spans="1:12" ht="14.5" x14ac:dyDescent="0.35">
      <c r="A182" t="s">
        <v>421</v>
      </c>
      <c r="B182" t="s">
        <v>422</v>
      </c>
      <c r="C182" t="s">
        <v>69</v>
      </c>
      <c r="D182" t="s">
        <v>319</v>
      </c>
      <c r="E182">
        <v>2.9</v>
      </c>
      <c r="F182">
        <v>42534</v>
      </c>
      <c r="G182">
        <v>510408</v>
      </c>
      <c r="H182">
        <v>14.1</v>
      </c>
      <c r="I182">
        <v>71968</v>
      </c>
      <c r="J182">
        <v>582376</v>
      </c>
      <c r="K182" t="s">
        <v>1653</v>
      </c>
      <c r="L182">
        <v>6.3</v>
      </c>
    </row>
    <row r="183" spans="1:12" ht="14.5" x14ac:dyDescent="0.35">
      <c r="A183" t="s">
        <v>423</v>
      </c>
      <c r="B183" t="s">
        <v>229</v>
      </c>
      <c r="C183" t="s">
        <v>108</v>
      </c>
      <c r="D183" t="s">
        <v>126</v>
      </c>
      <c r="E183">
        <v>3.3</v>
      </c>
      <c r="F183">
        <v>106554</v>
      </c>
      <c r="G183">
        <v>1278648</v>
      </c>
      <c r="H183">
        <v>11.8</v>
      </c>
      <c r="I183">
        <v>150880</v>
      </c>
      <c r="J183">
        <v>1429528</v>
      </c>
      <c r="K183" t="s">
        <v>1655</v>
      </c>
      <c r="L183">
        <v>14.2</v>
      </c>
    </row>
    <row r="184" spans="1:12" ht="14.5" x14ac:dyDescent="0.35">
      <c r="A184" t="s">
        <v>424</v>
      </c>
      <c r="B184" t="s">
        <v>81</v>
      </c>
      <c r="C184" t="s">
        <v>69</v>
      </c>
      <c r="D184" t="s">
        <v>150</v>
      </c>
      <c r="E184">
        <v>4.9000000000000004</v>
      </c>
      <c r="F184">
        <v>65938</v>
      </c>
      <c r="G184">
        <v>791256</v>
      </c>
      <c r="H184">
        <v>9.1999999999999993</v>
      </c>
      <c r="I184">
        <v>72796</v>
      </c>
      <c r="J184">
        <v>864052</v>
      </c>
      <c r="K184" t="s">
        <v>1653</v>
      </c>
      <c r="L184">
        <v>5.4</v>
      </c>
    </row>
    <row r="185" spans="1:12" ht="14.5" x14ac:dyDescent="0.35">
      <c r="A185" t="s">
        <v>425</v>
      </c>
      <c r="B185" t="s">
        <v>426</v>
      </c>
      <c r="C185" t="s">
        <v>52</v>
      </c>
      <c r="D185" t="s">
        <v>224</v>
      </c>
      <c r="E185">
        <v>6.3</v>
      </c>
      <c r="F185">
        <v>77834</v>
      </c>
      <c r="G185">
        <v>934008</v>
      </c>
      <c r="H185">
        <v>16.7</v>
      </c>
      <c r="I185">
        <v>155979</v>
      </c>
      <c r="J185">
        <v>1089987</v>
      </c>
      <c r="K185" t="s">
        <v>1654</v>
      </c>
      <c r="L185">
        <v>8.8000000000000007</v>
      </c>
    </row>
    <row r="186" spans="1:12" ht="14.5" x14ac:dyDescent="0.35">
      <c r="A186" t="s">
        <v>427</v>
      </c>
      <c r="B186" t="s">
        <v>428</v>
      </c>
      <c r="C186" t="s">
        <v>27</v>
      </c>
      <c r="D186" t="s">
        <v>73</v>
      </c>
      <c r="E186">
        <v>7.3</v>
      </c>
      <c r="F186">
        <v>85176</v>
      </c>
      <c r="G186">
        <v>1022112</v>
      </c>
      <c r="H186">
        <v>11.2</v>
      </c>
      <c r="I186">
        <v>114477</v>
      </c>
      <c r="J186">
        <v>1136589</v>
      </c>
      <c r="K186" t="s">
        <v>1652</v>
      </c>
      <c r="L186">
        <v>13.2</v>
      </c>
    </row>
    <row r="187" spans="1:12" ht="14.5" x14ac:dyDescent="0.35">
      <c r="A187" t="s">
        <v>429</v>
      </c>
      <c r="B187" t="s">
        <v>430</v>
      </c>
      <c r="C187" t="s">
        <v>21</v>
      </c>
      <c r="D187" t="s">
        <v>163</v>
      </c>
      <c r="E187">
        <v>3.2</v>
      </c>
      <c r="F187">
        <v>120995</v>
      </c>
      <c r="G187">
        <v>1451940</v>
      </c>
      <c r="H187">
        <v>6.6</v>
      </c>
      <c r="I187">
        <v>95828</v>
      </c>
      <c r="J187">
        <v>1547768</v>
      </c>
      <c r="K187" t="s">
        <v>1652</v>
      </c>
      <c r="L187">
        <v>5.5</v>
      </c>
    </row>
    <row r="188" spans="1:12" ht="14.5" x14ac:dyDescent="0.35">
      <c r="A188" t="s">
        <v>431</v>
      </c>
      <c r="B188" t="s">
        <v>432</v>
      </c>
      <c r="C188" t="s">
        <v>36</v>
      </c>
      <c r="D188" t="s">
        <v>37</v>
      </c>
      <c r="E188">
        <v>4.0999999999999996</v>
      </c>
      <c r="F188">
        <v>50527</v>
      </c>
      <c r="G188">
        <v>606324</v>
      </c>
      <c r="H188">
        <v>13.7</v>
      </c>
      <c r="I188">
        <v>83066</v>
      </c>
      <c r="J188">
        <v>689390</v>
      </c>
      <c r="K188" t="s">
        <v>1651</v>
      </c>
      <c r="L188">
        <v>13.9</v>
      </c>
    </row>
    <row r="189" spans="1:12" ht="14.5" x14ac:dyDescent="0.35">
      <c r="A189" t="s">
        <v>433</v>
      </c>
      <c r="B189" t="s">
        <v>434</v>
      </c>
      <c r="C189" t="s">
        <v>108</v>
      </c>
      <c r="D189" t="s">
        <v>126</v>
      </c>
      <c r="E189">
        <v>6.6</v>
      </c>
      <c r="F189">
        <v>59891</v>
      </c>
      <c r="G189">
        <v>718692</v>
      </c>
      <c r="H189">
        <v>7.9</v>
      </c>
      <c r="I189">
        <v>56777</v>
      </c>
      <c r="J189">
        <v>775469</v>
      </c>
      <c r="K189" t="s">
        <v>1651</v>
      </c>
      <c r="L189">
        <v>7.2</v>
      </c>
    </row>
    <row r="190" spans="1:12" ht="14.5" x14ac:dyDescent="0.35">
      <c r="A190" t="s">
        <v>435</v>
      </c>
      <c r="B190" t="s">
        <v>436</v>
      </c>
      <c r="C190" t="s">
        <v>56</v>
      </c>
      <c r="D190" t="s">
        <v>79</v>
      </c>
      <c r="E190">
        <v>3.9</v>
      </c>
      <c r="F190">
        <v>57041</v>
      </c>
      <c r="G190">
        <v>684492</v>
      </c>
      <c r="H190">
        <v>11</v>
      </c>
      <c r="I190">
        <v>75294</v>
      </c>
      <c r="J190">
        <v>759786</v>
      </c>
      <c r="K190" t="s">
        <v>1650</v>
      </c>
      <c r="L190">
        <v>3</v>
      </c>
    </row>
    <row r="191" spans="1:12" ht="14.5" x14ac:dyDescent="0.35">
      <c r="A191" t="s">
        <v>437</v>
      </c>
      <c r="B191" t="s">
        <v>438</v>
      </c>
      <c r="C191" t="s">
        <v>21</v>
      </c>
      <c r="D191" t="s">
        <v>49</v>
      </c>
      <c r="E191">
        <v>2</v>
      </c>
      <c r="F191">
        <v>53415</v>
      </c>
      <c r="G191">
        <v>640980</v>
      </c>
      <c r="H191">
        <v>13.3</v>
      </c>
      <c r="I191">
        <v>85250</v>
      </c>
      <c r="J191">
        <v>726230</v>
      </c>
      <c r="K191" t="s">
        <v>1651</v>
      </c>
      <c r="L191">
        <v>7.4</v>
      </c>
    </row>
    <row r="192" spans="1:12" ht="14.5" x14ac:dyDescent="0.35">
      <c r="A192" t="s">
        <v>439</v>
      </c>
      <c r="B192" t="s">
        <v>440</v>
      </c>
      <c r="C192" t="s">
        <v>40</v>
      </c>
      <c r="D192" t="s">
        <v>90</v>
      </c>
      <c r="E192">
        <v>6.1</v>
      </c>
      <c r="F192">
        <v>61550</v>
      </c>
      <c r="G192">
        <v>738600</v>
      </c>
      <c r="H192">
        <v>6</v>
      </c>
      <c r="I192">
        <v>44316</v>
      </c>
      <c r="J192">
        <v>782916</v>
      </c>
      <c r="K192" t="s">
        <v>1655</v>
      </c>
      <c r="L192">
        <v>6.1</v>
      </c>
    </row>
    <row r="193" spans="1:12" ht="14.5" x14ac:dyDescent="0.35">
      <c r="A193" t="s">
        <v>441</v>
      </c>
      <c r="B193" t="s">
        <v>442</v>
      </c>
      <c r="C193" t="s">
        <v>45</v>
      </c>
      <c r="D193" t="s">
        <v>234</v>
      </c>
      <c r="E193">
        <v>2.2000000000000002</v>
      </c>
      <c r="F193">
        <v>88811</v>
      </c>
      <c r="G193">
        <v>1065732</v>
      </c>
      <c r="H193">
        <v>14.3</v>
      </c>
      <c r="I193">
        <v>152400</v>
      </c>
      <c r="J193">
        <v>1218132</v>
      </c>
      <c r="K193" t="s">
        <v>1653</v>
      </c>
      <c r="L193">
        <v>8.1</v>
      </c>
    </row>
    <row r="194" spans="1:12" ht="14.5" x14ac:dyDescent="0.35">
      <c r="A194" t="s">
        <v>443</v>
      </c>
      <c r="B194" t="s">
        <v>92</v>
      </c>
      <c r="C194" t="s">
        <v>45</v>
      </c>
      <c r="D194" t="s">
        <v>239</v>
      </c>
      <c r="E194">
        <v>6.1</v>
      </c>
      <c r="F194">
        <v>85640</v>
      </c>
      <c r="G194">
        <v>1027680</v>
      </c>
      <c r="H194">
        <v>14.4</v>
      </c>
      <c r="I194">
        <v>147986</v>
      </c>
      <c r="J194">
        <v>1175666</v>
      </c>
      <c r="K194" t="s">
        <v>1651</v>
      </c>
      <c r="L194">
        <v>4.0999999999999996</v>
      </c>
    </row>
    <row r="195" spans="1:12" ht="14.5" x14ac:dyDescent="0.35">
      <c r="A195" t="s">
        <v>444</v>
      </c>
      <c r="B195" t="s">
        <v>445</v>
      </c>
      <c r="C195" t="s">
        <v>108</v>
      </c>
      <c r="D195" t="s">
        <v>126</v>
      </c>
      <c r="E195">
        <v>7.1</v>
      </c>
      <c r="F195">
        <v>74129</v>
      </c>
      <c r="G195">
        <v>889548</v>
      </c>
      <c r="H195">
        <v>6.8</v>
      </c>
      <c r="I195">
        <v>60489</v>
      </c>
      <c r="J195">
        <v>950037</v>
      </c>
      <c r="K195" t="s">
        <v>1650</v>
      </c>
      <c r="L195">
        <v>7.1</v>
      </c>
    </row>
    <row r="196" spans="1:12" ht="14.5" x14ac:dyDescent="0.35">
      <c r="A196" t="s">
        <v>446</v>
      </c>
      <c r="B196" t="s">
        <v>447</v>
      </c>
      <c r="C196" t="s">
        <v>36</v>
      </c>
      <c r="D196" t="s">
        <v>84</v>
      </c>
      <c r="E196">
        <v>7.1</v>
      </c>
      <c r="F196">
        <v>76331</v>
      </c>
      <c r="G196">
        <v>915972</v>
      </c>
      <c r="H196">
        <v>11.3</v>
      </c>
      <c r="I196">
        <v>103505</v>
      </c>
      <c r="J196">
        <v>1019477</v>
      </c>
      <c r="K196" t="s">
        <v>1653</v>
      </c>
      <c r="L196">
        <v>3</v>
      </c>
    </row>
    <row r="197" spans="1:12" ht="14.5" x14ac:dyDescent="0.35">
      <c r="A197" t="s">
        <v>448</v>
      </c>
      <c r="B197" t="s">
        <v>338</v>
      </c>
      <c r="C197" t="s">
        <v>21</v>
      </c>
      <c r="D197" t="s">
        <v>22</v>
      </c>
      <c r="E197">
        <v>1.2</v>
      </c>
      <c r="F197">
        <v>100655</v>
      </c>
      <c r="G197">
        <v>1207860</v>
      </c>
      <c r="H197">
        <v>8.6999999999999993</v>
      </c>
      <c r="I197">
        <v>105084</v>
      </c>
      <c r="J197">
        <v>1312944</v>
      </c>
      <c r="K197" t="s">
        <v>1651</v>
      </c>
      <c r="L197">
        <v>12.7</v>
      </c>
    </row>
    <row r="198" spans="1:12" ht="14.5" x14ac:dyDescent="0.35">
      <c r="A198" t="s">
        <v>449</v>
      </c>
      <c r="B198" t="s">
        <v>450</v>
      </c>
      <c r="C198" t="s">
        <v>108</v>
      </c>
      <c r="D198" t="s">
        <v>109</v>
      </c>
      <c r="E198">
        <v>2.1</v>
      </c>
      <c r="F198">
        <v>47773</v>
      </c>
      <c r="G198">
        <v>573276</v>
      </c>
      <c r="H198">
        <v>4.5999999999999996</v>
      </c>
      <c r="I198">
        <v>26371</v>
      </c>
      <c r="J198">
        <v>599647</v>
      </c>
      <c r="K198" t="s">
        <v>1650</v>
      </c>
      <c r="L198">
        <v>10.199999999999999</v>
      </c>
    </row>
    <row r="199" spans="1:12" ht="14.5" x14ac:dyDescent="0.35">
      <c r="A199" t="s">
        <v>451</v>
      </c>
      <c r="B199" t="s">
        <v>452</v>
      </c>
      <c r="C199" t="s">
        <v>21</v>
      </c>
      <c r="D199" t="s">
        <v>163</v>
      </c>
      <c r="E199">
        <v>5.8</v>
      </c>
      <c r="F199">
        <v>33130</v>
      </c>
      <c r="G199">
        <v>397560</v>
      </c>
      <c r="H199">
        <v>10.7</v>
      </c>
      <c r="I199">
        <v>42539</v>
      </c>
      <c r="J199">
        <v>440099</v>
      </c>
      <c r="K199" t="s">
        <v>1652</v>
      </c>
      <c r="L199">
        <v>9.8000000000000007</v>
      </c>
    </row>
    <row r="200" spans="1:12" ht="14.5" x14ac:dyDescent="0.35">
      <c r="A200" t="s">
        <v>453</v>
      </c>
      <c r="B200" t="s">
        <v>454</v>
      </c>
      <c r="C200" t="s">
        <v>108</v>
      </c>
      <c r="D200" t="s">
        <v>109</v>
      </c>
      <c r="E200">
        <v>4.5999999999999996</v>
      </c>
      <c r="F200">
        <v>78779</v>
      </c>
      <c r="G200">
        <v>945348</v>
      </c>
      <c r="H200">
        <v>17.399999999999999</v>
      </c>
      <c r="I200">
        <v>164491</v>
      </c>
      <c r="J200">
        <v>1109839</v>
      </c>
      <c r="K200" t="s">
        <v>1650</v>
      </c>
      <c r="L200">
        <v>9.3000000000000007</v>
      </c>
    </row>
    <row r="201" spans="1:12" ht="14.5" x14ac:dyDescent="0.35">
      <c r="A201" t="s">
        <v>455</v>
      </c>
      <c r="B201" t="s">
        <v>456</v>
      </c>
      <c r="C201" t="s">
        <v>45</v>
      </c>
      <c r="D201" t="s">
        <v>296</v>
      </c>
      <c r="E201">
        <v>4</v>
      </c>
      <c r="F201">
        <v>40387</v>
      </c>
      <c r="G201">
        <v>484644</v>
      </c>
      <c r="H201">
        <v>9.4</v>
      </c>
      <c r="I201">
        <v>45557</v>
      </c>
      <c r="J201">
        <v>530201</v>
      </c>
      <c r="K201" t="s">
        <v>1652</v>
      </c>
      <c r="L201">
        <v>7.6</v>
      </c>
    </row>
    <row r="202" spans="1:12" ht="14.5" x14ac:dyDescent="0.35">
      <c r="A202" t="s">
        <v>457</v>
      </c>
      <c r="B202" t="s">
        <v>327</v>
      </c>
      <c r="C202" t="s">
        <v>36</v>
      </c>
      <c r="D202" t="s">
        <v>253</v>
      </c>
      <c r="E202">
        <v>6.8</v>
      </c>
      <c r="F202">
        <v>104380</v>
      </c>
      <c r="G202">
        <v>1252560</v>
      </c>
      <c r="H202">
        <v>9.6999999999999993</v>
      </c>
      <c r="I202">
        <v>121498</v>
      </c>
      <c r="J202">
        <v>1374058</v>
      </c>
      <c r="K202" t="s">
        <v>1652</v>
      </c>
      <c r="L202">
        <v>4.2</v>
      </c>
    </row>
    <row r="203" spans="1:12" ht="14.5" x14ac:dyDescent="0.35">
      <c r="A203" t="s">
        <v>458</v>
      </c>
      <c r="B203" t="s">
        <v>459</v>
      </c>
      <c r="C203" t="s">
        <v>40</v>
      </c>
      <c r="D203" t="s">
        <v>293</v>
      </c>
      <c r="E203">
        <v>1.1000000000000001</v>
      </c>
      <c r="F203">
        <v>120908</v>
      </c>
      <c r="G203">
        <v>1450896</v>
      </c>
      <c r="H203">
        <v>16.899999999999999</v>
      </c>
      <c r="I203">
        <v>245201</v>
      </c>
      <c r="J203">
        <v>1696097</v>
      </c>
      <c r="K203" t="s">
        <v>1653</v>
      </c>
      <c r="L203">
        <v>11.9</v>
      </c>
    </row>
    <row r="204" spans="1:12" ht="14.5" x14ac:dyDescent="0.35">
      <c r="A204" t="s">
        <v>460</v>
      </c>
      <c r="B204" t="s">
        <v>430</v>
      </c>
      <c r="C204" t="s">
        <v>27</v>
      </c>
      <c r="D204" t="s">
        <v>76</v>
      </c>
      <c r="E204">
        <v>1.8</v>
      </c>
      <c r="F204">
        <v>40249</v>
      </c>
      <c r="G204">
        <v>482988</v>
      </c>
      <c r="H204">
        <v>14.5</v>
      </c>
      <c r="I204">
        <v>70033</v>
      </c>
      <c r="J204">
        <v>553021</v>
      </c>
      <c r="K204" t="s">
        <v>1650</v>
      </c>
      <c r="L204">
        <v>9.1999999999999993</v>
      </c>
    </row>
    <row r="205" spans="1:12" ht="14.5" x14ac:dyDescent="0.35">
      <c r="A205" t="s">
        <v>461</v>
      </c>
      <c r="B205" t="s">
        <v>462</v>
      </c>
      <c r="C205" t="s">
        <v>27</v>
      </c>
      <c r="D205" t="s">
        <v>73</v>
      </c>
      <c r="E205">
        <v>4.3</v>
      </c>
      <c r="F205">
        <v>51627</v>
      </c>
      <c r="G205">
        <v>619524</v>
      </c>
      <c r="H205">
        <v>7.5</v>
      </c>
      <c r="I205">
        <v>46464</v>
      </c>
      <c r="J205">
        <v>665988</v>
      </c>
      <c r="K205" t="s">
        <v>1653</v>
      </c>
      <c r="L205">
        <v>9.9</v>
      </c>
    </row>
    <row r="206" spans="1:12" ht="14.5" x14ac:dyDescent="0.35">
      <c r="A206" t="s">
        <v>463</v>
      </c>
      <c r="B206" t="s">
        <v>265</v>
      </c>
      <c r="C206" t="s">
        <v>108</v>
      </c>
      <c r="D206" t="s">
        <v>109</v>
      </c>
      <c r="E206">
        <v>6</v>
      </c>
      <c r="F206">
        <v>38114</v>
      </c>
      <c r="G206">
        <v>457368</v>
      </c>
      <c r="H206">
        <v>8.6999999999999993</v>
      </c>
      <c r="I206">
        <v>39791</v>
      </c>
      <c r="J206">
        <v>497159</v>
      </c>
      <c r="K206" t="s">
        <v>1651</v>
      </c>
      <c r="L206">
        <v>3.3</v>
      </c>
    </row>
    <row r="207" spans="1:12" ht="14.5" x14ac:dyDescent="0.35">
      <c r="A207" t="s">
        <v>464</v>
      </c>
      <c r="B207" t="s">
        <v>465</v>
      </c>
      <c r="C207" t="s">
        <v>27</v>
      </c>
      <c r="D207" t="s">
        <v>28</v>
      </c>
      <c r="E207">
        <v>1</v>
      </c>
      <c r="F207">
        <v>77377</v>
      </c>
      <c r="G207">
        <v>928524</v>
      </c>
      <c r="H207">
        <v>13.4</v>
      </c>
      <c r="I207">
        <v>124422</v>
      </c>
      <c r="J207">
        <v>1052946</v>
      </c>
      <c r="K207" t="s">
        <v>1652</v>
      </c>
      <c r="L207">
        <v>4</v>
      </c>
    </row>
    <row r="208" spans="1:12" ht="14.5" x14ac:dyDescent="0.35">
      <c r="A208" t="s">
        <v>466</v>
      </c>
      <c r="B208" t="s">
        <v>467</v>
      </c>
      <c r="C208" t="s">
        <v>159</v>
      </c>
      <c r="D208" t="s">
        <v>187</v>
      </c>
      <c r="E208">
        <v>7.3</v>
      </c>
      <c r="F208">
        <v>81852</v>
      </c>
      <c r="G208">
        <v>982224</v>
      </c>
      <c r="H208">
        <v>6.8</v>
      </c>
      <c r="I208">
        <v>66791</v>
      </c>
      <c r="J208">
        <v>1049015</v>
      </c>
      <c r="K208" t="s">
        <v>1650</v>
      </c>
      <c r="L208">
        <v>7.3</v>
      </c>
    </row>
    <row r="209" spans="1:12" ht="14.5" x14ac:dyDescent="0.35">
      <c r="A209" t="s">
        <v>468</v>
      </c>
      <c r="B209" t="s">
        <v>469</v>
      </c>
      <c r="C209" t="s">
        <v>108</v>
      </c>
      <c r="D209" t="s">
        <v>126</v>
      </c>
      <c r="E209">
        <v>1.8</v>
      </c>
      <c r="F209">
        <v>59348</v>
      </c>
      <c r="G209">
        <v>712176</v>
      </c>
      <c r="H209">
        <v>15.5</v>
      </c>
      <c r="I209">
        <v>110387</v>
      </c>
      <c r="J209">
        <v>822563</v>
      </c>
      <c r="K209" t="s">
        <v>1650</v>
      </c>
      <c r="L209">
        <v>5.3</v>
      </c>
    </row>
    <row r="210" spans="1:12" ht="14.5" x14ac:dyDescent="0.35">
      <c r="A210" t="s">
        <v>470</v>
      </c>
      <c r="B210" t="s">
        <v>471</v>
      </c>
      <c r="C210" t="s">
        <v>69</v>
      </c>
      <c r="D210" t="s">
        <v>150</v>
      </c>
      <c r="E210">
        <v>4.5999999999999996</v>
      </c>
      <c r="F210">
        <v>78052</v>
      </c>
      <c r="G210">
        <v>936624</v>
      </c>
      <c r="H210">
        <v>12.7</v>
      </c>
      <c r="I210">
        <v>118951</v>
      </c>
      <c r="J210">
        <v>1055575</v>
      </c>
      <c r="K210" t="s">
        <v>1653</v>
      </c>
      <c r="L210">
        <v>6.1</v>
      </c>
    </row>
    <row r="211" spans="1:12" ht="14.5" x14ac:dyDescent="0.35">
      <c r="A211" t="s">
        <v>472</v>
      </c>
      <c r="B211" t="s">
        <v>473</v>
      </c>
      <c r="C211" t="s">
        <v>56</v>
      </c>
      <c r="D211" t="s">
        <v>112</v>
      </c>
      <c r="E211">
        <v>4.9000000000000004</v>
      </c>
      <c r="F211">
        <v>34839</v>
      </c>
      <c r="G211">
        <v>418068</v>
      </c>
      <c r="H211">
        <v>16.600000000000001</v>
      </c>
      <c r="I211">
        <v>69399</v>
      </c>
      <c r="J211">
        <v>487467</v>
      </c>
      <c r="K211" t="s">
        <v>1652</v>
      </c>
      <c r="L211">
        <v>9.1</v>
      </c>
    </row>
    <row r="212" spans="1:12" ht="14.5" x14ac:dyDescent="0.35">
      <c r="A212" t="s">
        <v>474</v>
      </c>
      <c r="B212" t="s">
        <v>475</v>
      </c>
      <c r="C212" t="s">
        <v>40</v>
      </c>
      <c r="D212" t="s">
        <v>41</v>
      </c>
      <c r="E212">
        <v>6.8</v>
      </c>
      <c r="F212">
        <v>49012</v>
      </c>
      <c r="G212">
        <v>588144</v>
      </c>
      <c r="H212">
        <v>14.4</v>
      </c>
      <c r="I212">
        <v>84693</v>
      </c>
      <c r="J212">
        <v>672837</v>
      </c>
      <c r="K212" t="s">
        <v>1652</v>
      </c>
      <c r="L212">
        <v>13.9</v>
      </c>
    </row>
    <row r="213" spans="1:12" ht="14.5" x14ac:dyDescent="0.35">
      <c r="A213" t="s">
        <v>476</v>
      </c>
      <c r="B213" t="s">
        <v>438</v>
      </c>
      <c r="C213" t="s">
        <v>27</v>
      </c>
      <c r="D213" t="s">
        <v>87</v>
      </c>
      <c r="E213">
        <v>5.3</v>
      </c>
      <c r="F213">
        <v>87130</v>
      </c>
      <c r="G213">
        <v>1045560</v>
      </c>
      <c r="H213">
        <v>11.5</v>
      </c>
      <c r="I213">
        <v>120239</v>
      </c>
      <c r="J213">
        <v>1165799</v>
      </c>
      <c r="K213" t="s">
        <v>1653</v>
      </c>
      <c r="L213">
        <v>4.4000000000000004</v>
      </c>
    </row>
    <row r="214" spans="1:12" ht="14.5" x14ac:dyDescent="0.35">
      <c r="A214" t="s">
        <v>477</v>
      </c>
      <c r="B214" t="s">
        <v>350</v>
      </c>
      <c r="C214" t="s">
        <v>52</v>
      </c>
      <c r="D214" t="s">
        <v>224</v>
      </c>
      <c r="E214">
        <v>2.1</v>
      </c>
      <c r="F214">
        <v>77015</v>
      </c>
      <c r="G214">
        <v>924180</v>
      </c>
      <c r="H214">
        <v>8.9</v>
      </c>
      <c r="I214">
        <v>82252</v>
      </c>
      <c r="J214">
        <v>1006432</v>
      </c>
      <c r="K214" t="s">
        <v>1651</v>
      </c>
      <c r="L214">
        <v>7.4</v>
      </c>
    </row>
    <row r="215" spans="1:12" ht="14.5" x14ac:dyDescent="0.35">
      <c r="A215" t="s">
        <v>478</v>
      </c>
      <c r="B215" t="s">
        <v>479</v>
      </c>
      <c r="C215" t="s">
        <v>21</v>
      </c>
      <c r="D215" t="s">
        <v>163</v>
      </c>
      <c r="E215">
        <v>4.2</v>
      </c>
      <c r="F215">
        <v>40987</v>
      </c>
      <c r="G215">
        <v>491844</v>
      </c>
      <c r="H215">
        <v>12.7</v>
      </c>
      <c r="I215">
        <v>62464</v>
      </c>
      <c r="J215">
        <v>554308</v>
      </c>
      <c r="K215" t="s">
        <v>1651</v>
      </c>
      <c r="L215">
        <v>3.2</v>
      </c>
    </row>
    <row r="216" spans="1:12" ht="14.5" x14ac:dyDescent="0.35">
      <c r="A216" t="s">
        <v>480</v>
      </c>
      <c r="B216" t="s">
        <v>481</v>
      </c>
      <c r="C216" t="s">
        <v>159</v>
      </c>
      <c r="D216" t="s">
        <v>482</v>
      </c>
      <c r="E216">
        <v>2.4</v>
      </c>
      <c r="F216">
        <v>119235</v>
      </c>
      <c r="G216">
        <v>1430820</v>
      </c>
      <c r="H216">
        <v>4.8</v>
      </c>
      <c r="I216">
        <v>68679</v>
      </c>
      <c r="J216">
        <v>1499499</v>
      </c>
      <c r="K216" t="s">
        <v>1653</v>
      </c>
      <c r="L216">
        <v>10.9</v>
      </c>
    </row>
    <row r="217" spans="1:12" ht="14.5" x14ac:dyDescent="0.35">
      <c r="A217" t="s">
        <v>483</v>
      </c>
      <c r="B217" t="s">
        <v>86</v>
      </c>
      <c r="C217" t="s">
        <v>108</v>
      </c>
      <c r="D217" t="s">
        <v>206</v>
      </c>
      <c r="E217">
        <v>7.5</v>
      </c>
      <c r="F217">
        <v>61544</v>
      </c>
      <c r="G217">
        <v>738528</v>
      </c>
      <c r="H217">
        <v>7.9</v>
      </c>
      <c r="I217">
        <v>58344</v>
      </c>
      <c r="J217">
        <v>796872</v>
      </c>
      <c r="K217" t="s">
        <v>1651</v>
      </c>
      <c r="L217">
        <v>8.6</v>
      </c>
    </row>
    <row r="218" spans="1:12" ht="14.5" x14ac:dyDescent="0.35">
      <c r="A218" t="s">
        <v>484</v>
      </c>
      <c r="B218" t="s">
        <v>119</v>
      </c>
      <c r="C218" t="s">
        <v>27</v>
      </c>
      <c r="D218" t="s">
        <v>76</v>
      </c>
      <c r="E218">
        <v>5.0999999999999996</v>
      </c>
      <c r="F218">
        <v>67472</v>
      </c>
      <c r="G218">
        <v>809664</v>
      </c>
      <c r="H218">
        <v>4.3</v>
      </c>
      <c r="I218">
        <v>34816</v>
      </c>
      <c r="J218">
        <v>844480</v>
      </c>
      <c r="K218" t="s">
        <v>1655</v>
      </c>
      <c r="L218">
        <v>9.5</v>
      </c>
    </row>
    <row r="219" spans="1:12" ht="14.5" x14ac:dyDescent="0.35">
      <c r="A219" t="s">
        <v>485</v>
      </c>
      <c r="B219" t="s">
        <v>221</v>
      </c>
      <c r="C219" t="s">
        <v>69</v>
      </c>
      <c r="D219" t="s">
        <v>70</v>
      </c>
      <c r="E219">
        <v>6.5</v>
      </c>
      <c r="F219">
        <v>93513</v>
      </c>
      <c r="G219">
        <v>1122156</v>
      </c>
      <c r="H219">
        <v>6.9</v>
      </c>
      <c r="I219">
        <v>77429</v>
      </c>
      <c r="J219">
        <v>1199585</v>
      </c>
      <c r="K219" t="s">
        <v>1655</v>
      </c>
      <c r="L219">
        <v>9</v>
      </c>
    </row>
    <row r="220" spans="1:12" ht="14.5" x14ac:dyDescent="0.35">
      <c r="A220" t="s">
        <v>486</v>
      </c>
      <c r="B220" t="s">
        <v>487</v>
      </c>
      <c r="C220" t="s">
        <v>52</v>
      </c>
      <c r="D220" t="s">
        <v>53</v>
      </c>
      <c r="E220">
        <v>4.5</v>
      </c>
      <c r="F220">
        <v>84261</v>
      </c>
      <c r="G220">
        <v>1011132</v>
      </c>
      <c r="H220">
        <v>17.7</v>
      </c>
      <c r="I220">
        <v>178970</v>
      </c>
      <c r="J220">
        <v>1190102</v>
      </c>
      <c r="K220" t="s">
        <v>1652</v>
      </c>
      <c r="L220">
        <v>10.4</v>
      </c>
    </row>
    <row r="221" spans="1:12" ht="14.5" x14ac:dyDescent="0.35">
      <c r="A221" t="s">
        <v>488</v>
      </c>
      <c r="B221" t="s">
        <v>489</v>
      </c>
      <c r="C221" t="s">
        <v>40</v>
      </c>
      <c r="D221" t="s">
        <v>90</v>
      </c>
      <c r="E221">
        <v>6.8</v>
      </c>
      <c r="F221">
        <v>96614</v>
      </c>
      <c r="G221">
        <v>1159368</v>
      </c>
      <c r="H221">
        <v>12.2</v>
      </c>
      <c r="I221">
        <v>141443</v>
      </c>
      <c r="J221">
        <v>1300811</v>
      </c>
      <c r="K221" t="s">
        <v>1652</v>
      </c>
      <c r="L221">
        <v>6.2</v>
      </c>
    </row>
    <row r="222" spans="1:12" ht="14.5" x14ac:dyDescent="0.35">
      <c r="A222" t="s">
        <v>490</v>
      </c>
      <c r="B222" t="s">
        <v>491</v>
      </c>
      <c r="C222" t="s">
        <v>27</v>
      </c>
      <c r="D222" t="s">
        <v>28</v>
      </c>
      <c r="E222">
        <v>7.3</v>
      </c>
      <c r="F222">
        <v>111318</v>
      </c>
      <c r="G222">
        <v>1335816</v>
      </c>
      <c r="H222">
        <v>14.4</v>
      </c>
      <c r="I222">
        <v>192358</v>
      </c>
      <c r="J222">
        <v>1528174</v>
      </c>
      <c r="K222" t="s">
        <v>1652</v>
      </c>
      <c r="L222">
        <v>5.8</v>
      </c>
    </row>
    <row r="223" spans="1:12" ht="14.5" x14ac:dyDescent="0.35">
      <c r="A223" t="s">
        <v>492</v>
      </c>
      <c r="B223" t="s">
        <v>20</v>
      </c>
      <c r="C223" t="s">
        <v>36</v>
      </c>
      <c r="D223" t="s">
        <v>37</v>
      </c>
      <c r="E223">
        <v>3.9</v>
      </c>
      <c r="F223">
        <v>59604</v>
      </c>
      <c r="G223">
        <v>715248</v>
      </c>
      <c r="H223">
        <v>8.6</v>
      </c>
      <c r="I223">
        <v>61511</v>
      </c>
      <c r="J223">
        <v>776759</v>
      </c>
      <c r="K223" t="s">
        <v>1654</v>
      </c>
      <c r="L223">
        <v>7.9</v>
      </c>
    </row>
    <row r="224" spans="1:12" ht="14.5" x14ac:dyDescent="0.35">
      <c r="A224" t="s">
        <v>493</v>
      </c>
      <c r="B224" t="s">
        <v>436</v>
      </c>
      <c r="C224" t="s">
        <v>45</v>
      </c>
      <c r="D224" t="s">
        <v>46</v>
      </c>
      <c r="E224">
        <v>3.8</v>
      </c>
      <c r="F224">
        <v>99567</v>
      </c>
      <c r="G224">
        <v>1194804</v>
      </c>
      <c r="H224">
        <v>11.2</v>
      </c>
      <c r="I224">
        <v>133818</v>
      </c>
      <c r="J224">
        <v>1328622</v>
      </c>
      <c r="K224" t="s">
        <v>1652</v>
      </c>
      <c r="L224">
        <v>12.1</v>
      </c>
    </row>
    <row r="225" spans="1:12" ht="14.5" x14ac:dyDescent="0.35">
      <c r="A225" t="s">
        <v>494</v>
      </c>
      <c r="B225" t="s">
        <v>495</v>
      </c>
      <c r="C225" t="s">
        <v>108</v>
      </c>
      <c r="D225" t="s">
        <v>206</v>
      </c>
      <c r="E225">
        <v>7</v>
      </c>
      <c r="F225">
        <v>121853</v>
      </c>
      <c r="G225">
        <v>1462236</v>
      </c>
      <c r="H225">
        <v>7.5</v>
      </c>
      <c r="I225">
        <v>109668</v>
      </c>
      <c r="J225">
        <v>1571904</v>
      </c>
      <c r="K225" t="s">
        <v>1652</v>
      </c>
      <c r="L225">
        <v>11</v>
      </c>
    </row>
    <row r="226" spans="1:12" ht="14.5" x14ac:dyDescent="0.35">
      <c r="A226" t="s">
        <v>496</v>
      </c>
      <c r="B226" t="s">
        <v>497</v>
      </c>
      <c r="C226" t="s">
        <v>52</v>
      </c>
      <c r="D226" t="s">
        <v>498</v>
      </c>
      <c r="E226">
        <v>5.5</v>
      </c>
      <c r="F226">
        <v>33492</v>
      </c>
      <c r="G226">
        <v>401904</v>
      </c>
      <c r="H226">
        <v>15.4</v>
      </c>
      <c r="I226">
        <v>61893</v>
      </c>
      <c r="J226">
        <v>463797</v>
      </c>
      <c r="K226" t="s">
        <v>1653</v>
      </c>
      <c r="L226">
        <v>7.7</v>
      </c>
    </row>
    <row r="227" spans="1:12" ht="14.5" x14ac:dyDescent="0.35">
      <c r="A227" t="s">
        <v>499</v>
      </c>
      <c r="B227" t="s">
        <v>125</v>
      </c>
      <c r="C227" t="s">
        <v>27</v>
      </c>
      <c r="D227" t="s">
        <v>76</v>
      </c>
      <c r="E227">
        <v>7.3</v>
      </c>
      <c r="F227">
        <v>112790</v>
      </c>
      <c r="G227">
        <v>1353480</v>
      </c>
      <c r="H227">
        <v>9.5</v>
      </c>
      <c r="I227">
        <v>128581</v>
      </c>
      <c r="J227">
        <v>1482061</v>
      </c>
      <c r="K227" t="s">
        <v>1652</v>
      </c>
      <c r="L227">
        <v>13.5</v>
      </c>
    </row>
    <row r="228" spans="1:12" ht="14.5" x14ac:dyDescent="0.35">
      <c r="A228" t="s">
        <v>500</v>
      </c>
      <c r="B228" t="s">
        <v>184</v>
      </c>
      <c r="C228" t="s">
        <v>40</v>
      </c>
      <c r="D228" t="s">
        <v>41</v>
      </c>
      <c r="E228">
        <v>6.4</v>
      </c>
      <c r="F228">
        <v>76237</v>
      </c>
      <c r="G228">
        <v>914844</v>
      </c>
      <c r="H228">
        <v>6.7</v>
      </c>
      <c r="I228">
        <v>61295</v>
      </c>
      <c r="J228">
        <v>976139</v>
      </c>
      <c r="K228" t="s">
        <v>1650</v>
      </c>
      <c r="L228">
        <v>4.8</v>
      </c>
    </row>
    <row r="229" spans="1:12" ht="14.5" x14ac:dyDescent="0.35">
      <c r="A229" t="s">
        <v>501</v>
      </c>
      <c r="B229" t="s">
        <v>502</v>
      </c>
      <c r="C229" t="s">
        <v>108</v>
      </c>
      <c r="D229" t="s">
        <v>206</v>
      </c>
      <c r="E229">
        <v>2.2000000000000002</v>
      </c>
      <c r="F229">
        <v>118710</v>
      </c>
      <c r="G229">
        <v>1424520</v>
      </c>
      <c r="H229">
        <v>12.7</v>
      </c>
      <c r="I229">
        <v>180914</v>
      </c>
      <c r="J229">
        <v>1605434</v>
      </c>
      <c r="K229" t="s">
        <v>1653</v>
      </c>
      <c r="L229">
        <v>4.5999999999999996</v>
      </c>
    </row>
    <row r="230" spans="1:12" ht="14.5" x14ac:dyDescent="0.35">
      <c r="A230" t="s">
        <v>503</v>
      </c>
      <c r="B230" t="s">
        <v>504</v>
      </c>
      <c r="C230" t="s">
        <v>27</v>
      </c>
      <c r="D230" t="s">
        <v>73</v>
      </c>
      <c r="E230">
        <v>6.9</v>
      </c>
      <c r="F230">
        <v>84440</v>
      </c>
      <c r="G230">
        <v>1013280</v>
      </c>
      <c r="H230">
        <v>8.1</v>
      </c>
      <c r="I230">
        <v>82076</v>
      </c>
      <c r="J230">
        <v>1095356</v>
      </c>
      <c r="K230" t="s">
        <v>1650</v>
      </c>
      <c r="L230">
        <v>11.9</v>
      </c>
    </row>
    <row r="231" spans="1:12" ht="14.5" x14ac:dyDescent="0.35">
      <c r="A231" t="s">
        <v>505</v>
      </c>
      <c r="B231" t="s">
        <v>506</v>
      </c>
      <c r="C231" t="s">
        <v>27</v>
      </c>
      <c r="D231" t="s">
        <v>73</v>
      </c>
      <c r="E231">
        <v>6.9</v>
      </c>
      <c r="F231">
        <v>70981</v>
      </c>
      <c r="G231">
        <v>851772</v>
      </c>
      <c r="H231">
        <v>13.6</v>
      </c>
      <c r="I231">
        <v>115841</v>
      </c>
      <c r="J231">
        <v>967613</v>
      </c>
      <c r="K231" t="s">
        <v>1651</v>
      </c>
      <c r="L231">
        <v>6.3</v>
      </c>
    </row>
    <row r="232" spans="1:12" ht="14.5" x14ac:dyDescent="0.35">
      <c r="A232" t="s">
        <v>507</v>
      </c>
      <c r="B232" t="s">
        <v>508</v>
      </c>
      <c r="C232" t="s">
        <v>36</v>
      </c>
      <c r="D232" t="s">
        <v>84</v>
      </c>
      <c r="E232">
        <v>2.8</v>
      </c>
      <c r="F232">
        <v>74077</v>
      </c>
      <c r="G232">
        <v>888924</v>
      </c>
      <c r="H232">
        <v>15.1</v>
      </c>
      <c r="I232">
        <v>134228</v>
      </c>
      <c r="J232">
        <v>1023152</v>
      </c>
      <c r="K232" t="s">
        <v>1655</v>
      </c>
      <c r="L232">
        <v>8</v>
      </c>
    </row>
    <row r="233" spans="1:12" ht="14.5" x14ac:dyDescent="0.35">
      <c r="A233" t="s">
        <v>509</v>
      </c>
      <c r="B233" t="s">
        <v>510</v>
      </c>
      <c r="C233" t="s">
        <v>40</v>
      </c>
      <c r="D233" t="s">
        <v>65</v>
      </c>
      <c r="E233">
        <v>6.9</v>
      </c>
      <c r="F233">
        <v>115973</v>
      </c>
      <c r="G233">
        <v>1391676</v>
      </c>
      <c r="H233">
        <v>13.5</v>
      </c>
      <c r="I233">
        <v>187876</v>
      </c>
      <c r="J233">
        <v>1579552</v>
      </c>
      <c r="K233" t="s">
        <v>1654</v>
      </c>
      <c r="L233">
        <v>13.3</v>
      </c>
    </row>
    <row r="234" spans="1:12" ht="14.5" x14ac:dyDescent="0.35">
      <c r="A234" t="s">
        <v>511</v>
      </c>
      <c r="B234" t="s">
        <v>512</v>
      </c>
      <c r="C234" t="s">
        <v>40</v>
      </c>
      <c r="D234" t="s">
        <v>90</v>
      </c>
      <c r="E234">
        <v>0.9</v>
      </c>
      <c r="F234">
        <v>116878</v>
      </c>
      <c r="G234">
        <v>1402536</v>
      </c>
      <c r="H234">
        <v>13.3</v>
      </c>
      <c r="I234">
        <v>186537</v>
      </c>
      <c r="J234">
        <v>1589073</v>
      </c>
      <c r="K234" t="s">
        <v>1650</v>
      </c>
      <c r="L234">
        <v>10.6</v>
      </c>
    </row>
    <row r="235" spans="1:12" ht="14.5" x14ac:dyDescent="0.35">
      <c r="A235" t="s">
        <v>513</v>
      </c>
      <c r="B235" t="s">
        <v>514</v>
      </c>
      <c r="C235" t="s">
        <v>52</v>
      </c>
      <c r="D235" t="s">
        <v>195</v>
      </c>
      <c r="E235">
        <v>3.6</v>
      </c>
      <c r="F235">
        <v>75467</v>
      </c>
      <c r="G235">
        <v>905604</v>
      </c>
      <c r="H235">
        <v>16.899999999999999</v>
      </c>
      <c r="I235">
        <v>153047</v>
      </c>
      <c r="J235">
        <v>1058651</v>
      </c>
      <c r="K235" t="s">
        <v>1651</v>
      </c>
      <c r="L235">
        <v>9.1</v>
      </c>
    </row>
    <row r="236" spans="1:12" ht="14.5" x14ac:dyDescent="0.35">
      <c r="A236" t="s">
        <v>515</v>
      </c>
      <c r="B236" t="s">
        <v>516</v>
      </c>
      <c r="C236" t="s">
        <v>52</v>
      </c>
      <c r="D236" t="s">
        <v>102</v>
      </c>
      <c r="E236">
        <v>3.6</v>
      </c>
      <c r="F236">
        <v>76760</v>
      </c>
      <c r="G236">
        <v>921120</v>
      </c>
      <c r="H236">
        <v>15.6</v>
      </c>
      <c r="I236">
        <v>143695</v>
      </c>
      <c r="J236">
        <v>1064815</v>
      </c>
      <c r="K236" t="s">
        <v>1655</v>
      </c>
      <c r="L236">
        <v>10</v>
      </c>
    </row>
    <row r="237" spans="1:12" ht="14.5" x14ac:dyDescent="0.35">
      <c r="A237" t="s">
        <v>517</v>
      </c>
      <c r="B237" t="s">
        <v>261</v>
      </c>
      <c r="C237" t="s">
        <v>45</v>
      </c>
      <c r="D237" t="s">
        <v>234</v>
      </c>
      <c r="E237">
        <v>4.2</v>
      </c>
      <c r="F237">
        <v>113139</v>
      </c>
      <c r="G237">
        <v>1357668</v>
      </c>
      <c r="H237">
        <v>10.6</v>
      </c>
      <c r="I237">
        <v>143913</v>
      </c>
      <c r="J237">
        <v>1501581</v>
      </c>
      <c r="K237" t="s">
        <v>1653</v>
      </c>
      <c r="L237">
        <v>13.5</v>
      </c>
    </row>
    <row r="238" spans="1:12" ht="14.5" x14ac:dyDescent="0.35">
      <c r="A238" t="s">
        <v>518</v>
      </c>
      <c r="B238" t="s">
        <v>519</v>
      </c>
      <c r="C238" t="s">
        <v>21</v>
      </c>
      <c r="D238" t="s">
        <v>22</v>
      </c>
      <c r="E238">
        <v>1.9</v>
      </c>
      <c r="F238">
        <v>78723</v>
      </c>
      <c r="G238">
        <v>944676</v>
      </c>
      <c r="H238">
        <v>17</v>
      </c>
      <c r="I238">
        <v>160595</v>
      </c>
      <c r="J238">
        <v>1105271</v>
      </c>
      <c r="K238" t="s">
        <v>1654</v>
      </c>
      <c r="L238">
        <v>12.8</v>
      </c>
    </row>
    <row r="239" spans="1:12" ht="14.5" x14ac:dyDescent="0.35">
      <c r="A239" t="s">
        <v>520</v>
      </c>
      <c r="B239" t="s">
        <v>469</v>
      </c>
      <c r="C239" t="s">
        <v>21</v>
      </c>
      <c r="D239" t="s">
        <v>163</v>
      </c>
      <c r="E239">
        <v>5.3</v>
      </c>
      <c r="F239">
        <v>108199</v>
      </c>
      <c r="G239">
        <v>1298388</v>
      </c>
      <c r="H239">
        <v>6.5</v>
      </c>
      <c r="I239">
        <v>84395</v>
      </c>
      <c r="J239">
        <v>1382783</v>
      </c>
      <c r="K239" t="s">
        <v>1650</v>
      </c>
      <c r="L239">
        <v>7.9</v>
      </c>
    </row>
    <row r="240" spans="1:12" ht="14.5" x14ac:dyDescent="0.35">
      <c r="A240" t="s">
        <v>521</v>
      </c>
      <c r="B240" t="s">
        <v>522</v>
      </c>
      <c r="C240" t="s">
        <v>69</v>
      </c>
      <c r="D240" t="s">
        <v>105</v>
      </c>
      <c r="E240">
        <v>2.7</v>
      </c>
      <c r="F240">
        <v>50630</v>
      </c>
      <c r="G240">
        <v>607560</v>
      </c>
      <c r="H240">
        <v>8.5</v>
      </c>
      <c r="I240">
        <v>51643</v>
      </c>
      <c r="J240">
        <v>659203</v>
      </c>
      <c r="K240" t="s">
        <v>1655</v>
      </c>
      <c r="L240">
        <v>9.1999999999999993</v>
      </c>
    </row>
    <row r="241" spans="1:12" ht="14.5" x14ac:dyDescent="0.35">
      <c r="A241" t="s">
        <v>523</v>
      </c>
      <c r="B241" t="s">
        <v>186</v>
      </c>
      <c r="C241" t="s">
        <v>21</v>
      </c>
      <c r="D241" t="s">
        <v>163</v>
      </c>
      <c r="E241">
        <v>1.6</v>
      </c>
      <c r="F241">
        <v>99063</v>
      </c>
      <c r="G241">
        <v>1188756</v>
      </c>
      <c r="H241">
        <v>17.8</v>
      </c>
      <c r="I241">
        <v>211599</v>
      </c>
      <c r="J241">
        <v>1400355</v>
      </c>
      <c r="K241" t="s">
        <v>1652</v>
      </c>
      <c r="L241">
        <v>8.5</v>
      </c>
    </row>
    <row r="242" spans="1:12" ht="14.5" x14ac:dyDescent="0.35">
      <c r="A242" t="s">
        <v>524</v>
      </c>
      <c r="B242" t="s">
        <v>86</v>
      </c>
      <c r="C242" t="s">
        <v>159</v>
      </c>
      <c r="D242" t="s">
        <v>482</v>
      </c>
      <c r="E242">
        <v>5.2</v>
      </c>
      <c r="F242">
        <v>43907</v>
      </c>
      <c r="G242">
        <v>526884</v>
      </c>
      <c r="H242">
        <v>5.7</v>
      </c>
      <c r="I242">
        <v>30032</v>
      </c>
      <c r="J242">
        <v>556916</v>
      </c>
      <c r="K242" t="s">
        <v>1650</v>
      </c>
      <c r="L242">
        <v>11.7</v>
      </c>
    </row>
    <row r="243" spans="1:12" ht="14.5" x14ac:dyDescent="0.35">
      <c r="A243" t="s">
        <v>525</v>
      </c>
      <c r="B243" t="s">
        <v>526</v>
      </c>
      <c r="C243" t="s">
        <v>69</v>
      </c>
      <c r="D243" t="s">
        <v>70</v>
      </c>
      <c r="E243">
        <v>1.5</v>
      </c>
      <c r="F243">
        <v>103009</v>
      </c>
      <c r="G243">
        <v>1236108</v>
      </c>
      <c r="H243">
        <v>12.5</v>
      </c>
      <c r="I243">
        <v>154514</v>
      </c>
      <c r="J243">
        <v>1390622</v>
      </c>
      <c r="K243" t="s">
        <v>1650</v>
      </c>
      <c r="L243">
        <v>4.5</v>
      </c>
    </row>
    <row r="244" spans="1:12" ht="14.5" x14ac:dyDescent="0.35">
      <c r="A244" t="s">
        <v>527</v>
      </c>
      <c r="B244" t="s">
        <v>255</v>
      </c>
      <c r="C244" t="s">
        <v>27</v>
      </c>
      <c r="D244" t="s">
        <v>87</v>
      </c>
      <c r="E244">
        <v>4.3</v>
      </c>
      <c r="F244">
        <v>80187</v>
      </c>
      <c r="G244">
        <v>962244</v>
      </c>
      <c r="H244">
        <v>14.5</v>
      </c>
      <c r="I244">
        <v>139525</v>
      </c>
      <c r="J244">
        <v>1101769</v>
      </c>
      <c r="K244" t="s">
        <v>1655</v>
      </c>
      <c r="L244">
        <v>4.3</v>
      </c>
    </row>
    <row r="245" spans="1:12" ht="14.5" x14ac:dyDescent="0.35">
      <c r="A245" t="s">
        <v>528</v>
      </c>
      <c r="B245" t="s">
        <v>529</v>
      </c>
      <c r="C245" t="s">
        <v>27</v>
      </c>
      <c r="D245" t="s">
        <v>76</v>
      </c>
      <c r="E245">
        <v>6.9</v>
      </c>
      <c r="F245">
        <v>44426</v>
      </c>
      <c r="G245">
        <v>533112</v>
      </c>
      <c r="H245">
        <v>14.1</v>
      </c>
      <c r="I245">
        <v>75169</v>
      </c>
      <c r="J245">
        <v>608281</v>
      </c>
      <c r="K245" t="s">
        <v>1651</v>
      </c>
      <c r="L245">
        <v>6.6</v>
      </c>
    </row>
    <row r="246" spans="1:12" ht="14.5" x14ac:dyDescent="0.35">
      <c r="A246" t="s">
        <v>530</v>
      </c>
      <c r="B246" t="s">
        <v>531</v>
      </c>
      <c r="C246" t="s">
        <v>108</v>
      </c>
      <c r="D246" t="s">
        <v>206</v>
      </c>
      <c r="E246">
        <v>1.6</v>
      </c>
      <c r="F246">
        <v>111859</v>
      </c>
      <c r="G246">
        <v>1342308</v>
      </c>
      <c r="H246">
        <v>13.5</v>
      </c>
      <c r="I246">
        <v>181212</v>
      </c>
      <c r="J246">
        <v>1523520</v>
      </c>
      <c r="K246" t="s">
        <v>1651</v>
      </c>
      <c r="L246">
        <v>4.9000000000000004</v>
      </c>
    </row>
    <row r="247" spans="1:12" ht="14.5" x14ac:dyDescent="0.35">
      <c r="A247" t="s">
        <v>532</v>
      </c>
      <c r="B247" t="s">
        <v>533</v>
      </c>
      <c r="C247" t="s">
        <v>159</v>
      </c>
      <c r="D247" t="s">
        <v>324</v>
      </c>
      <c r="E247">
        <v>1.9</v>
      </c>
      <c r="F247">
        <v>48056</v>
      </c>
      <c r="G247">
        <v>576672</v>
      </c>
      <c r="H247">
        <v>5.4</v>
      </c>
      <c r="I247">
        <v>31140</v>
      </c>
      <c r="J247">
        <v>607812</v>
      </c>
      <c r="K247" t="s">
        <v>1653</v>
      </c>
      <c r="L247">
        <v>9</v>
      </c>
    </row>
    <row r="248" spans="1:12" ht="14.5" x14ac:dyDescent="0.35">
      <c r="A248" t="s">
        <v>534</v>
      </c>
      <c r="B248" t="s">
        <v>535</v>
      </c>
      <c r="C248" t="s">
        <v>159</v>
      </c>
      <c r="D248" t="s">
        <v>269</v>
      </c>
      <c r="E248">
        <v>1.9</v>
      </c>
      <c r="F248">
        <v>65230</v>
      </c>
      <c r="G248">
        <v>782760</v>
      </c>
      <c r="H248">
        <v>8</v>
      </c>
      <c r="I248">
        <v>62621</v>
      </c>
      <c r="J248">
        <v>845381</v>
      </c>
      <c r="K248" t="s">
        <v>1655</v>
      </c>
      <c r="L248">
        <v>3.5</v>
      </c>
    </row>
    <row r="249" spans="1:12" ht="14.5" x14ac:dyDescent="0.35">
      <c r="A249" t="s">
        <v>536</v>
      </c>
      <c r="B249" t="s">
        <v>537</v>
      </c>
      <c r="C249" t="s">
        <v>36</v>
      </c>
      <c r="D249" t="s">
        <v>93</v>
      </c>
      <c r="E249">
        <v>4.4000000000000004</v>
      </c>
      <c r="F249">
        <v>108534</v>
      </c>
      <c r="G249">
        <v>1302408</v>
      </c>
      <c r="H249">
        <v>14.8</v>
      </c>
      <c r="I249">
        <v>192756</v>
      </c>
      <c r="J249">
        <v>1495164</v>
      </c>
      <c r="K249" t="s">
        <v>1655</v>
      </c>
      <c r="L249">
        <v>8.4</v>
      </c>
    </row>
    <row r="250" spans="1:12" ht="14.5" x14ac:dyDescent="0.35">
      <c r="A250" t="s">
        <v>538</v>
      </c>
      <c r="B250" t="s">
        <v>292</v>
      </c>
      <c r="C250" t="s">
        <v>27</v>
      </c>
      <c r="D250" t="s">
        <v>87</v>
      </c>
      <c r="E250">
        <v>1</v>
      </c>
      <c r="F250">
        <v>72252</v>
      </c>
      <c r="G250">
        <v>867024</v>
      </c>
      <c r="H250">
        <v>13.8</v>
      </c>
      <c r="I250">
        <v>119649</v>
      </c>
      <c r="J250">
        <v>986673</v>
      </c>
      <c r="K250" t="s">
        <v>1653</v>
      </c>
      <c r="L250">
        <v>5.0999999999999996</v>
      </c>
    </row>
    <row r="251" spans="1:12" ht="14.5" x14ac:dyDescent="0.35">
      <c r="A251" t="s">
        <v>539</v>
      </c>
      <c r="B251" t="s">
        <v>540</v>
      </c>
      <c r="C251" t="s">
        <v>52</v>
      </c>
      <c r="D251" t="s">
        <v>176</v>
      </c>
      <c r="E251">
        <v>1.3</v>
      </c>
      <c r="F251">
        <v>62688</v>
      </c>
      <c r="G251">
        <v>752256</v>
      </c>
      <c r="H251">
        <v>6.8</v>
      </c>
      <c r="I251">
        <v>51153</v>
      </c>
      <c r="J251">
        <v>803409</v>
      </c>
      <c r="K251" t="s">
        <v>1650</v>
      </c>
      <c r="L251">
        <v>10.1</v>
      </c>
    </row>
    <row r="252" spans="1:12" ht="14.5" x14ac:dyDescent="0.35">
      <c r="A252" t="s">
        <v>541</v>
      </c>
      <c r="B252" t="s">
        <v>542</v>
      </c>
      <c r="C252" t="s">
        <v>45</v>
      </c>
      <c r="D252" t="s">
        <v>239</v>
      </c>
      <c r="E252">
        <v>1.6</v>
      </c>
      <c r="F252">
        <v>65967</v>
      </c>
      <c r="G252">
        <v>791604</v>
      </c>
      <c r="H252">
        <v>9.3000000000000007</v>
      </c>
      <c r="I252">
        <v>73619</v>
      </c>
      <c r="J252">
        <v>865223</v>
      </c>
      <c r="K252" t="s">
        <v>1651</v>
      </c>
      <c r="L252">
        <v>10.8</v>
      </c>
    </row>
    <row r="253" spans="1:12" ht="14.5" x14ac:dyDescent="0.35">
      <c r="A253" t="s">
        <v>543</v>
      </c>
      <c r="B253" t="s">
        <v>544</v>
      </c>
      <c r="C253" t="s">
        <v>108</v>
      </c>
      <c r="D253" t="s">
        <v>109</v>
      </c>
      <c r="E253">
        <v>2.7</v>
      </c>
      <c r="F253">
        <v>37564</v>
      </c>
      <c r="G253">
        <v>450768</v>
      </c>
      <c r="H253">
        <v>8.9</v>
      </c>
      <c r="I253">
        <v>40118</v>
      </c>
      <c r="J253">
        <v>490886</v>
      </c>
      <c r="K253" t="s">
        <v>1653</v>
      </c>
      <c r="L253">
        <v>4.5999999999999996</v>
      </c>
    </row>
    <row r="254" spans="1:12" ht="14.5" x14ac:dyDescent="0.35">
      <c r="A254" t="s">
        <v>545</v>
      </c>
      <c r="B254" t="s">
        <v>546</v>
      </c>
      <c r="C254" t="s">
        <v>159</v>
      </c>
      <c r="D254" t="s">
        <v>324</v>
      </c>
      <c r="E254">
        <v>2.5</v>
      </c>
      <c r="F254">
        <v>54741</v>
      </c>
      <c r="G254">
        <v>656892</v>
      </c>
      <c r="H254">
        <v>13.3</v>
      </c>
      <c r="I254">
        <v>87367</v>
      </c>
      <c r="J254">
        <v>744259</v>
      </c>
      <c r="K254" t="s">
        <v>1655</v>
      </c>
      <c r="L254">
        <v>11.3</v>
      </c>
    </row>
    <row r="255" spans="1:12" ht="14.5" x14ac:dyDescent="0.35">
      <c r="A255" t="s">
        <v>547</v>
      </c>
      <c r="B255" t="s">
        <v>548</v>
      </c>
      <c r="C255" t="s">
        <v>159</v>
      </c>
      <c r="D255" t="s">
        <v>269</v>
      </c>
      <c r="E255">
        <v>3.3</v>
      </c>
      <c r="F255">
        <v>45139</v>
      </c>
      <c r="G255">
        <v>541668</v>
      </c>
      <c r="H255">
        <v>16.8</v>
      </c>
      <c r="I255">
        <v>91000</v>
      </c>
      <c r="J255">
        <v>632668</v>
      </c>
      <c r="K255" t="s">
        <v>1652</v>
      </c>
      <c r="L255">
        <v>14.4</v>
      </c>
    </row>
    <row r="256" spans="1:12" ht="14.5" x14ac:dyDescent="0.35">
      <c r="A256" t="s">
        <v>549</v>
      </c>
      <c r="B256" t="s">
        <v>475</v>
      </c>
      <c r="C256" t="s">
        <v>27</v>
      </c>
      <c r="D256" t="s">
        <v>28</v>
      </c>
      <c r="E256">
        <v>2.5</v>
      </c>
      <c r="F256">
        <v>44059</v>
      </c>
      <c r="G256">
        <v>528708</v>
      </c>
      <c r="H256">
        <v>17.600000000000001</v>
      </c>
      <c r="I256">
        <v>93053</v>
      </c>
      <c r="J256">
        <v>621761</v>
      </c>
      <c r="K256" t="s">
        <v>1650</v>
      </c>
      <c r="L256">
        <v>12.7</v>
      </c>
    </row>
    <row r="257" spans="1:12" ht="14.5" x14ac:dyDescent="0.35">
      <c r="A257" t="s">
        <v>550</v>
      </c>
      <c r="B257" t="s">
        <v>551</v>
      </c>
      <c r="C257" t="s">
        <v>69</v>
      </c>
      <c r="D257" t="s">
        <v>117</v>
      </c>
      <c r="E257">
        <v>4.5</v>
      </c>
      <c r="F257">
        <v>78351</v>
      </c>
      <c r="G257">
        <v>940212</v>
      </c>
      <c r="H257">
        <v>15.8</v>
      </c>
      <c r="I257">
        <v>148553</v>
      </c>
      <c r="J257">
        <v>1088765</v>
      </c>
      <c r="K257" t="s">
        <v>1655</v>
      </c>
      <c r="L257">
        <v>7.3</v>
      </c>
    </row>
    <row r="258" spans="1:12" ht="14.5" x14ac:dyDescent="0.35">
      <c r="A258" t="s">
        <v>552</v>
      </c>
      <c r="B258" t="s">
        <v>553</v>
      </c>
      <c r="C258" t="s">
        <v>56</v>
      </c>
      <c r="D258" t="s">
        <v>112</v>
      </c>
      <c r="E258">
        <v>1.3</v>
      </c>
      <c r="F258">
        <v>122519</v>
      </c>
      <c r="G258">
        <v>1470228</v>
      </c>
      <c r="H258">
        <v>12.6</v>
      </c>
      <c r="I258">
        <v>185249</v>
      </c>
      <c r="J258">
        <v>1655477</v>
      </c>
      <c r="K258" t="s">
        <v>1654</v>
      </c>
      <c r="L258">
        <v>14.7</v>
      </c>
    </row>
    <row r="259" spans="1:12" ht="14.5" x14ac:dyDescent="0.35">
      <c r="A259" t="s">
        <v>554</v>
      </c>
      <c r="B259" t="s">
        <v>555</v>
      </c>
      <c r="C259" t="s">
        <v>159</v>
      </c>
      <c r="D259" t="s">
        <v>324</v>
      </c>
      <c r="E259">
        <v>4.3</v>
      </c>
      <c r="F259">
        <v>93191</v>
      </c>
      <c r="G259">
        <v>1118292</v>
      </c>
      <c r="H259">
        <v>17</v>
      </c>
      <c r="I259">
        <v>190110</v>
      </c>
      <c r="J259">
        <v>1308402</v>
      </c>
      <c r="K259" t="s">
        <v>1653</v>
      </c>
      <c r="L259">
        <v>9.8000000000000007</v>
      </c>
    </row>
    <row r="260" spans="1:12" ht="14.5" x14ac:dyDescent="0.35">
      <c r="A260" t="s">
        <v>556</v>
      </c>
      <c r="B260" t="s">
        <v>557</v>
      </c>
      <c r="C260" t="s">
        <v>56</v>
      </c>
      <c r="D260" t="s">
        <v>217</v>
      </c>
      <c r="E260">
        <v>1.2</v>
      </c>
      <c r="F260">
        <v>74254</v>
      </c>
      <c r="G260">
        <v>891048</v>
      </c>
      <c r="H260">
        <v>5.6</v>
      </c>
      <c r="I260">
        <v>49899</v>
      </c>
      <c r="J260">
        <v>940947</v>
      </c>
      <c r="K260" t="s">
        <v>1654</v>
      </c>
      <c r="L260">
        <v>10.6</v>
      </c>
    </row>
    <row r="261" spans="1:12" ht="14.5" x14ac:dyDescent="0.35">
      <c r="A261" t="s">
        <v>558</v>
      </c>
      <c r="B261" t="s">
        <v>51</v>
      </c>
      <c r="C261" t="s">
        <v>36</v>
      </c>
      <c r="D261" t="s">
        <v>84</v>
      </c>
      <c r="E261">
        <v>1.7</v>
      </c>
      <c r="F261">
        <v>29071</v>
      </c>
      <c r="G261">
        <v>348852</v>
      </c>
      <c r="H261">
        <v>13.4</v>
      </c>
      <c r="I261">
        <v>46746</v>
      </c>
      <c r="J261">
        <v>395598</v>
      </c>
      <c r="K261" t="s">
        <v>1651</v>
      </c>
      <c r="L261">
        <v>13.8</v>
      </c>
    </row>
    <row r="262" spans="1:12" ht="14.5" x14ac:dyDescent="0.35">
      <c r="A262" t="s">
        <v>559</v>
      </c>
      <c r="B262" t="s">
        <v>560</v>
      </c>
      <c r="C262" t="s">
        <v>56</v>
      </c>
      <c r="D262" t="s">
        <v>112</v>
      </c>
      <c r="E262">
        <v>3.2</v>
      </c>
      <c r="F262">
        <v>75964</v>
      </c>
      <c r="G262">
        <v>911568</v>
      </c>
      <c r="H262">
        <v>14.5</v>
      </c>
      <c r="I262">
        <v>132177</v>
      </c>
      <c r="J262">
        <v>1043745</v>
      </c>
      <c r="K262" t="s">
        <v>1650</v>
      </c>
      <c r="L262">
        <v>13.9</v>
      </c>
    </row>
    <row r="263" spans="1:12" ht="14.5" x14ac:dyDescent="0.35">
      <c r="A263" t="s">
        <v>561</v>
      </c>
      <c r="B263" t="s">
        <v>562</v>
      </c>
      <c r="C263" t="s">
        <v>52</v>
      </c>
      <c r="D263" t="s">
        <v>102</v>
      </c>
      <c r="E263">
        <v>1.5</v>
      </c>
      <c r="F263">
        <v>65827</v>
      </c>
      <c r="G263">
        <v>789924</v>
      </c>
      <c r="H263">
        <v>15.4</v>
      </c>
      <c r="I263">
        <v>121648</v>
      </c>
      <c r="J263">
        <v>911572</v>
      </c>
      <c r="K263" t="s">
        <v>1655</v>
      </c>
      <c r="L263">
        <v>14.5</v>
      </c>
    </row>
    <row r="264" spans="1:12" ht="14.5" x14ac:dyDescent="0.35">
      <c r="A264" t="s">
        <v>563</v>
      </c>
      <c r="B264" t="s">
        <v>491</v>
      </c>
      <c r="C264" t="s">
        <v>27</v>
      </c>
      <c r="D264" t="s">
        <v>76</v>
      </c>
      <c r="E264">
        <v>6.3</v>
      </c>
      <c r="F264">
        <v>40672</v>
      </c>
      <c r="G264">
        <v>488064</v>
      </c>
      <c r="H264">
        <v>14.5</v>
      </c>
      <c r="I264">
        <v>70769</v>
      </c>
      <c r="J264">
        <v>558833</v>
      </c>
      <c r="K264" t="s">
        <v>1650</v>
      </c>
      <c r="L264">
        <v>5.7</v>
      </c>
    </row>
    <row r="265" spans="1:12" ht="14.5" x14ac:dyDescent="0.35">
      <c r="A265" t="s">
        <v>564</v>
      </c>
      <c r="B265" t="s">
        <v>565</v>
      </c>
      <c r="C265" t="s">
        <v>40</v>
      </c>
      <c r="D265" t="s">
        <v>293</v>
      </c>
      <c r="E265">
        <v>1</v>
      </c>
      <c r="F265">
        <v>94731</v>
      </c>
      <c r="G265">
        <v>1136772</v>
      </c>
      <c r="H265">
        <v>8.8000000000000007</v>
      </c>
      <c r="I265">
        <v>100036</v>
      </c>
      <c r="J265">
        <v>1236808</v>
      </c>
      <c r="K265" t="s">
        <v>1653</v>
      </c>
      <c r="L265">
        <v>5.6</v>
      </c>
    </row>
    <row r="266" spans="1:12" ht="14.5" x14ac:dyDescent="0.35">
      <c r="A266" t="s">
        <v>566</v>
      </c>
      <c r="B266" t="s">
        <v>567</v>
      </c>
      <c r="C266" t="s">
        <v>52</v>
      </c>
      <c r="D266" t="s">
        <v>176</v>
      </c>
      <c r="E266">
        <v>4</v>
      </c>
      <c r="F266">
        <v>90094</v>
      </c>
      <c r="G266">
        <v>1081128</v>
      </c>
      <c r="H266">
        <v>14.9</v>
      </c>
      <c r="I266">
        <v>161088</v>
      </c>
      <c r="J266">
        <v>1242216</v>
      </c>
      <c r="K266" t="s">
        <v>1654</v>
      </c>
      <c r="L266">
        <v>6.6</v>
      </c>
    </row>
    <row r="267" spans="1:12" ht="14.5" x14ac:dyDescent="0.35">
      <c r="A267" t="s">
        <v>568</v>
      </c>
      <c r="B267" t="s">
        <v>569</v>
      </c>
      <c r="C267" t="s">
        <v>159</v>
      </c>
      <c r="D267" t="s">
        <v>187</v>
      </c>
      <c r="E267">
        <v>0.9</v>
      </c>
      <c r="F267">
        <v>69750</v>
      </c>
      <c r="G267">
        <v>837000</v>
      </c>
      <c r="H267">
        <v>4.5999999999999996</v>
      </c>
      <c r="I267">
        <v>38502</v>
      </c>
      <c r="J267">
        <v>875502</v>
      </c>
      <c r="K267" t="s">
        <v>1652</v>
      </c>
      <c r="L267">
        <v>5.3</v>
      </c>
    </row>
    <row r="268" spans="1:12" ht="14.5" x14ac:dyDescent="0.35">
      <c r="A268" t="s">
        <v>570</v>
      </c>
      <c r="B268" t="s">
        <v>571</v>
      </c>
      <c r="C268" t="s">
        <v>45</v>
      </c>
      <c r="D268" t="s">
        <v>46</v>
      </c>
      <c r="E268">
        <v>2</v>
      </c>
      <c r="F268">
        <v>97774</v>
      </c>
      <c r="G268">
        <v>1173288</v>
      </c>
      <c r="H268">
        <v>10.3</v>
      </c>
      <c r="I268">
        <v>120849</v>
      </c>
      <c r="J268">
        <v>1294137</v>
      </c>
      <c r="K268" t="s">
        <v>1654</v>
      </c>
      <c r="L268">
        <v>10.9</v>
      </c>
    </row>
    <row r="269" spans="1:12" ht="14.5" x14ac:dyDescent="0.35">
      <c r="A269" t="s">
        <v>572</v>
      </c>
      <c r="B269" t="s">
        <v>243</v>
      </c>
      <c r="C269" t="s">
        <v>36</v>
      </c>
      <c r="D269" t="s">
        <v>84</v>
      </c>
      <c r="E269">
        <v>4</v>
      </c>
      <c r="F269">
        <v>116317</v>
      </c>
      <c r="G269">
        <v>1395804</v>
      </c>
      <c r="H269">
        <v>6.3</v>
      </c>
      <c r="I269">
        <v>87936</v>
      </c>
      <c r="J269">
        <v>1483740</v>
      </c>
      <c r="K269" t="s">
        <v>1654</v>
      </c>
      <c r="L269">
        <v>7.5</v>
      </c>
    </row>
    <row r="270" spans="1:12" ht="14.5" x14ac:dyDescent="0.35">
      <c r="A270" t="s">
        <v>573</v>
      </c>
      <c r="B270" t="s">
        <v>574</v>
      </c>
      <c r="C270" t="s">
        <v>45</v>
      </c>
      <c r="D270" t="s">
        <v>46</v>
      </c>
      <c r="E270">
        <v>4.8</v>
      </c>
      <c r="F270">
        <v>113929</v>
      </c>
      <c r="G270">
        <v>1367148</v>
      </c>
      <c r="H270">
        <v>11.1</v>
      </c>
      <c r="I270">
        <v>151753</v>
      </c>
      <c r="J270">
        <v>1518901</v>
      </c>
      <c r="K270" t="s">
        <v>1654</v>
      </c>
      <c r="L270">
        <v>11.8</v>
      </c>
    </row>
    <row r="271" spans="1:12" ht="14.5" x14ac:dyDescent="0.35">
      <c r="A271" t="s">
        <v>575</v>
      </c>
      <c r="B271" t="s">
        <v>396</v>
      </c>
      <c r="C271" t="s">
        <v>45</v>
      </c>
      <c r="D271" t="s">
        <v>234</v>
      </c>
      <c r="E271">
        <v>2.4</v>
      </c>
      <c r="F271">
        <v>50349</v>
      </c>
      <c r="G271">
        <v>604188</v>
      </c>
      <c r="H271">
        <v>5.9</v>
      </c>
      <c r="I271">
        <v>35647</v>
      </c>
      <c r="J271">
        <v>639835</v>
      </c>
      <c r="K271" t="s">
        <v>1652</v>
      </c>
      <c r="L271">
        <v>14.7</v>
      </c>
    </row>
    <row r="272" spans="1:12" ht="14.5" x14ac:dyDescent="0.35">
      <c r="A272" t="s">
        <v>576</v>
      </c>
      <c r="B272" t="s">
        <v>577</v>
      </c>
      <c r="C272" t="s">
        <v>56</v>
      </c>
      <c r="D272" t="s">
        <v>112</v>
      </c>
      <c r="E272">
        <v>1.3</v>
      </c>
      <c r="F272">
        <v>119818</v>
      </c>
      <c r="G272">
        <v>1437816</v>
      </c>
      <c r="H272">
        <v>17.8</v>
      </c>
      <c r="I272">
        <v>255931</v>
      </c>
      <c r="J272">
        <v>1693747</v>
      </c>
      <c r="K272" t="s">
        <v>1653</v>
      </c>
      <c r="L272">
        <v>4.4000000000000004</v>
      </c>
    </row>
    <row r="273" spans="1:12" ht="14.5" x14ac:dyDescent="0.35">
      <c r="A273" t="s">
        <v>578</v>
      </c>
      <c r="B273" t="s">
        <v>579</v>
      </c>
      <c r="C273" t="s">
        <v>52</v>
      </c>
      <c r="D273" t="s">
        <v>224</v>
      </c>
      <c r="E273">
        <v>6</v>
      </c>
      <c r="F273">
        <v>82127</v>
      </c>
      <c r="G273">
        <v>985524</v>
      </c>
      <c r="H273">
        <v>7.4</v>
      </c>
      <c r="I273">
        <v>72929</v>
      </c>
      <c r="J273">
        <v>1058453</v>
      </c>
      <c r="K273" t="s">
        <v>1653</v>
      </c>
      <c r="L273">
        <v>10.6</v>
      </c>
    </row>
    <row r="274" spans="1:12" ht="14.5" x14ac:dyDescent="0.35">
      <c r="A274" t="s">
        <v>580</v>
      </c>
      <c r="B274" t="s">
        <v>581</v>
      </c>
      <c r="C274" t="s">
        <v>56</v>
      </c>
      <c r="D274" t="s">
        <v>217</v>
      </c>
      <c r="E274">
        <v>1.9</v>
      </c>
      <c r="F274">
        <v>55176</v>
      </c>
      <c r="G274">
        <v>662112</v>
      </c>
      <c r="H274">
        <v>10.199999999999999</v>
      </c>
      <c r="I274">
        <v>67535</v>
      </c>
      <c r="J274">
        <v>729647</v>
      </c>
      <c r="K274" t="s">
        <v>1653</v>
      </c>
      <c r="L274">
        <v>10.9</v>
      </c>
    </row>
    <row r="275" spans="1:12" ht="14.5" x14ac:dyDescent="0.35">
      <c r="A275" t="s">
        <v>582</v>
      </c>
      <c r="B275" t="s">
        <v>583</v>
      </c>
      <c r="C275" t="s">
        <v>108</v>
      </c>
      <c r="D275" t="s">
        <v>206</v>
      </c>
      <c r="E275">
        <v>2.6</v>
      </c>
      <c r="F275">
        <v>97878</v>
      </c>
      <c r="G275">
        <v>1174536</v>
      </c>
      <c r="H275">
        <v>5.2</v>
      </c>
      <c r="I275">
        <v>61076</v>
      </c>
      <c r="J275">
        <v>1235612</v>
      </c>
      <c r="K275" t="s">
        <v>1650</v>
      </c>
      <c r="L275">
        <v>14.5</v>
      </c>
    </row>
    <row r="276" spans="1:12" ht="14.5" x14ac:dyDescent="0.35">
      <c r="A276" t="s">
        <v>584</v>
      </c>
      <c r="B276" t="s">
        <v>585</v>
      </c>
      <c r="C276" t="s">
        <v>40</v>
      </c>
      <c r="D276" t="s">
        <v>293</v>
      </c>
      <c r="E276">
        <v>5</v>
      </c>
      <c r="F276">
        <v>64569</v>
      </c>
      <c r="G276">
        <v>774828</v>
      </c>
      <c r="H276">
        <v>12.9</v>
      </c>
      <c r="I276">
        <v>99953</v>
      </c>
      <c r="J276">
        <v>874781</v>
      </c>
      <c r="K276" t="s">
        <v>1650</v>
      </c>
      <c r="L276">
        <v>6.2</v>
      </c>
    </row>
    <row r="277" spans="1:12" ht="14.5" x14ac:dyDescent="0.35">
      <c r="A277" t="s">
        <v>586</v>
      </c>
      <c r="B277" t="s">
        <v>502</v>
      </c>
      <c r="C277" t="s">
        <v>69</v>
      </c>
      <c r="D277" t="s">
        <v>150</v>
      </c>
      <c r="E277">
        <v>2.2999999999999998</v>
      </c>
      <c r="F277">
        <v>69555</v>
      </c>
      <c r="G277">
        <v>834660</v>
      </c>
      <c r="H277">
        <v>6.1</v>
      </c>
      <c r="I277">
        <v>50914</v>
      </c>
      <c r="J277">
        <v>885574</v>
      </c>
      <c r="K277" t="s">
        <v>1654</v>
      </c>
      <c r="L277">
        <v>7.4</v>
      </c>
    </row>
    <row r="278" spans="1:12" ht="14.5" x14ac:dyDescent="0.35">
      <c r="A278" t="s">
        <v>587</v>
      </c>
      <c r="B278" t="s">
        <v>456</v>
      </c>
      <c r="C278" t="s">
        <v>27</v>
      </c>
      <c r="D278" t="s">
        <v>73</v>
      </c>
      <c r="E278">
        <v>1.3</v>
      </c>
      <c r="F278">
        <v>116686</v>
      </c>
      <c r="G278">
        <v>1400232</v>
      </c>
      <c r="H278">
        <v>11.1</v>
      </c>
      <c r="I278">
        <v>155426</v>
      </c>
      <c r="J278">
        <v>1555658</v>
      </c>
      <c r="K278" t="s">
        <v>1651</v>
      </c>
      <c r="L278">
        <v>5.0999999999999996</v>
      </c>
    </row>
    <row r="279" spans="1:12" ht="14.5" x14ac:dyDescent="0.35">
      <c r="A279" t="s">
        <v>588</v>
      </c>
      <c r="B279" t="s">
        <v>48</v>
      </c>
      <c r="C279" t="s">
        <v>56</v>
      </c>
      <c r="D279" t="s">
        <v>57</v>
      </c>
      <c r="E279">
        <v>7.3</v>
      </c>
      <c r="F279">
        <v>65700</v>
      </c>
      <c r="G279">
        <v>788400</v>
      </c>
      <c r="H279">
        <v>15.5</v>
      </c>
      <c r="I279">
        <v>122202</v>
      </c>
      <c r="J279">
        <v>910602</v>
      </c>
      <c r="K279" t="s">
        <v>1655</v>
      </c>
      <c r="L279">
        <v>10.1</v>
      </c>
    </row>
    <row r="280" spans="1:12" ht="14.5" x14ac:dyDescent="0.35">
      <c r="A280" t="s">
        <v>589</v>
      </c>
      <c r="B280" t="s">
        <v>143</v>
      </c>
      <c r="C280" t="s">
        <v>40</v>
      </c>
      <c r="D280" t="s">
        <v>65</v>
      </c>
      <c r="E280">
        <v>5.3</v>
      </c>
      <c r="F280">
        <v>54485</v>
      </c>
      <c r="G280">
        <v>653820</v>
      </c>
      <c r="H280">
        <v>15.1</v>
      </c>
      <c r="I280">
        <v>98727</v>
      </c>
      <c r="J280">
        <v>752547</v>
      </c>
      <c r="K280" t="s">
        <v>1653</v>
      </c>
      <c r="L280">
        <v>14.9</v>
      </c>
    </row>
    <row r="281" spans="1:12" ht="14.5" x14ac:dyDescent="0.35">
      <c r="A281" t="s">
        <v>590</v>
      </c>
      <c r="B281" t="s">
        <v>591</v>
      </c>
      <c r="C281" t="s">
        <v>36</v>
      </c>
      <c r="D281" t="s">
        <v>62</v>
      </c>
      <c r="E281">
        <v>6.5</v>
      </c>
      <c r="F281">
        <v>108698</v>
      </c>
      <c r="G281">
        <v>1304376</v>
      </c>
      <c r="H281">
        <v>12.7</v>
      </c>
      <c r="I281">
        <v>165656</v>
      </c>
      <c r="J281">
        <v>1470032</v>
      </c>
      <c r="K281" t="s">
        <v>1653</v>
      </c>
      <c r="L281">
        <v>14.6</v>
      </c>
    </row>
    <row r="282" spans="1:12" ht="14.5" x14ac:dyDescent="0.35">
      <c r="A282" t="s">
        <v>592</v>
      </c>
      <c r="B282" t="s">
        <v>593</v>
      </c>
      <c r="C282" t="s">
        <v>69</v>
      </c>
      <c r="D282" t="s">
        <v>117</v>
      </c>
      <c r="E282">
        <v>5.2</v>
      </c>
      <c r="F282">
        <v>111616</v>
      </c>
      <c r="G282">
        <v>1339392</v>
      </c>
      <c r="H282">
        <v>14.9</v>
      </c>
      <c r="I282">
        <v>199569</v>
      </c>
      <c r="J282">
        <v>1538961</v>
      </c>
      <c r="K282" t="s">
        <v>1655</v>
      </c>
      <c r="L282">
        <v>4.9000000000000004</v>
      </c>
    </row>
    <row r="283" spans="1:12" ht="14.5" x14ac:dyDescent="0.35">
      <c r="A283" t="s">
        <v>594</v>
      </c>
      <c r="B283" t="s">
        <v>152</v>
      </c>
      <c r="C283" t="s">
        <v>21</v>
      </c>
      <c r="D283" t="s">
        <v>153</v>
      </c>
      <c r="E283">
        <v>6.6</v>
      </c>
      <c r="F283">
        <v>117285</v>
      </c>
      <c r="G283">
        <v>1407420</v>
      </c>
      <c r="H283">
        <v>6.4</v>
      </c>
      <c r="I283">
        <v>90075</v>
      </c>
      <c r="J283">
        <v>1497495</v>
      </c>
      <c r="K283" t="s">
        <v>1652</v>
      </c>
      <c r="L283">
        <v>10.3</v>
      </c>
    </row>
    <row r="284" spans="1:12" ht="14.5" x14ac:dyDescent="0.35">
      <c r="A284" t="s">
        <v>595</v>
      </c>
      <c r="B284" t="s">
        <v>540</v>
      </c>
      <c r="C284" t="s">
        <v>52</v>
      </c>
      <c r="D284" t="s">
        <v>102</v>
      </c>
      <c r="E284">
        <v>2.4</v>
      </c>
      <c r="F284">
        <v>90580</v>
      </c>
      <c r="G284">
        <v>1086960</v>
      </c>
      <c r="H284">
        <v>10.8</v>
      </c>
      <c r="I284">
        <v>117392</v>
      </c>
      <c r="J284">
        <v>1204352</v>
      </c>
      <c r="K284" t="s">
        <v>1654</v>
      </c>
      <c r="L284">
        <v>5.2</v>
      </c>
    </row>
    <row r="285" spans="1:12" ht="14.5" x14ac:dyDescent="0.35">
      <c r="A285" t="s">
        <v>596</v>
      </c>
      <c r="B285" t="s">
        <v>597</v>
      </c>
      <c r="C285" t="s">
        <v>36</v>
      </c>
      <c r="D285" t="s">
        <v>253</v>
      </c>
      <c r="E285">
        <v>6.7</v>
      </c>
      <c r="F285">
        <v>113498</v>
      </c>
      <c r="G285">
        <v>1361976</v>
      </c>
      <c r="H285">
        <v>12.8</v>
      </c>
      <c r="I285">
        <v>174333</v>
      </c>
      <c r="J285">
        <v>1536309</v>
      </c>
      <c r="K285" t="s">
        <v>1653</v>
      </c>
      <c r="L285">
        <v>6.4</v>
      </c>
    </row>
    <row r="286" spans="1:12" ht="14.5" x14ac:dyDescent="0.35">
      <c r="A286" t="s">
        <v>598</v>
      </c>
      <c r="B286" t="s">
        <v>599</v>
      </c>
      <c r="C286" t="s">
        <v>27</v>
      </c>
      <c r="D286" t="s">
        <v>28</v>
      </c>
      <c r="E286">
        <v>5.8</v>
      </c>
      <c r="F286">
        <v>32763</v>
      </c>
      <c r="G286">
        <v>393156</v>
      </c>
      <c r="H286">
        <v>11.8</v>
      </c>
      <c r="I286">
        <v>46392</v>
      </c>
      <c r="J286">
        <v>439548</v>
      </c>
      <c r="K286" t="s">
        <v>1655</v>
      </c>
      <c r="L286">
        <v>14</v>
      </c>
    </row>
    <row r="287" spans="1:12" ht="14.5" x14ac:dyDescent="0.35">
      <c r="A287" t="s">
        <v>600</v>
      </c>
      <c r="B287" t="s">
        <v>132</v>
      </c>
      <c r="C287" t="s">
        <v>108</v>
      </c>
      <c r="D287" t="s">
        <v>109</v>
      </c>
      <c r="E287">
        <v>7.6</v>
      </c>
      <c r="F287">
        <v>67110</v>
      </c>
      <c r="G287">
        <v>805320</v>
      </c>
      <c r="H287">
        <v>15.8</v>
      </c>
      <c r="I287">
        <v>127241</v>
      </c>
      <c r="J287">
        <v>932561</v>
      </c>
      <c r="K287" t="s">
        <v>1652</v>
      </c>
      <c r="L287">
        <v>4.9000000000000004</v>
      </c>
    </row>
    <row r="288" spans="1:12" ht="14.5" x14ac:dyDescent="0.35">
      <c r="A288" t="s">
        <v>601</v>
      </c>
      <c r="B288" t="s">
        <v>602</v>
      </c>
      <c r="C288" t="s">
        <v>21</v>
      </c>
      <c r="D288" t="s">
        <v>163</v>
      </c>
      <c r="E288">
        <v>1.7</v>
      </c>
      <c r="F288">
        <v>96723</v>
      </c>
      <c r="G288">
        <v>1160676</v>
      </c>
      <c r="H288">
        <v>4.5</v>
      </c>
      <c r="I288">
        <v>52230</v>
      </c>
      <c r="J288">
        <v>1212906</v>
      </c>
      <c r="K288" t="s">
        <v>1655</v>
      </c>
      <c r="L288">
        <v>11.7</v>
      </c>
    </row>
    <row r="289" spans="1:12" ht="14.5" x14ac:dyDescent="0.35">
      <c r="A289" t="s">
        <v>603</v>
      </c>
      <c r="B289" t="s">
        <v>604</v>
      </c>
      <c r="C289" t="s">
        <v>27</v>
      </c>
      <c r="D289" t="s">
        <v>76</v>
      </c>
      <c r="E289">
        <v>6.5</v>
      </c>
      <c r="F289">
        <v>71343</v>
      </c>
      <c r="G289">
        <v>856116</v>
      </c>
      <c r="H289">
        <v>11</v>
      </c>
      <c r="I289">
        <v>94173</v>
      </c>
      <c r="J289">
        <v>950289</v>
      </c>
      <c r="K289" t="s">
        <v>1651</v>
      </c>
      <c r="L289">
        <v>14.2</v>
      </c>
    </row>
    <row r="290" spans="1:12" ht="14.5" x14ac:dyDescent="0.35">
      <c r="A290" t="s">
        <v>605</v>
      </c>
      <c r="B290" t="s">
        <v>169</v>
      </c>
      <c r="C290" t="s">
        <v>36</v>
      </c>
      <c r="D290" t="s">
        <v>93</v>
      </c>
      <c r="E290">
        <v>4.4000000000000004</v>
      </c>
      <c r="F290">
        <v>102420</v>
      </c>
      <c r="G290">
        <v>1229040</v>
      </c>
      <c r="H290">
        <v>15.8</v>
      </c>
      <c r="I290">
        <v>194188</v>
      </c>
      <c r="J290">
        <v>1423228</v>
      </c>
      <c r="K290" t="s">
        <v>1653</v>
      </c>
      <c r="L290">
        <v>4.3</v>
      </c>
    </row>
    <row r="291" spans="1:12" ht="14.5" x14ac:dyDescent="0.35">
      <c r="A291" t="s">
        <v>606</v>
      </c>
      <c r="B291" t="s">
        <v>562</v>
      </c>
      <c r="C291" t="s">
        <v>159</v>
      </c>
      <c r="D291" t="s">
        <v>187</v>
      </c>
      <c r="E291">
        <v>2</v>
      </c>
      <c r="F291">
        <v>70982</v>
      </c>
      <c r="G291">
        <v>851784</v>
      </c>
      <c r="H291">
        <v>12.4</v>
      </c>
      <c r="I291">
        <v>105621</v>
      </c>
      <c r="J291">
        <v>957405</v>
      </c>
      <c r="K291" t="s">
        <v>1650</v>
      </c>
      <c r="L291">
        <v>11.3</v>
      </c>
    </row>
    <row r="292" spans="1:12" ht="14.5" x14ac:dyDescent="0.35">
      <c r="A292" t="s">
        <v>607</v>
      </c>
      <c r="B292" t="s">
        <v>608</v>
      </c>
      <c r="C292" t="s">
        <v>21</v>
      </c>
      <c r="D292" t="s">
        <v>133</v>
      </c>
      <c r="E292">
        <v>4.0999999999999996</v>
      </c>
      <c r="F292">
        <v>60512</v>
      </c>
      <c r="G292">
        <v>726144</v>
      </c>
      <c r="H292">
        <v>13.6</v>
      </c>
      <c r="I292">
        <v>98756</v>
      </c>
      <c r="J292">
        <v>824900</v>
      </c>
      <c r="K292" t="s">
        <v>1651</v>
      </c>
      <c r="L292">
        <v>8.4</v>
      </c>
    </row>
    <row r="293" spans="1:12" ht="14.5" x14ac:dyDescent="0.35">
      <c r="A293" t="s">
        <v>609</v>
      </c>
      <c r="B293" t="s">
        <v>610</v>
      </c>
      <c r="C293" t="s">
        <v>56</v>
      </c>
      <c r="D293" t="s">
        <v>112</v>
      </c>
      <c r="E293">
        <v>4</v>
      </c>
      <c r="F293">
        <v>67576</v>
      </c>
      <c r="G293">
        <v>810912</v>
      </c>
      <c r="H293">
        <v>7.5</v>
      </c>
      <c r="I293">
        <v>60818</v>
      </c>
      <c r="J293">
        <v>871730</v>
      </c>
      <c r="K293" t="s">
        <v>1655</v>
      </c>
      <c r="L293">
        <v>11.1</v>
      </c>
    </row>
    <row r="294" spans="1:12" ht="14.5" x14ac:dyDescent="0.35">
      <c r="A294" t="s">
        <v>611</v>
      </c>
      <c r="B294" t="s">
        <v>612</v>
      </c>
      <c r="C294" t="s">
        <v>52</v>
      </c>
      <c r="D294" t="s">
        <v>498</v>
      </c>
      <c r="E294">
        <v>7</v>
      </c>
      <c r="F294">
        <v>115528</v>
      </c>
      <c r="G294">
        <v>1386336</v>
      </c>
      <c r="H294">
        <v>13.6</v>
      </c>
      <c r="I294">
        <v>188542</v>
      </c>
      <c r="J294">
        <v>1574878</v>
      </c>
      <c r="K294" t="s">
        <v>1651</v>
      </c>
      <c r="L294">
        <v>3.3</v>
      </c>
    </row>
    <row r="295" spans="1:12" ht="14.5" x14ac:dyDescent="0.35">
      <c r="A295" t="s">
        <v>613</v>
      </c>
      <c r="B295" t="s">
        <v>614</v>
      </c>
      <c r="C295" t="s">
        <v>36</v>
      </c>
      <c r="D295" t="s">
        <v>93</v>
      </c>
      <c r="E295">
        <v>4.3</v>
      </c>
      <c r="F295">
        <v>118477</v>
      </c>
      <c r="G295">
        <v>1421724</v>
      </c>
      <c r="H295">
        <v>12.8</v>
      </c>
      <c r="I295">
        <v>181981</v>
      </c>
      <c r="J295">
        <v>1603705</v>
      </c>
      <c r="K295" t="s">
        <v>1650</v>
      </c>
      <c r="L295">
        <v>5.6</v>
      </c>
    </row>
    <row r="296" spans="1:12" ht="14.5" x14ac:dyDescent="0.35">
      <c r="A296" t="s">
        <v>615</v>
      </c>
      <c r="B296" t="s">
        <v>616</v>
      </c>
      <c r="C296" t="s">
        <v>40</v>
      </c>
      <c r="D296" t="s">
        <v>90</v>
      </c>
      <c r="E296">
        <v>2.4</v>
      </c>
      <c r="F296">
        <v>48078</v>
      </c>
      <c r="G296">
        <v>576936</v>
      </c>
      <c r="H296">
        <v>6.9</v>
      </c>
      <c r="I296">
        <v>39809</v>
      </c>
      <c r="J296">
        <v>616745</v>
      </c>
      <c r="K296" t="s">
        <v>1654</v>
      </c>
      <c r="L296">
        <v>10.5</v>
      </c>
    </row>
    <row r="297" spans="1:12" ht="14.5" x14ac:dyDescent="0.35">
      <c r="A297" t="s">
        <v>617</v>
      </c>
      <c r="B297" t="s">
        <v>190</v>
      </c>
      <c r="C297" t="s">
        <v>40</v>
      </c>
      <c r="D297" t="s">
        <v>65</v>
      </c>
      <c r="E297">
        <v>5.3</v>
      </c>
      <c r="F297">
        <v>60435</v>
      </c>
      <c r="G297">
        <v>725220</v>
      </c>
      <c r="H297">
        <v>10.199999999999999</v>
      </c>
      <c r="I297">
        <v>73972</v>
      </c>
      <c r="J297">
        <v>799192</v>
      </c>
      <c r="K297" t="s">
        <v>1653</v>
      </c>
      <c r="L297">
        <v>14.7</v>
      </c>
    </row>
    <row r="298" spans="1:12" ht="14.5" x14ac:dyDescent="0.35">
      <c r="A298" t="s">
        <v>618</v>
      </c>
      <c r="B298" t="s">
        <v>619</v>
      </c>
      <c r="C298" t="s">
        <v>21</v>
      </c>
      <c r="D298" t="s">
        <v>49</v>
      </c>
      <c r="E298">
        <v>3.7</v>
      </c>
      <c r="F298">
        <v>38237</v>
      </c>
      <c r="G298">
        <v>458844</v>
      </c>
      <c r="H298">
        <v>14.3</v>
      </c>
      <c r="I298">
        <v>65615</v>
      </c>
      <c r="J298">
        <v>524459</v>
      </c>
      <c r="K298" t="s">
        <v>1655</v>
      </c>
      <c r="L298">
        <v>13.5</v>
      </c>
    </row>
    <row r="299" spans="1:12" ht="14.5" x14ac:dyDescent="0.35">
      <c r="A299" t="s">
        <v>620</v>
      </c>
      <c r="B299" t="s">
        <v>621</v>
      </c>
      <c r="C299" t="s">
        <v>21</v>
      </c>
      <c r="D299" t="s">
        <v>22</v>
      </c>
      <c r="E299">
        <v>1.7</v>
      </c>
      <c r="F299">
        <v>47641</v>
      </c>
      <c r="G299">
        <v>571692</v>
      </c>
      <c r="H299">
        <v>10.7</v>
      </c>
      <c r="I299">
        <v>61171</v>
      </c>
      <c r="J299">
        <v>632863</v>
      </c>
      <c r="K299" t="s">
        <v>1651</v>
      </c>
      <c r="L299">
        <v>5.3</v>
      </c>
    </row>
    <row r="300" spans="1:12" ht="14.5" x14ac:dyDescent="0.35">
      <c r="A300" t="s">
        <v>622</v>
      </c>
      <c r="B300" t="s">
        <v>623</v>
      </c>
      <c r="C300" t="s">
        <v>27</v>
      </c>
      <c r="D300" t="s">
        <v>76</v>
      </c>
      <c r="E300">
        <v>1.2</v>
      </c>
      <c r="F300">
        <v>92071</v>
      </c>
      <c r="G300">
        <v>1104852</v>
      </c>
      <c r="H300">
        <v>12.3</v>
      </c>
      <c r="I300">
        <v>135897</v>
      </c>
      <c r="J300">
        <v>1240749</v>
      </c>
      <c r="K300" t="s">
        <v>1655</v>
      </c>
      <c r="L300">
        <v>10.8</v>
      </c>
    </row>
    <row r="301" spans="1:12" ht="14.5" x14ac:dyDescent="0.35">
      <c r="A301" t="s">
        <v>624</v>
      </c>
      <c r="B301" t="s">
        <v>31</v>
      </c>
      <c r="C301" t="s">
        <v>108</v>
      </c>
      <c r="D301" t="s">
        <v>114</v>
      </c>
      <c r="E301">
        <v>2</v>
      </c>
      <c r="F301">
        <v>82450</v>
      </c>
      <c r="G301">
        <v>989400</v>
      </c>
      <c r="H301">
        <v>5.7</v>
      </c>
      <c r="I301">
        <v>56396</v>
      </c>
      <c r="J301">
        <v>1045796</v>
      </c>
      <c r="K301" t="s">
        <v>1651</v>
      </c>
      <c r="L301">
        <v>4.5</v>
      </c>
    </row>
    <row r="302" spans="1:12" ht="14.5" x14ac:dyDescent="0.35">
      <c r="A302" t="s">
        <v>625</v>
      </c>
      <c r="B302" t="s">
        <v>626</v>
      </c>
      <c r="C302" t="s">
        <v>52</v>
      </c>
      <c r="D302" t="s">
        <v>102</v>
      </c>
      <c r="E302">
        <v>7.5</v>
      </c>
      <c r="F302">
        <v>79897</v>
      </c>
      <c r="G302">
        <v>958764</v>
      </c>
      <c r="H302">
        <v>16.3</v>
      </c>
      <c r="I302">
        <v>156279</v>
      </c>
      <c r="J302">
        <v>1115043</v>
      </c>
      <c r="K302" t="s">
        <v>1650</v>
      </c>
      <c r="L302">
        <v>8.1</v>
      </c>
    </row>
    <row r="303" spans="1:12" ht="14.5" x14ac:dyDescent="0.35">
      <c r="A303" t="s">
        <v>627</v>
      </c>
      <c r="B303" t="s">
        <v>48</v>
      </c>
      <c r="C303" t="s">
        <v>69</v>
      </c>
      <c r="D303" t="s">
        <v>319</v>
      </c>
      <c r="E303">
        <v>3</v>
      </c>
      <c r="F303">
        <v>73158</v>
      </c>
      <c r="G303">
        <v>877896</v>
      </c>
      <c r="H303">
        <v>15.9</v>
      </c>
      <c r="I303">
        <v>139585</v>
      </c>
      <c r="J303">
        <v>1017481</v>
      </c>
      <c r="K303" t="s">
        <v>1651</v>
      </c>
      <c r="L303">
        <v>6.2</v>
      </c>
    </row>
    <row r="304" spans="1:12" ht="14.5" x14ac:dyDescent="0.35">
      <c r="A304" t="s">
        <v>628</v>
      </c>
      <c r="B304" t="s">
        <v>116</v>
      </c>
      <c r="C304" t="s">
        <v>27</v>
      </c>
      <c r="D304" t="s">
        <v>28</v>
      </c>
      <c r="E304">
        <v>7.4</v>
      </c>
      <c r="F304">
        <v>65629</v>
      </c>
      <c r="G304">
        <v>787548</v>
      </c>
      <c r="H304">
        <v>11.8</v>
      </c>
      <c r="I304">
        <v>92931</v>
      </c>
      <c r="J304">
        <v>880479</v>
      </c>
      <c r="K304" t="s">
        <v>1651</v>
      </c>
      <c r="L304">
        <v>5.5</v>
      </c>
    </row>
    <row r="305" spans="1:12" ht="14.5" x14ac:dyDescent="0.35">
      <c r="A305" t="s">
        <v>629</v>
      </c>
      <c r="B305" t="s">
        <v>332</v>
      </c>
      <c r="C305" t="s">
        <v>159</v>
      </c>
      <c r="D305" t="s">
        <v>324</v>
      </c>
      <c r="E305">
        <v>2.7</v>
      </c>
      <c r="F305">
        <v>77479</v>
      </c>
      <c r="G305">
        <v>929748</v>
      </c>
      <c r="H305">
        <v>8</v>
      </c>
      <c r="I305">
        <v>74380</v>
      </c>
      <c r="J305">
        <v>1004128</v>
      </c>
      <c r="K305" t="s">
        <v>1651</v>
      </c>
      <c r="L305">
        <v>3.6</v>
      </c>
    </row>
    <row r="306" spans="1:12" ht="14.5" x14ac:dyDescent="0.35">
      <c r="A306" t="s">
        <v>630</v>
      </c>
      <c r="B306" t="s">
        <v>565</v>
      </c>
      <c r="C306" t="s">
        <v>27</v>
      </c>
      <c r="D306" t="s">
        <v>87</v>
      </c>
      <c r="E306">
        <v>5.7</v>
      </c>
      <c r="F306">
        <v>98419</v>
      </c>
      <c r="G306">
        <v>1181028</v>
      </c>
      <c r="H306">
        <v>13</v>
      </c>
      <c r="I306">
        <v>153534</v>
      </c>
      <c r="J306">
        <v>1334562</v>
      </c>
      <c r="K306" t="s">
        <v>1652</v>
      </c>
      <c r="L306">
        <v>8</v>
      </c>
    </row>
    <row r="307" spans="1:12" ht="14.5" x14ac:dyDescent="0.35">
      <c r="A307" t="s">
        <v>631</v>
      </c>
      <c r="B307" t="s">
        <v>632</v>
      </c>
      <c r="C307" t="s">
        <v>159</v>
      </c>
      <c r="D307" t="s">
        <v>482</v>
      </c>
      <c r="E307">
        <v>4.4000000000000004</v>
      </c>
      <c r="F307">
        <v>88686</v>
      </c>
      <c r="G307">
        <v>1064232</v>
      </c>
      <c r="H307">
        <v>7.4</v>
      </c>
      <c r="I307">
        <v>78753</v>
      </c>
      <c r="J307">
        <v>1142985</v>
      </c>
      <c r="K307" t="s">
        <v>1653</v>
      </c>
      <c r="L307">
        <v>8.1</v>
      </c>
    </row>
    <row r="308" spans="1:12" ht="14.5" x14ac:dyDescent="0.35">
      <c r="A308" t="s">
        <v>633</v>
      </c>
      <c r="B308" t="s">
        <v>634</v>
      </c>
      <c r="C308" t="s">
        <v>56</v>
      </c>
      <c r="D308" t="s">
        <v>217</v>
      </c>
      <c r="E308">
        <v>2.6</v>
      </c>
      <c r="F308">
        <v>73371</v>
      </c>
      <c r="G308">
        <v>880452</v>
      </c>
      <c r="H308">
        <v>13.9</v>
      </c>
      <c r="I308">
        <v>122383</v>
      </c>
      <c r="J308">
        <v>1002835</v>
      </c>
      <c r="K308" t="s">
        <v>1652</v>
      </c>
      <c r="L308">
        <v>7.6</v>
      </c>
    </row>
    <row r="309" spans="1:12" ht="14.5" x14ac:dyDescent="0.35">
      <c r="A309" t="s">
        <v>635</v>
      </c>
      <c r="B309" t="s">
        <v>167</v>
      </c>
      <c r="C309" t="s">
        <v>69</v>
      </c>
      <c r="D309" t="s">
        <v>105</v>
      </c>
      <c r="E309">
        <v>0.9</v>
      </c>
      <c r="F309">
        <v>30050</v>
      </c>
      <c r="G309">
        <v>360600</v>
      </c>
      <c r="H309">
        <v>11.2</v>
      </c>
      <c r="I309">
        <v>40387</v>
      </c>
      <c r="J309">
        <v>400987</v>
      </c>
      <c r="K309" t="s">
        <v>1654</v>
      </c>
      <c r="L309">
        <v>11.2</v>
      </c>
    </row>
    <row r="310" spans="1:12" ht="14.5" x14ac:dyDescent="0.35">
      <c r="A310" t="s">
        <v>636</v>
      </c>
      <c r="B310" t="s">
        <v>544</v>
      </c>
      <c r="C310" t="s">
        <v>21</v>
      </c>
      <c r="D310" t="s">
        <v>22</v>
      </c>
      <c r="E310">
        <v>1</v>
      </c>
      <c r="F310">
        <v>116083</v>
      </c>
      <c r="G310">
        <v>1392996</v>
      </c>
      <c r="H310">
        <v>8.6999999999999993</v>
      </c>
      <c r="I310">
        <v>121191</v>
      </c>
      <c r="J310">
        <v>1514187</v>
      </c>
      <c r="K310" t="s">
        <v>1653</v>
      </c>
      <c r="L310">
        <v>6.1</v>
      </c>
    </row>
    <row r="311" spans="1:12" ht="14.5" x14ac:dyDescent="0.35">
      <c r="A311" t="s">
        <v>637</v>
      </c>
      <c r="B311" t="s">
        <v>638</v>
      </c>
      <c r="C311" t="s">
        <v>69</v>
      </c>
      <c r="D311" t="s">
        <v>105</v>
      </c>
      <c r="E311">
        <v>5.0999999999999996</v>
      </c>
      <c r="F311">
        <v>98747</v>
      </c>
      <c r="G311">
        <v>1184964</v>
      </c>
      <c r="H311">
        <v>17.5</v>
      </c>
      <c r="I311">
        <v>207369</v>
      </c>
      <c r="J311">
        <v>1392333</v>
      </c>
      <c r="K311" t="s">
        <v>1655</v>
      </c>
      <c r="L311">
        <v>5.7</v>
      </c>
    </row>
    <row r="312" spans="1:12" ht="14.5" x14ac:dyDescent="0.35">
      <c r="A312" t="s">
        <v>639</v>
      </c>
      <c r="B312" t="s">
        <v>132</v>
      </c>
      <c r="C312" t="s">
        <v>159</v>
      </c>
      <c r="D312" t="s">
        <v>187</v>
      </c>
      <c r="E312">
        <v>1.3</v>
      </c>
      <c r="F312">
        <v>69799</v>
      </c>
      <c r="G312">
        <v>837588</v>
      </c>
      <c r="H312">
        <v>14.7</v>
      </c>
      <c r="I312">
        <v>123125</v>
      </c>
      <c r="J312">
        <v>960713</v>
      </c>
      <c r="K312" t="s">
        <v>1653</v>
      </c>
      <c r="L312">
        <v>10.5</v>
      </c>
    </row>
    <row r="313" spans="1:12" ht="14.5" x14ac:dyDescent="0.35">
      <c r="A313" t="s">
        <v>640</v>
      </c>
      <c r="B313" t="s">
        <v>641</v>
      </c>
      <c r="C313" t="s">
        <v>40</v>
      </c>
      <c r="D313" t="s">
        <v>90</v>
      </c>
      <c r="E313">
        <v>1.9</v>
      </c>
      <c r="F313">
        <v>56972</v>
      </c>
      <c r="G313">
        <v>683664</v>
      </c>
      <c r="H313">
        <v>9.6999999999999993</v>
      </c>
      <c r="I313">
        <v>66315</v>
      </c>
      <c r="J313">
        <v>749979</v>
      </c>
      <c r="K313" t="s">
        <v>1653</v>
      </c>
      <c r="L313">
        <v>6.9</v>
      </c>
    </row>
    <row r="314" spans="1:12" ht="14.5" x14ac:dyDescent="0.35">
      <c r="A314" t="s">
        <v>642</v>
      </c>
      <c r="B314" t="s">
        <v>643</v>
      </c>
      <c r="C314" t="s">
        <v>36</v>
      </c>
      <c r="D314" t="s">
        <v>37</v>
      </c>
      <c r="E314">
        <v>1.5</v>
      </c>
      <c r="F314">
        <v>92962</v>
      </c>
      <c r="G314">
        <v>1115544</v>
      </c>
      <c r="H314">
        <v>6.6</v>
      </c>
      <c r="I314">
        <v>73626</v>
      </c>
      <c r="J314">
        <v>1189170</v>
      </c>
      <c r="K314" t="s">
        <v>1653</v>
      </c>
      <c r="L314">
        <v>10.7</v>
      </c>
    </row>
    <row r="315" spans="1:12" ht="14.5" x14ac:dyDescent="0.35">
      <c r="A315" t="s">
        <v>644</v>
      </c>
      <c r="B315" t="s">
        <v>645</v>
      </c>
      <c r="C315" t="s">
        <v>56</v>
      </c>
      <c r="D315" t="s">
        <v>57</v>
      </c>
      <c r="E315">
        <v>6.1</v>
      </c>
      <c r="F315">
        <v>67306</v>
      </c>
      <c r="G315">
        <v>807672</v>
      </c>
      <c r="H315">
        <v>9.5</v>
      </c>
      <c r="I315">
        <v>76729</v>
      </c>
      <c r="J315">
        <v>884401</v>
      </c>
      <c r="K315" t="s">
        <v>1654</v>
      </c>
      <c r="L315">
        <v>8.4</v>
      </c>
    </row>
    <row r="316" spans="1:12" ht="14.5" x14ac:dyDescent="0.35">
      <c r="A316" t="s">
        <v>646</v>
      </c>
      <c r="B316" t="s">
        <v>647</v>
      </c>
      <c r="C316" t="s">
        <v>27</v>
      </c>
      <c r="D316" t="s">
        <v>76</v>
      </c>
      <c r="E316">
        <v>4.4000000000000004</v>
      </c>
      <c r="F316">
        <v>120743</v>
      </c>
      <c r="G316">
        <v>1448916</v>
      </c>
      <c r="H316">
        <v>10.5</v>
      </c>
      <c r="I316">
        <v>152136</v>
      </c>
      <c r="J316">
        <v>1601052</v>
      </c>
      <c r="K316" t="s">
        <v>1651</v>
      </c>
      <c r="L316">
        <v>3.7</v>
      </c>
    </row>
    <row r="317" spans="1:12" ht="14.5" x14ac:dyDescent="0.35">
      <c r="A317" t="s">
        <v>648</v>
      </c>
      <c r="B317" t="s">
        <v>316</v>
      </c>
      <c r="C317" t="s">
        <v>52</v>
      </c>
      <c r="D317" t="s">
        <v>102</v>
      </c>
      <c r="E317">
        <v>1.5</v>
      </c>
      <c r="F317">
        <v>97467</v>
      </c>
      <c r="G317">
        <v>1169604</v>
      </c>
      <c r="H317">
        <v>7.4</v>
      </c>
      <c r="I317">
        <v>86551</v>
      </c>
      <c r="J317">
        <v>1256155</v>
      </c>
      <c r="K317" t="s">
        <v>1655</v>
      </c>
      <c r="L317">
        <v>4.0999999999999996</v>
      </c>
    </row>
    <row r="318" spans="1:12" ht="14.5" x14ac:dyDescent="0.35">
      <c r="A318" t="s">
        <v>649</v>
      </c>
      <c r="B318" t="s">
        <v>39</v>
      </c>
      <c r="C318" t="s">
        <v>69</v>
      </c>
      <c r="D318" t="s">
        <v>150</v>
      </c>
      <c r="E318">
        <v>6.9</v>
      </c>
      <c r="F318">
        <v>86954</v>
      </c>
      <c r="G318">
        <v>1043448</v>
      </c>
      <c r="H318">
        <v>14.7</v>
      </c>
      <c r="I318">
        <v>153387</v>
      </c>
      <c r="J318">
        <v>1196835</v>
      </c>
      <c r="K318" t="s">
        <v>1653</v>
      </c>
      <c r="L318">
        <v>14.3</v>
      </c>
    </row>
    <row r="319" spans="1:12" ht="14.5" x14ac:dyDescent="0.35">
      <c r="A319" t="s">
        <v>650</v>
      </c>
      <c r="B319" t="s">
        <v>190</v>
      </c>
      <c r="C319" t="s">
        <v>21</v>
      </c>
      <c r="D319" t="s">
        <v>49</v>
      </c>
      <c r="E319">
        <v>4.7</v>
      </c>
      <c r="F319">
        <v>77436</v>
      </c>
      <c r="G319">
        <v>929232</v>
      </c>
      <c r="H319">
        <v>11.8</v>
      </c>
      <c r="I319">
        <v>109649</v>
      </c>
      <c r="J319">
        <v>1038881</v>
      </c>
      <c r="K319" t="s">
        <v>1653</v>
      </c>
      <c r="L319">
        <v>8.4</v>
      </c>
    </row>
    <row r="320" spans="1:12" ht="14.5" x14ac:dyDescent="0.35">
      <c r="A320" t="s">
        <v>651</v>
      </c>
      <c r="B320" t="s">
        <v>632</v>
      </c>
      <c r="C320" t="s">
        <v>45</v>
      </c>
      <c r="D320" t="s">
        <v>296</v>
      </c>
      <c r="E320">
        <v>1.2</v>
      </c>
      <c r="F320">
        <v>122936</v>
      </c>
      <c r="G320">
        <v>1475232</v>
      </c>
      <c r="H320">
        <v>15.8</v>
      </c>
      <c r="I320">
        <v>233087</v>
      </c>
      <c r="J320">
        <v>1708319</v>
      </c>
      <c r="K320" t="s">
        <v>1655</v>
      </c>
      <c r="L320">
        <v>4.0999999999999996</v>
      </c>
    </row>
    <row r="321" spans="1:12" ht="14.5" x14ac:dyDescent="0.35">
      <c r="A321" t="s">
        <v>652</v>
      </c>
      <c r="B321" t="s">
        <v>653</v>
      </c>
      <c r="C321" t="s">
        <v>69</v>
      </c>
      <c r="D321" t="s">
        <v>70</v>
      </c>
      <c r="E321">
        <v>4.3</v>
      </c>
      <c r="F321">
        <v>30009</v>
      </c>
      <c r="G321">
        <v>360108</v>
      </c>
      <c r="H321">
        <v>5.2</v>
      </c>
      <c r="I321">
        <v>18726</v>
      </c>
      <c r="J321">
        <v>378834</v>
      </c>
      <c r="K321" t="s">
        <v>1653</v>
      </c>
      <c r="L321">
        <v>6.2</v>
      </c>
    </row>
    <row r="322" spans="1:12" ht="14.5" x14ac:dyDescent="0.35">
      <c r="A322" t="s">
        <v>654</v>
      </c>
      <c r="B322" t="s">
        <v>581</v>
      </c>
      <c r="C322" t="s">
        <v>21</v>
      </c>
      <c r="D322" t="s">
        <v>153</v>
      </c>
      <c r="E322">
        <v>3.3</v>
      </c>
      <c r="F322">
        <v>59369</v>
      </c>
      <c r="G322">
        <v>712428</v>
      </c>
      <c r="H322">
        <v>14.5</v>
      </c>
      <c r="I322">
        <v>103302</v>
      </c>
      <c r="J322">
        <v>815730</v>
      </c>
      <c r="K322" t="s">
        <v>1653</v>
      </c>
      <c r="L322">
        <v>8.3000000000000007</v>
      </c>
    </row>
    <row r="323" spans="1:12" ht="14.5" x14ac:dyDescent="0.35">
      <c r="A323" t="s">
        <v>655</v>
      </c>
      <c r="B323" t="s">
        <v>656</v>
      </c>
      <c r="C323" t="s">
        <v>36</v>
      </c>
      <c r="D323" t="s">
        <v>84</v>
      </c>
      <c r="E323">
        <v>3.7</v>
      </c>
      <c r="F323">
        <v>68425</v>
      </c>
      <c r="G323">
        <v>821100</v>
      </c>
      <c r="H323">
        <v>8.6999999999999993</v>
      </c>
      <c r="I323">
        <v>71436</v>
      </c>
      <c r="J323">
        <v>892536</v>
      </c>
      <c r="K323" t="s">
        <v>1654</v>
      </c>
      <c r="L323">
        <v>10.199999999999999</v>
      </c>
    </row>
    <row r="324" spans="1:12" ht="14.5" x14ac:dyDescent="0.35">
      <c r="A324" t="s">
        <v>657</v>
      </c>
      <c r="B324" t="s">
        <v>658</v>
      </c>
      <c r="C324" t="s">
        <v>27</v>
      </c>
      <c r="D324" t="s">
        <v>76</v>
      </c>
      <c r="E324">
        <v>2.5</v>
      </c>
      <c r="F324">
        <v>69973</v>
      </c>
      <c r="G324">
        <v>839676</v>
      </c>
      <c r="H324">
        <v>4.7</v>
      </c>
      <c r="I324">
        <v>39465</v>
      </c>
      <c r="J324">
        <v>879141</v>
      </c>
      <c r="K324" t="s">
        <v>1655</v>
      </c>
      <c r="L324">
        <v>14.4</v>
      </c>
    </row>
    <row r="325" spans="1:12" ht="14.5" x14ac:dyDescent="0.35">
      <c r="A325" t="s">
        <v>659</v>
      </c>
      <c r="B325" t="s">
        <v>660</v>
      </c>
      <c r="C325" t="s">
        <v>40</v>
      </c>
      <c r="D325" t="s">
        <v>293</v>
      </c>
      <c r="E325">
        <v>1.4</v>
      </c>
      <c r="F325">
        <v>57002</v>
      </c>
      <c r="G325">
        <v>684024</v>
      </c>
      <c r="H325">
        <v>18</v>
      </c>
      <c r="I325">
        <v>123124</v>
      </c>
      <c r="J325">
        <v>807148</v>
      </c>
      <c r="K325" t="s">
        <v>1654</v>
      </c>
      <c r="L325">
        <v>12.6</v>
      </c>
    </row>
    <row r="326" spans="1:12" ht="14.5" x14ac:dyDescent="0.35">
      <c r="A326" t="s">
        <v>661</v>
      </c>
      <c r="B326" t="s">
        <v>246</v>
      </c>
      <c r="C326" t="s">
        <v>52</v>
      </c>
      <c r="D326" t="s">
        <v>498</v>
      </c>
      <c r="E326">
        <v>6</v>
      </c>
      <c r="F326">
        <v>53715</v>
      </c>
      <c r="G326">
        <v>644580</v>
      </c>
      <c r="H326">
        <v>13.7</v>
      </c>
      <c r="I326">
        <v>88307</v>
      </c>
      <c r="J326">
        <v>732887</v>
      </c>
      <c r="K326" t="s">
        <v>1650</v>
      </c>
      <c r="L326">
        <v>14.9</v>
      </c>
    </row>
    <row r="327" spans="1:12" ht="14.5" x14ac:dyDescent="0.35">
      <c r="A327" t="s">
        <v>662</v>
      </c>
      <c r="B327" t="s">
        <v>663</v>
      </c>
      <c r="C327" t="s">
        <v>56</v>
      </c>
      <c r="D327" t="s">
        <v>112</v>
      </c>
      <c r="E327">
        <v>4</v>
      </c>
      <c r="F327">
        <v>61728</v>
      </c>
      <c r="G327">
        <v>740736</v>
      </c>
      <c r="H327">
        <v>13</v>
      </c>
      <c r="I327">
        <v>96296</v>
      </c>
      <c r="J327">
        <v>837032</v>
      </c>
      <c r="K327" t="s">
        <v>1650</v>
      </c>
      <c r="L327">
        <v>6.8</v>
      </c>
    </row>
    <row r="328" spans="1:12" ht="14.5" x14ac:dyDescent="0.35">
      <c r="A328" t="s">
        <v>664</v>
      </c>
      <c r="B328" t="s">
        <v>665</v>
      </c>
      <c r="C328" t="s">
        <v>108</v>
      </c>
      <c r="D328" t="s">
        <v>206</v>
      </c>
      <c r="E328">
        <v>5.8</v>
      </c>
      <c r="F328">
        <v>46344</v>
      </c>
      <c r="G328">
        <v>556128</v>
      </c>
      <c r="H328">
        <v>15.2</v>
      </c>
      <c r="I328">
        <v>84531</v>
      </c>
      <c r="J328">
        <v>640659</v>
      </c>
      <c r="K328" t="s">
        <v>1651</v>
      </c>
      <c r="L328">
        <v>4.3</v>
      </c>
    </row>
    <row r="329" spans="1:12" ht="14.5" x14ac:dyDescent="0.35">
      <c r="A329" t="s">
        <v>666</v>
      </c>
      <c r="B329" t="s">
        <v>61</v>
      </c>
      <c r="C329" t="s">
        <v>108</v>
      </c>
      <c r="D329" t="s">
        <v>109</v>
      </c>
      <c r="E329">
        <v>7.4</v>
      </c>
      <c r="F329">
        <v>37742</v>
      </c>
      <c r="G329">
        <v>452904</v>
      </c>
      <c r="H329">
        <v>8.5</v>
      </c>
      <c r="I329">
        <v>38497</v>
      </c>
      <c r="J329">
        <v>491401</v>
      </c>
      <c r="K329" t="s">
        <v>1655</v>
      </c>
      <c r="L329">
        <v>10.5</v>
      </c>
    </row>
    <row r="330" spans="1:12" ht="14.5" x14ac:dyDescent="0.35">
      <c r="A330" t="s">
        <v>667</v>
      </c>
      <c r="B330" t="s">
        <v>192</v>
      </c>
      <c r="C330" t="s">
        <v>52</v>
      </c>
      <c r="D330" t="s">
        <v>224</v>
      </c>
      <c r="E330">
        <v>7</v>
      </c>
      <c r="F330">
        <v>120690</v>
      </c>
      <c r="G330">
        <v>1448280</v>
      </c>
      <c r="H330">
        <v>6.6</v>
      </c>
      <c r="I330">
        <v>95586</v>
      </c>
      <c r="J330">
        <v>1543866</v>
      </c>
      <c r="K330" t="s">
        <v>1655</v>
      </c>
      <c r="L330">
        <v>10.6</v>
      </c>
    </row>
    <row r="331" spans="1:12" ht="14.5" x14ac:dyDescent="0.35">
      <c r="A331" t="s">
        <v>668</v>
      </c>
      <c r="B331" t="s">
        <v>669</v>
      </c>
      <c r="C331" t="s">
        <v>69</v>
      </c>
      <c r="D331" t="s">
        <v>319</v>
      </c>
      <c r="E331">
        <v>7.1</v>
      </c>
      <c r="F331">
        <v>108980</v>
      </c>
      <c r="G331">
        <v>1307760</v>
      </c>
      <c r="H331">
        <v>15.1</v>
      </c>
      <c r="I331">
        <v>197472</v>
      </c>
      <c r="J331">
        <v>1505232</v>
      </c>
      <c r="K331" t="s">
        <v>1651</v>
      </c>
      <c r="L331">
        <v>9.6999999999999993</v>
      </c>
    </row>
    <row r="332" spans="1:12" ht="14.5" x14ac:dyDescent="0.35">
      <c r="A332" t="s">
        <v>670</v>
      </c>
      <c r="B332" t="s">
        <v>178</v>
      </c>
      <c r="C332" t="s">
        <v>108</v>
      </c>
      <c r="D332" t="s">
        <v>206</v>
      </c>
      <c r="E332">
        <v>1.8</v>
      </c>
      <c r="F332">
        <v>100305</v>
      </c>
      <c r="G332">
        <v>1203660</v>
      </c>
      <c r="H332">
        <v>13.5</v>
      </c>
      <c r="I332">
        <v>162494</v>
      </c>
      <c r="J332">
        <v>1366154</v>
      </c>
      <c r="K332" t="s">
        <v>1652</v>
      </c>
      <c r="L332">
        <v>3.6</v>
      </c>
    </row>
    <row r="333" spans="1:12" ht="14.5" x14ac:dyDescent="0.35">
      <c r="A333" t="s">
        <v>671</v>
      </c>
      <c r="B333" t="s">
        <v>340</v>
      </c>
      <c r="C333" t="s">
        <v>52</v>
      </c>
      <c r="D333" t="s">
        <v>102</v>
      </c>
      <c r="E333">
        <v>4.5</v>
      </c>
      <c r="F333">
        <v>30246</v>
      </c>
      <c r="G333">
        <v>362952</v>
      </c>
      <c r="H333">
        <v>9.1</v>
      </c>
      <c r="I333">
        <v>33029</v>
      </c>
      <c r="J333">
        <v>395981</v>
      </c>
      <c r="K333" t="s">
        <v>1654</v>
      </c>
      <c r="L333">
        <v>4.4000000000000004</v>
      </c>
    </row>
    <row r="334" spans="1:12" ht="14.5" x14ac:dyDescent="0.35">
      <c r="A334" t="s">
        <v>672</v>
      </c>
      <c r="B334" t="s">
        <v>673</v>
      </c>
      <c r="C334" t="s">
        <v>159</v>
      </c>
      <c r="D334" t="s">
        <v>160</v>
      </c>
      <c r="E334">
        <v>6.1</v>
      </c>
      <c r="F334">
        <v>59584</v>
      </c>
      <c r="G334">
        <v>715008</v>
      </c>
      <c r="H334">
        <v>16.899999999999999</v>
      </c>
      <c r="I334">
        <v>120836</v>
      </c>
      <c r="J334">
        <v>835844</v>
      </c>
      <c r="K334" t="s">
        <v>1653</v>
      </c>
      <c r="L334">
        <v>14.7</v>
      </c>
    </row>
    <row r="335" spans="1:12" ht="14.5" x14ac:dyDescent="0.35">
      <c r="A335" t="s">
        <v>674</v>
      </c>
      <c r="B335" t="s">
        <v>675</v>
      </c>
      <c r="C335" t="s">
        <v>27</v>
      </c>
      <c r="D335" t="s">
        <v>73</v>
      </c>
      <c r="E335">
        <v>3.3</v>
      </c>
      <c r="F335">
        <v>38357</v>
      </c>
      <c r="G335">
        <v>460284</v>
      </c>
      <c r="H335">
        <v>16.5</v>
      </c>
      <c r="I335">
        <v>75947</v>
      </c>
      <c r="J335">
        <v>536231</v>
      </c>
      <c r="K335" t="s">
        <v>1653</v>
      </c>
      <c r="L335">
        <v>7.2</v>
      </c>
    </row>
    <row r="336" spans="1:12" ht="14.5" x14ac:dyDescent="0.35">
      <c r="A336" t="s">
        <v>676</v>
      </c>
      <c r="B336" t="s">
        <v>677</v>
      </c>
      <c r="C336" t="s">
        <v>108</v>
      </c>
      <c r="D336" t="s">
        <v>109</v>
      </c>
      <c r="E336">
        <v>6.8</v>
      </c>
      <c r="F336">
        <v>113686</v>
      </c>
      <c r="G336">
        <v>1364232</v>
      </c>
      <c r="H336">
        <v>5.6</v>
      </c>
      <c r="I336">
        <v>76397</v>
      </c>
      <c r="J336">
        <v>1440629</v>
      </c>
      <c r="K336" t="s">
        <v>1651</v>
      </c>
      <c r="L336">
        <v>10.7</v>
      </c>
    </row>
    <row r="337" spans="1:12" ht="14.5" x14ac:dyDescent="0.35">
      <c r="A337" t="s">
        <v>678</v>
      </c>
      <c r="B337" t="s">
        <v>229</v>
      </c>
      <c r="C337" t="s">
        <v>21</v>
      </c>
      <c r="D337" t="s">
        <v>153</v>
      </c>
      <c r="E337">
        <v>1.5</v>
      </c>
      <c r="F337">
        <v>90390</v>
      </c>
      <c r="G337">
        <v>1084680</v>
      </c>
      <c r="H337">
        <v>8.5</v>
      </c>
      <c r="I337">
        <v>92198</v>
      </c>
      <c r="J337">
        <v>1176878</v>
      </c>
      <c r="K337" t="s">
        <v>1650</v>
      </c>
      <c r="L337">
        <v>13.1</v>
      </c>
    </row>
    <row r="338" spans="1:12" ht="14.5" x14ac:dyDescent="0.35">
      <c r="A338" t="s">
        <v>679</v>
      </c>
      <c r="B338" t="s">
        <v>51</v>
      </c>
      <c r="C338" t="s">
        <v>159</v>
      </c>
      <c r="D338" t="s">
        <v>160</v>
      </c>
      <c r="E338">
        <v>4</v>
      </c>
      <c r="F338">
        <v>102167</v>
      </c>
      <c r="G338">
        <v>1226004</v>
      </c>
      <c r="H338">
        <v>5.7</v>
      </c>
      <c r="I338">
        <v>69882</v>
      </c>
      <c r="J338">
        <v>1295886</v>
      </c>
      <c r="K338" t="s">
        <v>1652</v>
      </c>
      <c r="L338">
        <v>4.8</v>
      </c>
    </row>
    <row r="339" spans="1:12" ht="14.5" x14ac:dyDescent="0.35">
      <c r="A339" t="s">
        <v>680</v>
      </c>
      <c r="B339" t="s">
        <v>149</v>
      </c>
      <c r="C339" t="s">
        <v>27</v>
      </c>
      <c r="D339" t="s">
        <v>28</v>
      </c>
      <c r="E339">
        <v>1.4</v>
      </c>
      <c r="F339">
        <v>90324</v>
      </c>
      <c r="G339">
        <v>1083888</v>
      </c>
      <c r="H339">
        <v>14.6</v>
      </c>
      <c r="I339">
        <v>158248</v>
      </c>
      <c r="J339">
        <v>1242136</v>
      </c>
      <c r="K339" t="s">
        <v>1652</v>
      </c>
      <c r="L339">
        <v>6.2</v>
      </c>
    </row>
    <row r="340" spans="1:12" ht="14.5" x14ac:dyDescent="0.35">
      <c r="A340" t="s">
        <v>681</v>
      </c>
      <c r="B340" t="s">
        <v>682</v>
      </c>
      <c r="C340" t="s">
        <v>21</v>
      </c>
      <c r="D340" t="s">
        <v>163</v>
      </c>
      <c r="E340">
        <v>4.2</v>
      </c>
      <c r="F340">
        <v>30052</v>
      </c>
      <c r="G340">
        <v>360624</v>
      </c>
      <c r="H340">
        <v>15.1</v>
      </c>
      <c r="I340">
        <v>54454</v>
      </c>
      <c r="J340">
        <v>415078</v>
      </c>
      <c r="K340" t="s">
        <v>1654</v>
      </c>
      <c r="L340">
        <v>13</v>
      </c>
    </row>
    <row r="341" spans="1:12" ht="14.5" x14ac:dyDescent="0.35">
      <c r="A341" t="s">
        <v>683</v>
      </c>
      <c r="B341" t="s">
        <v>684</v>
      </c>
      <c r="C341" t="s">
        <v>159</v>
      </c>
      <c r="D341" t="s">
        <v>324</v>
      </c>
      <c r="E341">
        <v>5.9</v>
      </c>
      <c r="F341">
        <v>101919</v>
      </c>
      <c r="G341">
        <v>1223028</v>
      </c>
      <c r="H341">
        <v>11.7</v>
      </c>
      <c r="I341">
        <v>143094</v>
      </c>
      <c r="J341">
        <v>1366122</v>
      </c>
      <c r="K341" t="s">
        <v>1651</v>
      </c>
      <c r="L341">
        <v>3.3</v>
      </c>
    </row>
    <row r="342" spans="1:12" ht="14.5" x14ac:dyDescent="0.35">
      <c r="A342" t="s">
        <v>685</v>
      </c>
      <c r="B342" t="s">
        <v>404</v>
      </c>
      <c r="C342" t="s">
        <v>56</v>
      </c>
      <c r="D342" t="s">
        <v>57</v>
      </c>
      <c r="E342">
        <v>6.9</v>
      </c>
      <c r="F342">
        <v>93639</v>
      </c>
      <c r="G342">
        <v>1123668</v>
      </c>
      <c r="H342">
        <v>15.2</v>
      </c>
      <c r="I342">
        <v>170798</v>
      </c>
      <c r="J342">
        <v>1294466</v>
      </c>
      <c r="K342" t="s">
        <v>1651</v>
      </c>
      <c r="L342">
        <v>12.4</v>
      </c>
    </row>
    <row r="343" spans="1:12" ht="14.5" x14ac:dyDescent="0.35">
      <c r="A343" t="s">
        <v>686</v>
      </c>
      <c r="B343" t="s">
        <v>233</v>
      </c>
      <c r="C343" t="s">
        <v>52</v>
      </c>
      <c r="D343" t="s">
        <v>176</v>
      </c>
      <c r="E343">
        <v>6.9</v>
      </c>
      <c r="F343">
        <v>72642</v>
      </c>
      <c r="G343">
        <v>871704</v>
      </c>
      <c r="H343">
        <v>16.7</v>
      </c>
      <c r="I343">
        <v>145575</v>
      </c>
      <c r="J343">
        <v>1017279</v>
      </c>
      <c r="K343" t="s">
        <v>1652</v>
      </c>
      <c r="L343">
        <v>8.9</v>
      </c>
    </row>
    <row r="344" spans="1:12" ht="14.5" x14ac:dyDescent="0.35">
      <c r="A344" t="s">
        <v>687</v>
      </c>
      <c r="B344" t="s">
        <v>205</v>
      </c>
      <c r="C344" t="s">
        <v>45</v>
      </c>
      <c r="D344" t="s">
        <v>239</v>
      </c>
      <c r="E344">
        <v>4.7</v>
      </c>
      <c r="F344">
        <v>87054</v>
      </c>
      <c r="G344">
        <v>1044648</v>
      </c>
      <c r="H344">
        <v>17.3</v>
      </c>
      <c r="I344">
        <v>180724</v>
      </c>
      <c r="J344">
        <v>1225372</v>
      </c>
      <c r="K344" t="s">
        <v>1651</v>
      </c>
      <c r="L344">
        <v>7.6</v>
      </c>
    </row>
    <row r="345" spans="1:12" ht="14.5" x14ac:dyDescent="0.35">
      <c r="A345" t="s">
        <v>688</v>
      </c>
      <c r="B345" t="s">
        <v>332</v>
      </c>
      <c r="C345" t="s">
        <v>40</v>
      </c>
      <c r="D345" t="s">
        <v>65</v>
      </c>
      <c r="E345">
        <v>1.2</v>
      </c>
      <c r="F345">
        <v>114595</v>
      </c>
      <c r="G345">
        <v>1375140</v>
      </c>
      <c r="H345">
        <v>10.5</v>
      </c>
      <c r="I345">
        <v>144390</v>
      </c>
      <c r="J345">
        <v>1519530</v>
      </c>
      <c r="K345" t="s">
        <v>1650</v>
      </c>
      <c r="L345">
        <v>13.5</v>
      </c>
    </row>
    <row r="346" spans="1:12" ht="14.5" x14ac:dyDescent="0.35">
      <c r="A346" t="s">
        <v>689</v>
      </c>
      <c r="B346" t="s">
        <v>316</v>
      </c>
      <c r="C346" t="s">
        <v>45</v>
      </c>
      <c r="D346" t="s">
        <v>46</v>
      </c>
      <c r="E346">
        <v>6.8</v>
      </c>
      <c r="F346">
        <v>63123</v>
      </c>
      <c r="G346">
        <v>757476</v>
      </c>
      <c r="H346">
        <v>16.3</v>
      </c>
      <c r="I346">
        <v>123469</v>
      </c>
      <c r="J346">
        <v>880945</v>
      </c>
      <c r="K346" t="s">
        <v>1651</v>
      </c>
      <c r="L346">
        <v>12.2</v>
      </c>
    </row>
    <row r="347" spans="1:12" ht="14.5" x14ac:dyDescent="0.35">
      <c r="A347" t="s">
        <v>690</v>
      </c>
      <c r="B347" t="s">
        <v>691</v>
      </c>
      <c r="C347" t="s">
        <v>159</v>
      </c>
      <c r="D347" t="s">
        <v>324</v>
      </c>
      <c r="E347">
        <v>6.6</v>
      </c>
      <c r="F347">
        <v>39995</v>
      </c>
      <c r="G347">
        <v>479940</v>
      </c>
      <c r="H347">
        <v>10</v>
      </c>
      <c r="I347">
        <v>47994</v>
      </c>
      <c r="J347">
        <v>527934</v>
      </c>
      <c r="K347" t="s">
        <v>1655</v>
      </c>
      <c r="L347">
        <v>11.6</v>
      </c>
    </row>
    <row r="348" spans="1:12" ht="14.5" x14ac:dyDescent="0.35">
      <c r="A348" t="s">
        <v>692</v>
      </c>
      <c r="B348" t="s">
        <v>693</v>
      </c>
      <c r="C348" t="s">
        <v>108</v>
      </c>
      <c r="D348" t="s">
        <v>126</v>
      </c>
      <c r="E348">
        <v>6.3</v>
      </c>
      <c r="F348">
        <v>39442</v>
      </c>
      <c r="G348">
        <v>473304</v>
      </c>
      <c r="H348">
        <v>4.8</v>
      </c>
      <c r="I348">
        <v>22719</v>
      </c>
      <c r="J348">
        <v>496023</v>
      </c>
      <c r="K348" t="s">
        <v>1651</v>
      </c>
      <c r="L348">
        <v>6.5</v>
      </c>
    </row>
    <row r="349" spans="1:12" ht="14.5" x14ac:dyDescent="0.35">
      <c r="A349" t="s">
        <v>694</v>
      </c>
      <c r="B349" t="s">
        <v>537</v>
      </c>
      <c r="C349" t="s">
        <v>108</v>
      </c>
      <c r="D349" t="s">
        <v>206</v>
      </c>
      <c r="E349">
        <v>6.7</v>
      </c>
      <c r="F349">
        <v>74388</v>
      </c>
      <c r="G349">
        <v>892656</v>
      </c>
      <c r="H349">
        <v>9</v>
      </c>
      <c r="I349">
        <v>80339</v>
      </c>
      <c r="J349">
        <v>972995</v>
      </c>
      <c r="K349" t="s">
        <v>1654</v>
      </c>
      <c r="L349">
        <v>9.5</v>
      </c>
    </row>
    <row r="350" spans="1:12" ht="14.5" x14ac:dyDescent="0.35">
      <c r="A350" t="s">
        <v>695</v>
      </c>
      <c r="B350" t="s">
        <v>332</v>
      </c>
      <c r="C350" t="s">
        <v>45</v>
      </c>
      <c r="D350" t="s">
        <v>46</v>
      </c>
      <c r="E350">
        <v>4.5</v>
      </c>
      <c r="F350">
        <v>82238</v>
      </c>
      <c r="G350">
        <v>986856</v>
      </c>
      <c r="H350">
        <v>6.5</v>
      </c>
      <c r="I350">
        <v>64146</v>
      </c>
      <c r="J350">
        <v>1051002</v>
      </c>
      <c r="K350" t="s">
        <v>1650</v>
      </c>
      <c r="L350">
        <v>6.3</v>
      </c>
    </row>
    <row r="351" spans="1:12" ht="14.5" x14ac:dyDescent="0.35">
      <c r="A351" t="s">
        <v>696</v>
      </c>
      <c r="B351" t="s">
        <v>697</v>
      </c>
      <c r="C351" t="s">
        <v>27</v>
      </c>
      <c r="D351" t="s">
        <v>87</v>
      </c>
      <c r="E351">
        <v>5.8</v>
      </c>
      <c r="F351">
        <v>46198</v>
      </c>
      <c r="G351">
        <v>554376</v>
      </c>
      <c r="H351">
        <v>15.6</v>
      </c>
      <c r="I351">
        <v>86483</v>
      </c>
      <c r="J351">
        <v>640859</v>
      </c>
      <c r="K351" t="s">
        <v>1650</v>
      </c>
      <c r="L351">
        <v>4.2</v>
      </c>
    </row>
    <row r="352" spans="1:12" ht="14.5" x14ac:dyDescent="0.35">
      <c r="A352" t="s">
        <v>698</v>
      </c>
      <c r="B352" t="s">
        <v>699</v>
      </c>
      <c r="C352" t="s">
        <v>36</v>
      </c>
      <c r="D352" t="s">
        <v>84</v>
      </c>
      <c r="E352">
        <v>5.9</v>
      </c>
      <c r="F352">
        <v>84973</v>
      </c>
      <c r="G352">
        <v>1019676</v>
      </c>
      <c r="H352">
        <v>8.1</v>
      </c>
      <c r="I352">
        <v>82594</v>
      </c>
      <c r="J352">
        <v>1102270</v>
      </c>
      <c r="K352" t="s">
        <v>1655</v>
      </c>
      <c r="L352">
        <v>3.5</v>
      </c>
    </row>
    <row r="353" spans="1:12" ht="14.5" x14ac:dyDescent="0.35">
      <c r="A353" t="s">
        <v>700</v>
      </c>
      <c r="B353" t="s">
        <v>701</v>
      </c>
      <c r="C353" t="s">
        <v>36</v>
      </c>
      <c r="D353" t="s">
        <v>84</v>
      </c>
      <c r="E353">
        <v>4.9000000000000004</v>
      </c>
      <c r="F353">
        <v>60321</v>
      </c>
      <c r="G353">
        <v>723852</v>
      </c>
      <c r="H353">
        <v>12.7</v>
      </c>
      <c r="I353">
        <v>91929</v>
      </c>
      <c r="J353">
        <v>815781</v>
      </c>
      <c r="K353" t="s">
        <v>1655</v>
      </c>
      <c r="L353">
        <v>5.4</v>
      </c>
    </row>
    <row r="354" spans="1:12" ht="14.5" x14ac:dyDescent="0.35">
      <c r="A354" t="s">
        <v>702</v>
      </c>
      <c r="B354" t="s">
        <v>703</v>
      </c>
      <c r="C354" t="s">
        <v>45</v>
      </c>
      <c r="D354" t="s">
        <v>234</v>
      </c>
      <c r="E354">
        <v>6.2</v>
      </c>
      <c r="F354">
        <v>67932</v>
      </c>
      <c r="G354">
        <v>815184</v>
      </c>
      <c r="H354">
        <v>11.2</v>
      </c>
      <c r="I354">
        <v>91301</v>
      </c>
      <c r="J354">
        <v>906485</v>
      </c>
      <c r="K354" t="s">
        <v>1653</v>
      </c>
      <c r="L354">
        <v>13.7</v>
      </c>
    </row>
    <row r="355" spans="1:12" ht="14.5" x14ac:dyDescent="0.35">
      <c r="A355" t="s">
        <v>704</v>
      </c>
      <c r="B355" t="s">
        <v>705</v>
      </c>
      <c r="C355" t="s">
        <v>40</v>
      </c>
      <c r="D355" t="s">
        <v>65</v>
      </c>
      <c r="E355">
        <v>4</v>
      </c>
      <c r="F355">
        <v>84441</v>
      </c>
      <c r="G355">
        <v>1013292</v>
      </c>
      <c r="H355">
        <v>15.4</v>
      </c>
      <c r="I355">
        <v>156047</v>
      </c>
      <c r="J355">
        <v>1169339</v>
      </c>
      <c r="K355" t="s">
        <v>1655</v>
      </c>
      <c r="L355">
        <v>5.7</v>
      </c>
    </row>
    <row r="356" spans="1:12" ht="14.5" x14ac:dyDescent="0.35">
      <c r="A356" t="s">
        <v>706</v>
      </c>
      <c r="B356" t="s">
        <v>569</v>
      </c>
      <c r="C356" t="s">
        <v>159</v>
      </c>
      <c r="D356" t="s">
        <v>269</v>
      </c>
      <c r="E356">
        <v>2.4</v>
      </c>
      <c r="F356">
        <v>69180</v>
      </c>
      <c r="G356">
        <v>830160</v>
      </c>
      <c r="H356">
        <v>10.4</v>
      </c>
      <c r="I356">
        <v>86337</v>
      </c>
      <c r="J356">
        <v>916497</v>
      </c>
      <c r="K356" t="s">
        <v>1650</v>
      </c>
      <c r="L356">
        <v>4.8</v>
      </c>
    </row>
    <row r="357" spans="1:12" ht="14.5" x14ac:dyDescent="0.35">
      <c r="A357" t="s">
        <v>707</v>
      </c>
      <c r="B357" t="s">
        <v>123</v>
      </c>
      <c r="C357" t="s">
        <v>40</v>
      </c>
      <c r="D357" t="s">
        <v>293</v>
      </c>
      <c r="E357">
        <v>5</v>
      </c>
      <c r="F357">
        <v>70714</v>
      </c>
      <c r="G357">
        <v>848568</v>
      </c>
      <c r="H357">
        <v>8.1</v>
      </c>
      <c r="I357">
        <v>68734</v>
      </c>
      <c r="J357">
        <v>917302</v>
      </c>
      <c r="K357" t="s">
        <v>1654</v>
      </c>
      <c r="L357">
        <v>7.2</v>
      </c>
    </row>
    <row r="358" spans="1:12" ht="14.5" x14ac:dyDescent="0.35">
      <c r="A358" t="s">
        <v>708</v>
      </c>
      <c r="B358" t="s">
        <v>346</v>
      </c>
      <c r="C358" t="s">
        <v>56</v>
      </c>
      <c r="D358" t="s">
        <v>57</v>
      </c>
      <c r="E358">
        <v>5.5</v>
      </c>
      <c r="F358">
        <v>105624</v>
      </c>
      <c r="G358">
        <v>1267488</v>
      </c>
      <c r="H358">
        <v>13.4</v>
      </c>
      <c r="I358">
        <v>169843</v>
      </c>
      <c r="J358">
        <v>1437331</v>
      </c>
      <c r="K358" t="s">
        <v>1652</v>
      </c>
      <c r="L358">
        <v>4.9000000000000004</v>
      </c>
    </row>
    <row r="359" spans="1:12" ht="14.5" x14ac:dyDescent="0.35">
      <c r="A359" t="s">
        <v>709</v>
      </c>
      <c r="B359" t="s">
        <v>273</v>
      </c>
      <c r="C359" t="s">
        <v>27</v>
      </c>
      <c r="D359" t="s">
        <v>28</v>
      </c>
      <c r="E359">
        <v>2.8</v>
      </c>
      <c r="F359">
        <v>66185</v>
      </c>
      <c r="G359">
        <v>794220</v>
      </c>
      <c r="H359">
        <v>13.1</v>
      </c>
      <c r="I359">
        <v>104043</v>
      </c>
      <c r="J359">
        <v>898263</v>
      </c>
      <c r="K359" t="s">
        <v>1654</v>
      </c>
      <c r="L359">
        <v>3.8</v>
      </c>
    </row>
    <row r="360" spans="1:12" ht="14.5" x14ac:dyDescent="0.35">
      <c r="A360" t="s">
        <v>710</v>
      </c>
      <c r="B360" t="s">
        <v>327</v>
      </c>
      <c r="C360" t="s">
        <v>56</v>
      </c>
      <c r="D360" t="s">
        <v>217</v>
      </c>
      <c r="E360">
        <v>5</v>
      </c>
      <c r="F360">
        <v>61119</v>
      </c>
      <c r="G360">
        <v>733428</v>
      </c>
      <c r="H360">
        <v>17</v>
      </c>
      <c r="I360">
        <v>124683</v>
      </c>
      <c r="J360">
        <v>858111</v>
      </c>
      <c r="K360" t="s">
        <v>1654</v>
      </c>
      <c r="L360">
        <v>6.5</v>
      </c>
    </row>
    <row r="361" spans="1:12" ht="14.5" x14ac:dyDescent="0.35">
      <c r="A361" t="s">
        <v>711</v>
      </c>
      <c r="B361" t="s">
        <v>712</v>
      </c>
      <c r="C361" t="s">
        <v>56</v>
      </c>
      <c r="D361" t="s">
        <v>217</v>
      </c>
      <c r="E361">
        <v>1</v>
      </c>
      <c r="F361">
        <v>90814</v>
      </c>
      <c r="G361">
        <v>1089768</v>
      </c>
      <c r="H361">
        <v>11.7</v>
      </c>
      <c r="I361">
        <v>127503</v>
      </c>
      <c r="J361">
        <v>1217271</v>
      </c>
      <c r="K361" t="s">
        <v>1654</v>
      </c>
      <c r="L361">
        <v>4.7</v>
      </c>
    </row>
    <row r="362" spans="1:12" ht="14.5" x14ac:dyDescent="0.35">
      <c r="A362" t="s">
        <v>713</v>
      </c>
      <c r="B362" t="s">
        <v>714</v>
      </c>
      <c r="C362" t="s">
        <v>27</v>
      </c>
      <c r="D362" t="s">
        <v>76</v>
      </c>
      <c r="E362">
        <v>1.7</v>
      </c>
      <c r="F362">
        <v>105833</v>
      </c>
      <c r="G362">
        <v>1269996</v>
      </c>
      <c r="H362">
        <v>14.2</v>
      </c>
      <c r="I362">
        <v>180339</v>
      </c>
      <c r="J362">
        <v>1450335</v>
      </c>
      <c r="K362" t="s">
        <v>1653</v>
      </c>
      <c r="L362">
        <v>4.5999999999999996</v>
      </c>
    </row>
    <row r="363" spans="1:12" ht="14.5" x14ac:dyDescent="0.35">
      <c r="A363" t="s">
        <v>715</v>
      </c>
      <c r="B363" t="s">
        <v>712</v>
      </c>
      <c r="C363" t="s">
        <v>21</v>
      </c>
      <c r="D363" t="s">
        <v>133</v>
      </c>
      <c r="E363">
        <v>0.9</v>
      </c>
      <c r="F363">
        <v>33806</v>
      </c>
      <c r="G363">
        <v>405672</v>
      </c>
      <c r="H363">
        <v>15.5</v>
      </c>
      <c r="I363">
        <v>62879</v>
      </c>
      <c r="J363">
        <v>468551</v>
      </c>
      <c r="K363" t="s">
        <v>1655</v>
      </c>
      <c r="L363">
        <v>9.5</v>
      </c>
    </row>
    <row r="364" spans="1:12" ht="14.5" x14ac:dyDescent="0.35">
      <c r="A364" t="s">
        <v>716</v>
      </c>
      <c r="B364" t="s">
        <v>717</v>
      </c>
      <c r="C364" t="s">
        <v>40</v>
      </c>
      <c r="D364" t="s">
        <v>65</v>
      </c>
      <c r="E364">
        <v>6.6</v>
      </c>
      <c r="F364">
        <v>61913</v>
      </c>
      <c r="G364">
        <v>742956</v>
      </c>
      <c r="H364">
        <v>7.1</v>
      </c>
      <c r="I364">
        <v>52750</v>
      </c>
      <c r="J364">
        <v>795706</v>
      </c>
      <c r="K364" t="s">
        <v>1650</v>
      </c>
      <c r="L364">
        <v>5.0999999999999996</v>
      </c>
    </row>
    <row r="365" spans="1:12" ht="14.5" x14ac:dyDescent="0.35">
      <c r="A365" t="s">
        <v>718</v>
      </c>
      <c r="B365" t="s">
        <v>442</v>
      </c>
      <c r="C365" t="s">
        <v>27</v>
      </c>
      <c r="D365" t="s">
        <v>87</v>
      </c>
      <c r="E365">
        <v>3.4</v>
      </c>
      <c r="F365">
        <v>88694</v>
      </c>
      <c r="G365">
        <v>1064328</v>
      </c>
      <c r="H365">
        <v>7.4</v>
      </c>
      <c r="I365">
        <v>78760</v>
      </c>
      <c r="J365">
        <v>1143088</v>
      </c>
      <c r="K365" t="s">
        <v>1652</v>
      </c>
      <c r="L365">
        <v>13.2</v>
      </c>
    </row>
    <row r="366" spans="1:12" ht="14.5" x14ac:dyDescent="0.35">
      <c r="A366" t="s">
        <v>719</v>
      </c>
      <c r="B366" t="s">
        <v>720</v>
      </c>
      <c r="C366" t="s">
        <v>27</v>
      </c>
      <c r="D366" t="s">
        <v>87</v>
      </c>
      <c r="E366">
        <v>2.2999999999999998</v>
      </c>
      <c r="F366">
        <v>41703</v>
      </c>
      <c r="G366">
        <v>500436</v>
      </c>
      <c r="H366">
        <v>14.2</v>
      </c>
      <c r="I366">
        <v>71062</v>
      </c>
      <c r="J366">
        <v>571498</v>
      </c>
      <c r="K366" t="s">
        <v>1653</v>
      </c>
      <c r="L366">
        <v>7.9</v>
      </c>
    </row>
    <row r="367" spans="1:12" ht="14.5" x14ac:dyDescent="0.35">
      <c r="A367" t="s">
        <v>721</v>
      </c>
      <c r="B367" t="s">
        <v>722</v>
      </c>
      <c r="C367" t="s">
        <v>21</v>
      </c>
      <c r="D367" t="s">
        <v>22</v>
      </c>
      <c r="E367">
        <v>4.2</v>
      </c>
      <c r="F367">
        <v>72966</v>
      </c>
      <c r="G367">
        <v>875592</v>
      </c>
      <c r="H367">
        <v>11</v>
      </c>
      <c r="I367">
        <v>96315</v>
      </c>
      <c r="J367">
        <v>971907</v>
      </c>
      <c r="K367" t="s">
        <v>1655</v>
      </c>
      <c r="L367">
        <v>7.9</v>
      </c>
    </row>
    <row r="368" spans="1:12" ht="14.5" x14ac:dyDescent="0.35">
      <c r="A368" t="s">
        <v>723</v>
      </c>
      <c r="B368" t="s">
        <v>724</v>
      </c>
      <c r="C368" t="s">
        <v>27</v>
      </c>
      <c r="D368" t="s">
        <v>76</v>
      </c>
      <c r="E368">
        <v>6.7</v>
      </c>
      <c r="F368">
        <v>85431</v>
      </c>
      <c r="G368">
        <v>1025172</v>
      </c>
      <c r="H368">
        <v>14</v>
      </c>
      <c r="I368">
        <v>143524</v>
      </c>
      <c r="J368">
        <v>1168696</v>
      </c>
      <c r="K368" t="s">
        <v>1651</v>
      </c>
      <c r="L368">
        <v>14.6</v>
      </c>
    </row>
    <row r="369" spans="1:12" ht="14.5" x14ac:dyDescent="0.35">
      <c r="A369" t="s">
        <v>725</v>
      </c>
      <c r="B369" t="s">
        <v>726</v>
      </c>
      <c r="C369" t="s">
        <v>40</v>
      </c>
      <c r="D369" t="s">
        <v>41</v>
      </c>
      <c r="E369">
        <v>6.5</v>
      </c>
      <c r="F369">
        <v>30960</v>
      </c>
      <c r="G369">
        <v>371520</v>
      </c>
      <c r="H369">
        <v>17.899999999999999</v>
      </c>
      <c r="I369">
        <v>66502</v>
      </c>
      <c r="J369">
        <v>438022</v>
      </c>
      <c r="K369" t="s">
        <v>1655</v>
      </c>
      <c r="L369">
        <v>6.9</v>
      </c>
    </row>
    <row r="370" spans="1:12" ht="14.5" x14ac:dyDescent="0.35">
      <c r="A370" t="s">
        <v>727</v>
      </c>
      <c r="B370" t="s">
        <v>621</v>
      </c>
      <c r="C370" t="s">
        <v>21</v>
      </c>
      <c r="D370" t="s">
        <v>133</v>
      </c>
      <c r="E370">
        <v>5.8</v>
      </c>
      <c r="F370">
        <v>100339</v>
      </c>
      <c r="G370">
        <v>1204068</v>
      </c>
      <c r="H370">
        <v>9.6999999999999993</v>
      </c>
      <c r="I370">
        <v>116795</v>
      </c>
      <c r="J370">
        <v>1320863</v>
      </c>
      <c r="K370" t="s">
        <v>1650</v>
      </c>
      <c r="L370">
        <v>13.2</v>
      </c>
    </row>
    <row r="371" spans="1:12" ht="14.5" x14ac:dyDescent="0.35">
      <c r="A371" t="s">
        <v>728</v>
      </c>
      <c r="B371" t="s">
        <v>729</v>
      </c>
      <c r="C371" t="s">
        <v>27</v>
      </c>
      <c r="D371" t="s">
        <v>76</v>
      </c>
      <c r="E371">
        <v>3.2</v>
      </c>
      <c r="F371">
        <v>110543</v>
      </c>
      <c r="G371">
        <v>1326516</v>
      </c>
      <c r="H371">
        <v>10.1</v>
      </c>
      <c r="I371">
        <v>133978</v>
      </c>
      <c r="J371">
        <v>1460494</v>
      </c>
      <c r="K371" t="s">
        <v>1653</v>
      </c>
      <c r="L371">
        <v>13.2</v>
      </c>
    </row>
    <row r="372" spans="1:12" ht="14.5" x14ac:dyDescent="0.35">
      <c r="A372" t="s">
        <v>730</v>
      </c>
      <c r="B372" t="s">
        <v>184</v>
      </c>
      <c r="C372" t="s">
        <v>56</v>
      </c>
      <c r="D372" t="s">
        <v>217</v>
      </c>
      <c r="E372">
        <v>2.7</v>
      </c>
      <c r="F372">
        <v>105621</v>
      </c>
      <c r="G372">
        <v>1267452</v>
      </c>
      <c r="H372">
        <v>16.3</v>
      </c>
      <c r="I372">
        <v>206595</v>
      </c>
      <c r="J372">
        <v>1474047</v>
      </c>
      <c r="K372" t="s">
        <v>1653</v>
      </c>
      <c r="L372">
        <v>7.5</v>
      </c>
    </row>
    <row r="373" spans="1:12" ht="14.5" x14ac:dyDescent="0.35">
      <c r="A373" t="s">
        <v>731</v>
      </c>
      <c r="B373" t="s">
        <v>732</v>
      </c>
      <c r="C373" t="s">
        <v>52</v>
      </c>
      <c r="D373" t="s">
        <v>53</v>
      </c>
      <c r="E373">
        <v>4.5999999999999996</v>
      </c>
      <c r="F373">
        <v>120243</v>
      </c>
      <c r="G373">
        <v>1442916</v>
      </c>
      <c r="H373">
        <v>11.9</v>
      </c>
      <c r="I373">
        <v>171707</v>
      </c>
      <c r="J373">
        <v>1614623</v>
      </c>
      <c r="K373" t="s">
        <v>1653</v>
      </c>
      <c r="L373">
        <v>8.1</v>
      </c>
    </row>
    <row r="374" spans="1:12" ht="14.5" x14ac:dyDescent="0.35">
      <c r="A374" t="s">
        <v>733</v>
      </c>
      <c r="B374" t="s">
        <v>734</v>
      </c>
      <c r="C374" t="s">
        <v>45</v>
      </c>
      <c r="D374" t="s">
        <v>296</v>
      </c>
      <c r="E374">
        <v>4.0999999999999996</v>
      </c>
      <c r="F374">
        <v>53830</v>
      </c>
      <c r="G374">
        <v>645960</v>
      </c>
      <c r="H374">
        <v>11.9</v>
      </c>
      <c r="I374">
        <v>76869</v>
      </c>
      <c r="J374">
        <v>722829</v>
      </c>
      <c r="K374" t="s">
        <v>1652</v>
      </c>
      <c r="L374">
        <v>14.6</v>
      </c>
    </row>
    <row r="375" spans="1:12" ht="14.5" x14ac:dyDescent="0.35">
      <c r="A375" t="s">
        <v>735</v>
      </c>
      <c r="B375" t="s">
        <v>139</v>
      </c>
      <c r="C375" t="s">
        <v>36</v>
      </c>
      <c r="D375" t="s">
        <v>84</v>
      </c>
      <c r="E375">
        <v>0.9</v>
      </c>
      <c r="F375">
        <v>79451</v>
      </c>
      <c r="G375">
        <v>953412</v>
      </c>
      <c r="H375">
        <v>7.4</v>
      </c>
      <c r="I375">
        <v>70552</v>
      </c>
      <c r="J375">
        <v>1023964</v>
      </c>
      <c r="K375" t="s">
        <v>1650</v>
      </c>
      <c r="L375">
        <v>6</v>
      </c>
    </row>
    <row r="376" spans="1:12" ht="14.5" x14ac:dyDescent="0.35">
      <c r="A376" t="s">
        <v>736</v>
      </c>
      <c r="B376" t="s">
        <v>737</v>
      </c>
      <c r="C376" t="s">
        <v>40</v>
      </c>
      <c r="D376" t="s">
        <v>293</v>
      </c>
      <c r="E376">
        <v>4.4000000000000004</v>
      </c>
      <c r="F376">
        <v>108541</v>
      </c>
      <c r="G376">
        <v>1302492</v>
      </c>
      <c r="H376">
        <v>7.6</v>
      </c>
      <c r="I376">
        <v>98989</v>
      </c>
      <c r="J376">
        <v>1401481</v>
      </c>
      <c r="K376" t="s">
        <v>1650</v>
      </c>
      <c r="L376">
        <v>12.3</v>
      </c>
    </row>
    <row r="377" spans="1:12" ht="14.5" x14ac:dyDescent="0.35">
      <c r="A377" t="s">
        <v>738</v>
      </c>
      <c r="B377" t="s">
        <v>739</v>
      </c>
      <c r="C377" t="s">
        <v>159</v>
      </c>
      <c r="D377" t="s">
        <v>269</v>
      </c>
      <c r="E377">
        <v>4.3</v>
      </c>
      <c r="F377">
        <v>43328</v>
      </c>
      <c r="G377">
        <v>519936</v>
      </c>
      <c r="H377">
        <v>12.5</v>
      </c>
      <c r="I377">
        <v>64992</v>
      </c>
      <c r="J377">
        <v>584928</v>
      </c>
      <c r="K377" t="s">
        <v>1653</v>
      </c>
      <c r="L377">
        <v>5.6</v>
      </c>
    </row>
    <row r="378" spans="1:12" ht="14.5" x14ac:dyDescent="0.35">
      <c r="A378" t="s">
        <v>740</v>
      </c>
      <c r="B378" t="s">
        <v>712</v>
      </c>
      <c r="C378" t="s">
        <v>159</v>
      </c>
      <c r="D378" t="s">
        <v>187</v>
      </c>
      <c r="E378">
        <v>1.1000000000000001</v>
      </c>
      <c r="F378">
        <v>46070</v>
      </c>
      <c r="G378">
        <v>552840</v>
      </c>
      <c r="H378">
        <v>10.5</v>
      </c>
      <c r="I378">
        <v>58048</v>
      </c>
      <c r="J378">
        <v>610888</v>
      </c>
      <c r="K378" t="s">
        <v>1650</v>
      </c>
      <c r="L378">
        <v>9.6</v>
      </c>
    </row>
    <row r="379" spans="1:12" ht="14.5" x14ac:dyDescent="0.35">
      <c r="A379" t="s">
        <v>741</v>
      </c>
      <c r="B379" t="s">
        <v>742</v>
      </c>
      <c r="C379" t="s">
        <v>56</v>
      </c>
      <c r="D379" t="s">
        <v>112</v>
      </c>
      <c r="E379">
        <v>5.8</v>
      </c>
      <c r="F379">
        <v>100733</v>
      </c>
      <c r="G379">
        <v>1208796</v>
      </c>
      <c r="H379">
        <v>8.6</v>
      </c>
      <c r="I379">
        <v>103956</v>
      </c>
      <c r="J379">
        <v>1312752</v>
      </c>
      <c r="K379" t="s">
        <v>1653</v>
      </c>
      <c r="L379">
        <v>6.1</v>
      </c>
    </row>
    <row r="380" spans="1:12" ht="14.5" x14ac:dyDescent="0.35">
      <c r="A380" t="s">
        <v>743</v>
      </c>
      <c r="B380" t="s">
        <v>643</v>
      </c>
      <c r="C380" t="s">
        <v>36</v>
      </c>
      <c r="D380" t="s">
        <v>93</v>
      </c>
      <c r="E380">
        <v>2.7</v>
      </c>
      <c r="F380">
        <v>109187</v>
      </c>
      <c r="G380">
        <v>1310244</v>
      </c>
      <c r="H380">
        <v>12.3</v>
      </c>
      <c r="I380">
        <v>161160</v>
      </c>
      <c r="J380">
        <v>1471404</v>
      </c>
      <c r="K380" t="s">
        <v>1650</v>
      </c>
      <c r="L380">
        <v>3.7</v>
      </c>
    </row>
    <row r="381" spans="1:12" ht="14.5" x14ac:dyDescent="0.35">
      <c r="A381" t="s">
        <v>744</v>
      </c>
      <c r="B381" t="s">
        <v>745</v>
      </c>
      <c r="C381" t="s">
        <v>52</v>
      </c>
      <c r="D381" t="s">
        <v>224</v>
      </c>
      <c r="E381">
        <v>3.4</v>
      </c>
      <c r="F381">
        <v>101607</v>
      </c>
      <c r="G381">
        <v>1219284</v>
      </c>
      <c r="H381">
        <v>15.3</v>
      </c>
      <c r="I381">
        <v>186550</v>
      </c>
      <c r="J381">
        <v>1405834</v>
      </c>
      <c r="K381" t="s">
        <v>1652</v>
      </c>
      <c r="L381">
        <v>3.7</v>
      </c>
    </row>
    <row r="382" spans="1:12" ht="14.5" x14ac:dyDescent="0.35">
      <c r="A382" t="s">
        <v>746</v>
      </c>
      <c r="B382" t="s">
        <v>747</v>
      </c>
      <c r="C382" t="s">
        <v>56</v>
      </c>
      <c r="D382" t="s">
        <v>217</v>
      </c>
      <c r="E382">
        <v>2.2999999999999998</v>
      </c>
      <c r="F382">
        <v>49922</v>
      </c>
      <c r="G382">
        <v>599064</v>
      </c>
      <c r="H382">
        <v>15.4</v>
      </c>
      <c r="I382">
        <v>92256</v>
      </c>
      <c r="J382">
        <v>691320</v>
      </c>
      <c r="K382" t="s">
        <v>1651</v>
      </c>
      <c r="L382">
        <v>4.4000000000000004</v>
      </c>
    </row>
    <row r="383" spans="1:12" ht="14.5" x14ac:dyDescent="0.35">
      <c r="A383" t="s">
        <v>748</v>
      </c>
      <c r="B383" t="s">
        <v>585</v>
      </c>
      <c r="C383" t="s">
        <v>52</v>
      </c>
      <c r="D383" t="s">
        <v>195</v>
      </c>
      <c r="E383">
        <v>4.7</v>
      </c>
      <c r="F383">
        <v>57470</v>
      </c>
      <c r="G383">
        <v>689640</v>
      </c>
      <c r="H383">
        <v>17.899999999999999</v>
      </c>
      <c r="I383">
        <v>123446</v>
      </c>
      <c r="J383">
        <v>813086</v>
      </c>
      <c r="K383" t="s">
        <v>1655</v>
      </c>
      <c r="L383">
        <v>10.9</v>
      </c>
    </row>
    <row r="384" spans="1:12" ht="14.5" x14ac:dyDescent="0.35">
      <c r="A384" t="s">
        <v>749</v>
      </c>
      <c r="B384" t="s">
        <v>139</v>
      </c>
      <c r="C384" t="s">
        <v>159</v>
      </c>
      <c r="D384" t="s">
        <v>324</v>
      </c>
      <c r="E384">
        <v>2</v>
      </c>
      <c r="F384">
        <v>42838</v>
      </c>
      <c r="G384">
        <v>514056</v>
      </c>
      <c r="H384">
        <v>15.5</v>
      </c>
      <c r="I384">
        <v>79679</v>
      </c>
      <c r="J384">
        <v>593735</v>
      </c>
      <c r="K384" t="s">
        <v>1650</v>
      </c>
      <c r="L384">
        <v>3.4</v>
      </c>
    </row>
    <row r="385" spans="1:12" ht="14.5" x14ac:dyDescent="0.35">
      <c r="A385" t="s">
        <v>750</v>
      </c>
      <c r="B385" t="s">
        <v>751</v>
      </c>
      <c r="C385" t="s">
        <v>36</v>
      </c>
      <c r="D385" t="s">
        <v>62</v>
      </c>
      <c r="E385">
        <v>7.3</v>
      </c>
      <c r="F385">
        <v>122238</v>
      </c>
      <c r="G385">
        <v>1466856</v>
      </c>
      <c r="H385">
        <v>18</v>
      </c>
      <c r="I385">
        <v>264034</v>
      </c>
      <c r="J385">
        <v>1730890</v>
      </c>
      <c r="K385" t="s">
        <v>1652</v>
      </c>
      <c r="L385">
        <v>9.6999999999999993</v>
      </c>
    </row>
    <row r="386" spans="1:12" ht="14.5" x14ac:dyDescent="0.35">
      <c r="A386" t="s">
        <v>752</v>
      </c>
      <c r="B386" t="s">
        <v>344</v>
      </c>
      <c r="C386" t="s">
        <v>69</v>
      </c>
      <c r="D386" t="s">
        <v>70</v>
      </c>
      <c r="E386">
        <v>4.4000000000000004</v>
      </c>
      <c r="F386">
        <v>32224</v>
      </c>
      <c r="G386">
        <v>386688</v>
      </c>
      <c r="H386">
        <v>4.2</v>
      </c>
      <c r="I386">
        <v>16241</v>
      </c>
      <c r="J386">
        <v>402929</v>
      </c>
      <c r="K386" t="s">
        <v>1654</v>
      </c>
      <c r="L386">
        <v>15</v>
      </c>
    </row>
    <row r="387" spans="1:12" ht="14.5" x14ac:dyDescent="0.35">
      <c r="A387" t="s">
        <v>753</v>
      </c>
      <c r="B387" t="s">
        <v>574</v>
      </c>
      <c r="C387" t="s">
        <v>40</v>
      </c>
      <c r="D387" t="s">
        <v>41</v>
      </c>
      <c r="E387">
        <v>5.0999999999999996</v>
      </c>
      <c r="F387">
        <v>55509</v>
      </c>
      <c r="G387">
        <v>666108</v>
      </c>
      <c r="H387">
        <v>11.1</v>
      </c>
      <c r="I387">
        <v>73938</v>
      </c>
      <c r="J387">
        <v>740046</v>
      </c>
      <c r="K387" t="s">
        <v>1651</v>
      </c>
      <c r="L387">
        <v>7.9</v>
      </c>
    </row>
    <row r="388" spans="1:12" ht="14.5" x14ac:dyDescent="0.35">
      <c r="A388" t="s">
        <v>754</v>
      </c>
      <c r="B388" t="s">
        <v>338</v>
      </c>
      <c r="C388" t="s">
        <v>40</v>
      </c>
      <c r="D388" t="s">
        <v>65</v>
      </c>
      <c r="E388">
        <v>5.4</v>
      </c>
      <c r="F388">
        <v>55124</v>
      </c>
      <c r="G388">
        <v>661488</v>
      </c>
      <c r="H388">
        <v>12.6</v>
      </c>
      <c r="I388">
        <v>83347</v>
      </c>
      <c r="J388">
        <v>744835</v>
      </c>
      <c r="K388" t="s">
        <v>1654</v>
      </c>
      <c r="L388">
        <v>3.4</v>
      </c>
    </row>
    <row r="389" spans="1:12" ht="14.5" x14ac:dyDescent="0.35">
      <c r="A389" t="s">
        <v>755</v>
      </c>
      <c r="B389" t="s">
        <v>288</v>
      </c>
      <c r="C389" t="s">
        <v>45</v>
      </c>
      <c r="D389" t="s">
        <v>46</v>
      </c>
      <c r="E389">
        <v>5.9</v>
      </c>
      <c r="F389">
        <v>70421</v>
      </c>
      <c r="G389">
        <v>845052</v>
      </c>
      <c r="H389">
        <v>5</v>
      </c>
      <c r="I389">
        <v>42253</v>
      </c>
      <c r="J389">
        <v>887305</v>
      </c>
      <c r="K389" t="s">
        <v>1653</v>
      </c>
      <c r="L389">
        <v>11.5</v>
      </c>
    </row>
    <row r="390" spans="1:12" ht="14.5" x14ac:dyDescent="0.35">
      <c r="A390" t="s">
        <v>756</v>
      </c>
      <c r="B390" t="s">
        <v>757</v>
      </c>
      <c r="C390" t="s">
        <v>36</v>
      </c>
      <c r="D390" t="s">
        <v>62</v>
      </c>
      <c r="E390">
        <v>6.7</v>
      </c>
      <c r="F390">
        <v>45771</v>
      </c>
      <c r="G390">
        <v>549252</v>
      </c>
      <c r="H390">
        <v>11.6</v>
      </c>
      <c r="I390">
        <v>63713</v>
      </c>
      <c r="J390">
        <v>612965</v>
      </c>
      <c r="K390" t="s">
        <v>1650</v>
      </c>
      <c r="L390">
        <v>10.8</v>
      </c>
    </row>
    <row r="391" spans="1:12" ht="14.5" x14ac:dyDescent="0.35">
      <c r="A391" t="s">
        <v>758</v>
      </c>
      <c r="B391" t="s">
        <v>759</v>
      </c>
      <c r="C391" t="s">
        <v>52</v>
      </c>
      <c r="D391" t="s">
        <v>498</v>
      </c>
      <c r="E391">
        <v>4.9000000000000004</v>
      </c>
      <c r="F391">
        <v>47168</v>
      </c>
      <c r="G391">
        <v>566016</v>
      </c>
      <c r="H391">
        <v>7.1</v>
      </c>
      <c r="I391">
        <v>40187</v>
      </c>
      <c r="J391">
        <v>606203</v>
      </c>
      <c r="K391" t="s">
        <v>1653</v>
      </c>
      <c r="L391">
        <v>3.7</v>
      </c>
    </row>
    <row r="392" spans="1:12" ht="14.5" x14ac:dyDescent="0.35">
      <c r="A392" t="s">
        <v>760</v>
      </c>
      <c r="B392" t="s">
        <v>699</v>
      </c>
      <c r="C392" t="s">
        <v>69</v>
      </c>
      <c r="D392" t="s">
        <v>70</v>
      </c>
      <c r="E392">
        <v>1.3</v>
      </c>
      <c r="F392">
        <v>110890</v>
      </c>
      <c r="G392">
        <v>1330680</v>
      </c>
      <c r="H392">
        <v>5.6</v>
      </c>
      <c r="I392">
        <v>74518</v>
      </c>
      <c r="J392">
        <v>1405198</v>
      </c>
      <c r="K392" t="s">
        <v>1655</v>
      </c>
      <c r="L392">
        <v>8.5</v>
      </c>
    </row>
    <row r="393" spans="1:12" ht="14.5" x14ac:dyDescent="0.35">
      <c r="A393" t="s">
        <v>761</v>
      </c>
      <c r="B393" t="s">
        <v>762</v>
      </c>
      <c r="C393" t="s">
        <v>56</v>
      </c>
      <c r="D393" t="s">
        <v>217</v>
      </c>
      <c r="E393">
        <v>3.2</v>
      </c>
      <c r="F393">
        <v>95582</v>
      </c>
      <c r="G393">
        <v>1146984</v>
      </c>
      <c r="H393">
        <v>11.1</v>
      </c>
      <c r="I393">
        <v>127315</v>
      </c>
      <c r="J393">
        <v>1274299</v>
      </c>
      <c r="K393" t="s">
        <v>1650</v>
      </c>
      <c r="L393">
        <v>6.2</v>
      </c>
    </row>
    <row r="394" spans="1:12" ht="14.5" x14ac:dyDescent="0.35">
      <c r="A394" t="s">
        <v>763</v>
      </c>
      <c r="B394" t="s">
        <v>535</v>
      </c>
      <c r="C394" t="s">
        <v>40</v>
      </c>
      <c r="D394" t="s">
        <v>65</v>
      </c>
      <c r="E394">
        <v>1.2</v>
      </c>
      <c r="F394">
        <v>28324</v>
      </c>
      <c r="G394">
        <v>339888</v>
      </c>
      <c r="H394">
        <v>13.8</v>
      </c>
      <c r="I394">
        <v>46905</v>
      </c>
      <c r="J394">
        <v>386793</v>
      </c>
      <c r="K394" t="s">
        <v>1655</v>
      </c>
      <c r="L394">
        <v>6.1</v>
      </c>
    </row>
    <row r="395" spans="1:12" ht="14.5" x14ac:dyDescent="0.35">
      <c r="A395" t="s">
        <v>764</v>
      </c>
      <c r="B395" t="s">
        <v>765</v>
      </c>
      <c r="C395" t="s">
        <v>108</v>
      </c>
      <c r="D395" t="s">
        <v>126</v>
      </c>
      <c r="E395">
        <v>3.3</v>
      </c>
      <c r="F395">
        <v>56551</v>
      </c>
      <c r="G395">
        <v>678612</v>
      </c>
      <c r="H395">
        <v>16</v>
      </c>
      <c r="I395">
        <v>108578</v>
      </c>
      <c r="J395">
        <v>787190</v>
      </c>
      <c r="K395" t="s">
        <v>1652</v>
      </c>
      <c r="L395">
        <v>12.3</v>
      </c>
    </row>
    <row r="396" spans="1:12" ht="14.5" x14ac:dyDescent="0.35">
      <c r="A396" t="s">
        <v>766</v>
      </c>
      <c r="B396" t="s">
        <v>767</v>
      </c>
      <c r="C396" t="s">
        <v>108</v>
      </c>
      <c r="D396" t="s">
        <v>126</v>
      </c>
      <c r="E396">
        <v>4</v>
      </c>
      <c r="F396">
        <v>99737</v>
      </c>
      <c r="G396">
        <v>1196844</v>
      </c>
      <c r="H396">
        <v>15.8</v>
      </c>
      <c r="I396">
        <v>189101</v>
      </c>
      <c r="J396">
        <v>1385945</v>
      </c>
      <c r="K396" t="s">
        <v>1652</v>
      </c>
      <c r="L396">
        <v>7.2</v>
      </c>
    </row>
    <row r="397" spans="1:12" ht="14.5" x14ac:dyDescent="0.35">
      <c r="A397" t="s">
        <v>768</v>
      </c>
      <c r="B397" t="s">
        <v>769</v>
      </c>
      <c r="C397" t="s">
        <v>45</v>
      </c>
      <c r="D397" t="s">
        <v>239</v>
      </c>
      <c r="E397">
        <v>7.2</v>
      </c>
      <c r="F397">
        <v>41051</v>
      </c>
      <c r="G397">
        <v>492612</v>
      </c>
      <c r="H397">
        <v>10.6</v>
      </c>
      <c r="I397">
        <v>52217</v>
      </c>
      <c r="J397">
        <v>544829</v>
      </c>
      <c r="K397" t="s">
        <v>1654</v>
      </c>
      <c r="L397">
        <v>14.7</v>
      </c>
    </row>
    <row r="398" spans="1:12" ht="14.5" x14ac:dyDescent="0.35">
      <c r="A398" t="s">
        <v>770</v>
      </c>
      <c r="B398" t="s">
        <v>765</v>
      </c>
      <c r="C398" t="s">
        <v>52</v>
      </c>
      <c r="D398" t="s">
        <v>176</v>
      </c>
      <c r="E398">
        <v>2.6</v>
      </c>
      <c r="F398">
        <v>28088</v>
      </c>
      <c r="G398">
        <v>337056</v>
      </c>
      <c r="H398">
        <v>16.7</v>
      </c>
      <c r="I398">
        <v>56288</v>
      </c>
      <c r="J398">
        <v>393344</v>
      </c>
      <c r="K398" t="s">
        <v>1654</v>
      </c>
      <c r="L398">
        <v>9.8000000000000007</v>
      </c>
    </row>
    <row r="399" spans="1:12" ht="14.5" x14ac:dyDescent="0.35">
      <c r="A399" t="s">
        <v>771</v>
      </c>
      <c r="B399" t="s">
        <v>772</v>
      </c>
      <c r="C399" t="s">
        <v>159</v>
      </c>
      <c r="D399" t="s">
        <v>269</v>
      </c>
      <c r="E399">
        <v>6.7</v>
      </c>
      <c r="F399">
        <v>113798</v>
      </c>
      <c r="G399">
        <v>1365576</v>
      </c>
      <c r="H399">
        <v>15</v>
      </c>
      <c r="I399">
        <v>204836</v>
      </c>
      <c r="J399">
        <v>1570412</v>
      </c>
      <c r="K399" t="s">
        <v>1654</v>
      </c>
      <c r="L399">
        <v>14.5</v>
      </c>
    </row>
    <row r="400" spans="1:12" ht="14.5" x14ac:dyDescent="0.35">
      <c r="A400" t="s">
        <v>773</v>
      </c>
      <c r="B400" t="s">
        <v>774</v>
      </c>
      <c r="C400" t="s">
        <v>21</v>
      </c>
      <c r="D400" t="s">
        <v>163</v>
      </c>
      <c r="E400">
        <v>3.3</v>
      </c>
      <c r="F400">
        <v>109999</v>
      </c>
      <c r="G400">
        <v>1319988</v>
      </c>
      <c r="H400">
        <v>5.2</v>
      </c>
      <c r="I400">
        <v>68639</v>
      </c>
      <c r="J400">
        <v>1388627</v>
      </c>
      <c r="K400" t="s">
        <v>1653</v>
      </c>
      <c r="L400">
        <v>6.3</v>
      </c>
    </row>
    <row r="401" spans="1:12" ht="14.5" x14ac:dyDescent="0.35">
      <c r="A401" t="s">
        <v>775</v>
      </c>
      <c r="B401" t="s">
        <v>776</v>
      </c>
      <c r="C401" t="s">
        <v>56</v>
      </c>
      <c r="D401" t="s">
        <v>79</v>
      </c>
      <c r="E401">
        <v>5.4</v>
      </c>
      <c r="F401">
        <v>90496</v>
      </c>
      <c r="G401">
        <v>1085952</v>
      </c>
      <c r="H401">
        <v>14.2</v>
      </c>
      <c r="I401">
        <v>154205</v>
      </c>
      <c r="J401">
        <v>1240157</v>
      </c>
      <c r="K401" t="s">
        <v>1650</v>
      </c>
      <c r="L401">
        <v>12.4</v>
      </c>
    </row>
    <row r="402" spans="1:12" ht="14.5" x14ac:dyDescent="0.35">
      <c r="A402" t="s">
        <v>777</v>
      </c>
      <c r="B402" t="s">
        <v>81</v>
      </c>
      <c r="C402" t="s">
        <v>45</v>
      </c>
      <c r="D402" t="s">
        <v>234</v>
      </c>
      <c r="E402">
        <v>7.7</v>
      </c>
      <c r="F402">
        <v>119173</v>
      </c>
      <c r="G402">
        <v>1430076</v>
      </c>
      <c r="H402">
        <v>9.6</v>
      </c>
      <c r="I402">
        <v>137287</v>
      </c>
      <c r="J402">
        <v>1567363</v>
      </c>
      <c r="K402" t="s">
        <v>1653</v>
      </c>
      <c r="L402">
        <v>10.7</v>
      </c>
    </row>
    <row r="403" spans="1:12" ht="14.5" x14ac:dyDescent="0.35">
      <c r="A403" t="s">
        <v>778</v>
      </c>
      <c r="B403" t="s">
        <v>779</v>
      </c>
      <c r="C403" t="s">
        <v>56</v>
      </c>
      <c r="D403" t="s">
        <v>112</v>
      </c>
      <c r="E403">
        <v>5.2</v>
      </c>
      <c r="F403">
        <v>78209</v>
      </c>
      <c r="G403">
        <v>938508</v>
      </c>
      <c r="H403">
        <v>5.9</v>
      </c>
      <c r="I403">
        <v>55372</v>
      </c>
      <c r="J403">
        <v>993880</v>
      </c>
      <c r="K403" t="s">
        <v>1651</v>
      </c>
      <c r="L403">
        <v>7.1</v>
      </c>
    </row>
    <row r="404" spans="1:12" ht="14.5" x14ac:dyDescent="0.35">
      <c r="A404" t="s">
        <v>780</v>
      </c>
      <c r="B404" t="s">
        <v>152</v>
      </c>
      <c r="C404" t="s">
        <v>21</v>
      </c>
      <c r="D404" t="s">
        <v>163</v>
      </c>
      <c r="E404">
        <v>6.2</v>
      </c>
      <c r="F404">
        <v>78164</v>
      </c>
      <c r="G404">
        <v>937968</v>
      </c>
      <c r="H404">
        <v>5.2</v>
      </c>
      <c r="I404">
        <v>48774</v>
      </c>
      <c r="J404">
        <v>986742</v>
      </c>
      <c r="K404" t="s">
        <v>1651</v>
      </c>
      <c r="L404">
        <v>5.0999999999999996</v>
      </c>
    </row>
    <row r="405" spans="1:12" ht="14.5" x14ac:dyDescent="0.35">
      <c r="A405" t="s">
        <v>781</v>
      </c>
      <c r="B405" t="s">
        <v>782</v>
      </c>
      <c r="C405" t="s">
        <v>159</v>
      </c>
      <c r="D405" t="s">
        <v>160</v>
      </c>
      <c r="E405">
        <v>2.8</v>
      </c>
      <c r="F405">
        <v>74030</v>
      </c>
      <c r="G405">
        <v>888360</v>
      </c>
      <c r="H405">
        <v>16.3</v>
      </c>
      <c r="I405">
        <v>144803</v>
      </c>
      <c r="J405">
        <v>1033163</v>
      </c>
      <c r="K405" t="s">
        <v>1654</v>
      </c>
      <c r="L405">
        <v>13.2</v>
      </c>
    </row>
    <row r="406" spans="1:12" ht="14.5" x14ac:dyDescent="0.35">
      <c r="A406" t="s">
        <v>783</v>
      </c>
      <c r="B406" t="s">
        <v>784</v>
      </c>
      <c r="C406" t="s">
        <v>159</v>
      </c>
      <c r="D406" t="s">
        <v>324</v>
      </c>
      <c r="E406">
        <v>6.8</v>
      </c>
      <c r="F406">
        <v>41168</v>
      </c>
      <c r="G406">
        <v>494016</v>
      </c>
      <c r="H406">
        <v>4.0999999999999996</v>
      </c>
      <c r="I406">
        <v>20255</v>
      </c>
      <c r="J406">
        <v>514271</v>
      </c>
      <c r="K406" t="s">
        <v>1653</v>
      </c>
      <c r="L406">
        <v>9.5</v>
      </c>
    </row>
    <row r="407" spans="1:12" ht="14.5" x14ac:dyDescent="0.35">
      <c r="A407" t="s">
        <v>785</v>
      </c>
      <c r="B407" t="s">
        <v>104</v>
      </c>
      <c r="C407" t="s">
        <v>45</v>
      </c>
      <c r="D407" t="s">
        <v>239</v>
      </c>
      <c r="E407">
        <v>4.2</v>
      </c>
      <c r="F407">
        <v>46327</v>
      </c>
      <c r="G407">
        <v>555924</v>
      </c>
      <c r="H407">
        <v>11.3</v>
      </c>
      <c r="I407">
        <v>62819</v>
      </c>
      <c r="J407">
        <v>618743</v>
      </c>
      <c r="K407" t="s">
        <v>1651</v>
      </c>
      <c r="L407">
        <v>10.7</v>
      </c>
    </row>
    <row r="408" spans="1:12" ht="14.5" x14ac:dyDescent="0.35">
      <c r="A408" t="s">
        <v>786</v>
      </c>
      <c r="B408" t="s">
        <v>396</v>
      </c>
      <c r="C408" t="s">
        <v>21</v>
      </c>
      <c r="D408" t="s">
        <v>133</v>
      </c>
      <c r="E408">
        <v>4.4000000000000004</v>
      </c>
      <c r="F408">
        <v>54928</v>
      </c>
      <c r="G408">
        <v>659136</v>
      </c>
      <c r="H408">
        <v>8.1999999999999993</v>
      </c>
      <c r="I408">
        <v>54049</v>
      </c>
      <c r="J408">
        <v>713185</v>
      </c>
      <c r="K408" t="s">
        <v>1654</v>
      </c>
      <c r="L408">
        <v>6.7</v>
      </c>
    </row>
    <row r="409" spans="1:12" ht="14.5" x14ac:dyDescent="0.35">
      <c r="A409" t="s">
        <v>787</v>
      </c>
      <c r="B409" t="s">
        <v>788</v>
      </c>
      <c r="C409" t="s">
        <v>27</v>
      </c>
      <c r="D409" t="s">
        <v>87</v>
      </c>
      <c r="E409">
        <v>7.1</v>
      </c>
      <c r="F409">
        <v>59370</v>
      </c>
      <c r="G409">
        <v>712440</v>
      </c>
      <c r="H409">
        <v>10.4</v>
      </c>
      <c r="I409">
        <v>74094</v>
      </c>
      <c r="J409">
        <v>786534</v>
      </c>
      <c r="K409" t="s">
        <v>1651</v>
      </c>
      <c r="L409">
        <v>5</v>
      </c>
    </row>
    <row r="410" spans="1:12" ht="14.5" x14ac:dyDescent="0.35">
      <c r="A410" t="s">
        <v>789</v>
      </c>
      <c r="B410" t="s">
        <v>790</v>
      </c>
      <c r="C410" t="s">
        <v>21</v>
      </c>
      <c r="D410" t="s">
        <v>133</v>
      </c>
      <c r="E410">
        <v>1.8</v>
      </c>
      <c r="F410">
        <v>29581</v>
      </c>
      <c r="G410">
        <v>354972</v>
      </c>
      <c r="H410">
        <v>6.5</v>
      </c>
      <c r="I410">
        <v>23073</v>
      </c>
      <c r="J410">
        <v>378045</v>
      </c>
      <c r="K410" t="s">
        <v>1655</v>
      </c>
      <c r="L410">
        <v>6.9</v>
      </c>
    </row>
    <row r="411" spans="1:12" ht="14.5" x14ac:dyDescent="0.35">
      <c r="A411" t="s">
        <v>791</v>
      </c>
      <c r="B411" t="s">
        <v>742</v>
      </c>
      <c r="C411" t="s">
        <v>159</v>
      </c>
      <c r="D411" t="s">
        <v>324</v>
      </c>
      <c r="E411">
        <v>1.6</v>
      </c>
      <c r="F411">
        <v>117514</v>
      </c>
      <c r="G411">
        <v>1410168</v>
      </c>
      <c r="H411">
        <v>17.3</v>
      </c>
      <c r="I411">
        <v>243959</v>
      </c>
      <c r="J411">
        <v>1654127</v>
      </c>
      <c r="K411" t="s">
        <v>1653</v>
      </c>
      <c r="L411">
        <v>14.6</v>
      </c>
    </row>
    <row r="412" spans="1:12" ht="14.5" x14ac:dyDescent="0.35">
      <c r="A412" t="s">
        <v>792</v>
      </c>
      <c r="B412" t="s">
        <v>557</v>
      </c>
      <c r="C412" t="s">
        <v>21</v>
      </c>
      <c r="D412" t="s">
        <v>22</v>
      </c>
      <c r="E412">
        <v>4.8</v>
      </c>
      <c r="F412">
        <v>56277</v>
      </c>
      <c r="G412">
        <v>675324</v>
      </c>
      <c r="H412">
        <v>13.6</v>
      </c>
      <c r="I412">
        <v>91844</v>
      </c>
      <c r="J412">
        <v>767168</v>
      </c>
      <c r="K412" t="s">
        <v>1654</v>
      </c>
      <c r="L412">
        <v>13.1</v>
      </c>
    </row>
    <row r="413" spans="1:12" ht="14.5" x14ac:dyDescent="0.35">
      <c r="A413" t="s">
        <v>793</v>
      </c>
      <c r="B413" t="s">
        <v>794</v>
      </c>
      <c r="C413" t="s">
        <v>56</v>
      </c>
      <c r="D413" t="s">
        <v>57</v>
      </c>
      <c r="E413">
        <v>3.2</v>
      </c>
      <c r="F413">
        <v>38803</v>
      </c>
      <c r="G413">
        <v>465636</v>
      </c>
      <c r="H413">
        <v>7.9</v>
      </c>
      <c r="I413">
        <v>36785</v>
      </c>
      <c r="J413">
        <v>502421</v>
      </c>
      <c r="K413" t="s">
        <v>1652</v>
      </c>
      <c r="L413">
        <v>7.3</v>
      </c>
    </row>
    <row r="414" spans="1:12" ht="14.5" x14ac:dyDescent="0.35">
      <c r="A414" t="s">
        <v>795</v>
      </c>
      <c r="B414" t="s">
        <v>252</v>
      </c>
      <c r="C414" t="s">
        <v>27</v>
      </c>
      <c r="D414" t="s">
        <v>87</v>
      </c>
      <c r="E414">
        <v>4.3</v>
      </c>
      <c r="F414">
        <v>38357</v>
      </c>
      <c r="G414">
        <v>460284</v>
      </c>
      <c r="H414">
        <v>11.5</v>
      </c>
      <c r="I414">
        <v>52933</v>
      </c>
      <c r="J414">
        <v>513217</v>
      </c>
      <c r="K414" t="s">
        <v>1654</v>
      </c>
      <c r="L414">
        <v>11.7</v>
      </c>
    </row>
    <row r="415" spans="1:12" ht="14.5" x14ac:dyDescent="0.35">
      <c r="A415" t="s">
        <v>796</v>
      </c>
      <c r="B415" t="s">
        <v>797</v>
      </c>
      <c r="C415" t="s">
        <v>159</v>
      </c>
      <c r="D415" t="s">
        <v>187</v>
      </c>
      <c r="E415">
        <v>1.2</v>
      </c>
      <c r="F415">
        <v>111138</v>
      </c>
      <c r="G415">
        <v>1333656</v>
      </c>
      <c r="H415">
        <v>14.1</v>
      </c>
      <c r="I415">
        <v>188045</v>
      </c>
      <c r="J415">
        <v>1521701</v>
      </c>
      <c r="K415" t="s">
        <v>1651</v>
      </c>
      <c r="L415">
        <v>5.4</v>
      </c>
    </row>
    <row r="416" spans="1:12" ht="14.5" x14ac:dyDescent="0.35">
      <c r="A416" t="s">
        <v>798</v>
      </c>
      <c r="B416" t="s">
        <v>799</v>
      </c>
      <c r="C416" t="s">
        <v>36</v>
      </c>
      <c r="D416" t="s">
        <v>84</v>
      </c>
      <c r="E416">
        <v>5</v>
      </c>
      <c r="F416">
        <v>39300</v>
      </c>
      <c r="G416">
        <v>471600</v>
      </c>
      <c r="H416">
        <v>10.5</v>
      </c>
      <c r="I416">
        <v>49518</v>
      </c>
      <c r="J416">
        <v>521118</v>
      </c>
      <c r="K416" t="s">
        <v>1650</v>
      </c>
      <c r="L416">
        <v>13.2</v>
      </c>
    </row>
    <row r="417" spans="1:12" ht="14.5" x14ac:dyDescent="0.35">
      <c r="A417" t="s">
        <v>800</v>
      </c>
      <c r="B417" t="s">
        <v>801</v>
      </c>
      <c r="C417" t="s">
        <v>21</v>
      </c>
      <c r="D417" t="s">
        <v>153</v>
      </c>
      <c r="E417">
        <v>5.8</v>
      </c>
      <c r="F417">
        <v>43655</v>
      </c>
      <c r="G417">
        <v>523860</v>
      </c>
      <c r="H417">
        <v>12.3</v>
      </c>
      <c r="I417">
        <v>64435</v>
      </c>
      <c r="J417">
        <v>588295</v>
      </c>
      <c r="K417" t="s">
        <v>1653</v>
      </c>
      <c r="L417">
        <v>11.7</v>
      </c>
    </row>
    <row r="418" spans="1:12" ht="14.5" x14ac:dyDescent="0.35">
      <c r="A418" t="s">
        <v>802</v>
      </c>
      <c r="B418" t="s">
        <v>803</v>
      </c>
      <c r="C418" t="s">
        <v>52</v>
      </c>
      <c r="D418" t="s">
        <v>195</v>
      </c>
      <c r="E418">
        <v>1.9</v>
      </c>
      <c r="F418">
        <v>95793</v>
      </c>
      <c r="G418">
        <v>1149516</v>
      </c>
      <c r="H418">
        <v>7.3</v>
      </c>
      <c r="I418">
        <v>83915</v>
      </c>
      <c r="J418">
        <v>1233431</v>
      </c>
      <c r="K418" t="s">
        <v>1651</v>
      </c>
      <c r="L418">
        <v>8.4</v>
      </c>
    </row>
    <row r="419" spans="1:12" ht="14.5" x14ac:dyDescent="0.35">
      <c r="A419" t="s">
        <v>804</v>
      </c>
      <c r="B419" t="s">
        <v>805</v>
      </c>
      <c r="C419" t="s">
        <v>159</v>
      </c>
      <c r="D419" t="s">
        <v>269</v>
      </c>
      <c r="E419">
        <v>6.4</v>
      </c>
      <c r="F419">
        <v>31847</v>
      </c>
      <c r="G419">
        <v>382164</v>
      </c>
      <c r="H419">
        <v>5.2</v>
      </c>
      <c r="I419">
        <v>19873</v>
      </c>
      <c r="J419">
        <v>402037</v>
      </c>
      <c r="K419" t="s">
        <v>1654</v>
      </c>
      <c r="L419">
        <v>12.5</v>
      </c>
    </row>
    <row r="420" spans="1:12" ht="14.5" x14ac:dyDescent="0.35">
      <c r="A420" t="s">
        <v>806</v>
      </c>
      <c r="B420" t="s">
        <v>92</v>
      </c>
      <c r="C420" t="s">
        <v>36</v>
      </c>
      <c r="D420" t="s">
        <v>62</v>
      </c>
      <c r="E420">
        <v>1.3</v>
      </c>
      <c r="F420">
        <v>110251</v>
      </c>
      <c r="G420">
        <v>1323012</v>
      </c>
      <c r="H420">
        <v>15.5</v>
      </c>
      <c r="I420">
        <v>205067</v>
      </c>
      <c r="J420">
        <v>1528079</v>
      </c>
      <c r="K420" t="s">
        <v>1655</v>
      </c>
      <c r="L420">
        <v>11.3</v>
      </c>
    </row>
    <row r="421" spans="1:12" ht="14.5" x14ac:dyDescent="0.35">
      <c r="A421" t="s">
        <v>807</v>
      </c>
      <c r="B421" t="s">
        <v>808</v>
      </c>
      <c r="C421" t="s">
        <v>108</v>
      </c>
      <c r="D421" t="s">
        <v>126</v>
      </c>
      <c r="E421">
        <v>1.4</v>
      </c>
      <c r="F421">
        <v>49873</v>
      </c>
      <c r="G421">
        <v>598476</v>
      </c>
      <c r="H421">
        <v>6.7</v>
      </c>
      <c r="I421">
        <v>40098</v>
      </c>
      <c r="J421">
        <v>638574</v>
      </c>
      <c r="K421" t="s">
        <v>1651</v>
      </c>
      <c r="L421">
        <v>14.8</v>
      </c>
    </row>
    <row r="422" spans="1:12" ht="14.5" x14ac:dyDescent="0.35">
      <c r="A422" t="s">
        <v>809</v>
      </c>
      <c r="B422" t="s">
        <v>229</v>
      </c>
      <c r="C422" t="s">
        <v>36</v>
      </c>
      <c r="D422" t="s">
        <v>37</v>
      </c>
      <c r="E422">
        <v>2</v>
      </c>
      <c r="F422">
        <v>28336</v>
      </c>
      <c r="G422">
        <v>340032</v>
      </c>
      <c r="H422">
        <v>8.5</v>
      </c>
      <c r="I422">
        <v>28903</v>
      </c>
      <c r="J422">
        <v>368935</v>
      </c>
      <c r="K422" t="s">
        <v>1653</v>
      </c>
      <c r="L422">
        <v>5.6</v>
      </c>
    </row>
    <row r="423" spans="1:12" ht="14.5" x14ac:dyDescent="0.35">
      <c r="A423" t="s">
        <v>810</v>
      </c>
      <c r="B423" t="s">
        <v>811</v>
      </c>
      <c r="C423" t="s">
        <v>69</v>
      </c>
      <c r="D423" t="s">
        <v>105</v>
      </c>
      <c r="E423">
        <v>3.5</v>
      </c>
      <c r="F423">
        <v>47671</v>
      </c>
      <c r="G423">
        <v>572052</v>
      </c>
      <c r="H423">
        <v>8.6</v>
      </c>
      <c r="I423">
        <v>49196</v>
      </c>
      <c r="J423">
        <v>621248</v>
      </c>
      <c r="K423" t="s">
        <v>1653</v>
      </c>
      <c r="L423">
        <v>6.8</v>
      </c>
    </row>
    <row r="424" spans="1:12" ht="14.5" x14ac:dyDescent="0.35">
      <c r="A424" t="s">
        <v>812</v>
      </c>
      <c r="B424" t="s">
        <v>180</v>
      </c>
      <c r="C424" t="s">
        <v>27</v>
      </c>
      <c r="D424" t="s">
        <v>76</v>
      </c>
      <c r="E424">
        <v>5</v>
      </c>
      <c r="F424">
        <v>82559</v>
      </c>
      <c r="G424">
        <v>990708</v>
      </c>
      <c r="H424">
        <v>13.7</v>
      </c>
      <c r="I424">
        <v>135727</v>
      </c>
      <c r="J424">
        <v>1126435</v>
      </c>
      <c r="K424" t="s">
        <v>1655</v>
      </c>
      <c r="L424">
        <v>11</v>
      </c>
    </row>
    <row r="425" spans="1:12" ht="14.5" x14ac:dyDescent="0.35">
      <c r="A425" t="s">
        <v>813</v>
      </c>
      <c r="B425" t="s">
        <v>814</v>
      </c>
      <c r="C425" t="s">
        <v>36</v>
      </c>
      <c r="D425" t="s">
        <v>37</v>
      </c>
      <c r="E425">
        <v>2.1</v>
      </c>
      <c r="F425">
        <v>116254</v>
      </c>
      <c r="G425">
        <v>1395048</v>
      </c>
      <c r="H425">
        <v>12.8</v>
      </c>
      <c r="I425">
        <v>178566</v>
      </c>
      <c r="J425">
        <v>1573614</v>
      </c>
      <c r="K425" t="s">
        <v>1653</v>
      </c>
      <c r="L425">
        <v>6.3</v>
      </c>
    </row>
    <row r="426" spans="1:12" ht="14.5" x14ac:dyDescent="0.35">
      <c r="A426" t="s">
        <v>815</v>
      </c>
      <c r="B426" t="s">
        <v>816</v>
      </c>
      <c r="C426" t="s">
        <v>159</v>
      </c>
      <c r="D426" t="s">
        <v>482</v>
      </c>
      <c r="E426">
        <v>7</v>
      </c>
      <c r="F426">
        <v>88960</v>
      </c>
      <c r="G426">
        <v>1067520</v>
      </c>
      <c r="H426">
        <v>13.3</v>
      </c>
      <c r="I426">
        <v>141980</v>
      </c>
      <c r="J426">
        <v>1209500</v>
      </c>
      <c r="K426" t="s">
        <v>1651</v>
      </c>
      <c r="L426">
        <v>6.2</v>
      </c>
    </row>
    <row r="427" spans="1:12" ht="14.5" x14ac:dyDescent="0.35">
      <c r="A427" t="s">
        <v>817</v>
      </c>
      <c r="B427" t="s">
        <v>55</v>
      </c>
      <c r="C427" t="s">
        <v>36</v>
      </c>
      <c r="D427" t="s">
        <v>253</v>
      </c>
      <c r="E427">
        <v>2.6</v>
      </c>
      <c r="F427">
        <v>29044</v>
      </c>
      <c r="G427">
        <v>348528</v>
      </c>
      <c r="H427">
        <v>15.5</v>
      </c>
      <c r="I427">
        <v>54022</v>
      </c>
      <c r="J427">
        <v>402550</v>
      </c>
      <c r="K427" t="s">
        <v>1651</v>
      </c>
      <c r="L427">
        <v>4.5999999999999996</v>
      </c>
    </row>
    <row r="428" spans="1:12" ht="14.5" x14ac:dyDescent="0.35">
      <c r="A428" t="s">
        <v>818</v>
      </c>
      <c r="B428" t="s">
        <v>128</v>
      </c>
      <c r="C428" t="s">
        <v>36</v>
      </c>
      <c r="D428" t="s">
        <v>62</v>
      </c>
      <c r="E428">
        <v>2.5</v>
      </c>
      <c r="F428">
        <v>76270</v>
      </c>
      <c r="G428">
        <v>915240</v>
      </c>
      <c r="H428">
        <v>12.2</v>
      </c>
      <c r="I428">
        <v>111659</v>
      </c>
      <c r="J428">
        <v>1026899</v>
      </c>
      <c r="K428" t="s">
        <v>1653</v>
      </c>
      <c r="L428">
        <v>12.8</v>
      </c>
    </row>
    <row r="429" spans="1:12" ht="14.5" x14ac:dyDescent="0.35">
      <c r="A429" t="s">
        <v>819</v>
      </c>
      <c r="B429" t="s">
        <v>820</v>
      </c>
      <c r="C429" t="s">
        <v>69</v>
      </c>
      <c r="D429" t="s">
        <v>319</v>
      </c>
      <c r="E429">
        <v>7.7</v>
      </c>
      <c r="F429">
        <v>81744</v>
      </c>
      <c r="G429">
        <v>980928</v>
      </c>
      <c r="H429">
        <v>17.100000000000001</v>
      </c>
      <c r="I429">
        <v>167739</v>
      </c>
      <c r="J429">
        <v>1148667</v>
      </c>
      <c r="K429" t="s">
        <v>1653</v>
      </c>
      <c r="L429">
        <v>9.4</v>
      </c>
    </row>
    <row r="430" spans="1:12" ht="14.5" x14ac:dyDescent="0.35">
      <c r="A430" t="s">
        <v>821</v>
      </c>
      <c r="B430" t="s">
        <v>822</v>
      </c>
      <c r="C430" t="s">
        <v>27</v>
      </c>
      <c r="D430" t="s">
        <v>73</v>
      </c>
      <c r="E430">
        <v>7.7</v>
      </c>
      <c r="F430">
        <v>114154</v>
      </c>
      <c r="G430">
        <v>1369848</v>
      </c>
      <c r="H430">
        <v>5.0999999999999996</v>
      </c>
      <c r="I430">
        <v>69862</v>
      </c>
      <c r="J430">
        <v>1439710</v>
      </c>
      <c r="K430" t="s">
        <v>1653</v>
      </c>
      <c r="L430">
        <v>14.6</v>
      </c>
    </row>
    <row r="431" spans="1:12" ht="14.5" x14ac:dyDescent="0.35">
      <c r="A431" t="s">
        <v>823</v>
      </c>
      <c r="B431" t="s">
        <v>634</v>
      </c>
      <c r="C431" t="s">
        <v>21</v>
      </c>
      <c r="D431" t="s">
        <v>133</v>
      </c>
      <c r="E431">
        <v>2.2000000000000002</v>
      </c>
      <c r="F431">
        <v>35850</v>
      </c>
      <c r="G431">
        <v>430200</v>
      </c>
      <c r="H431">
        <v>6</v>
      </c>
      <c r="I431">
        <v>25812</v>
      </c>
      <c r="J431">
        <v>456012</v>
      </c>
      <c r="K431" t="s">
        <v>1650</v>
      </c>
      <c r="L431">
        <v>12</v>
      </c>
    </row>
    <row r="432" spans="1:12" ht="14.5" x14ac:dyDescent="0.35">
      <c r="A432" t="s">
        <v>824</v>
      </c>
      <c r="B432" t="s">
        <v>438</v>
      </c>
      <c r="C432" t="s">
        <v>21</v>
      </c>
      <c r="D432" t="s">
        <v>22</v>
      </c>
      <c r="E432">
        <v>3.1</v>
      </c>
      <c r="F432">
        <v>119861</v>
      </c>
      <c r="G432">
        <v>1438332</v>
      </c>
      <c r="H432">
        <v>10.1</v>
      </c>
      <c r="I432">
        <v>145272</v>
      </c>
      <c r="J432">
        <v>1583604</v>
      </c>
      <c r="K432" t="s">
        <v>1650</v>
      </c>
      <c r="L432">
        <v>3.4</v>
      </c>
    </row>
    <row r="433" spans="1:12" ht="14.5" x14ac:dyDescent="0.35">
      <c r="A433" t="s">
        <v>825</v>
      </c>
      <c r="B433" t="s">
        <v>599</v>
      </c>
      <c r="C433" t="s">
        <v>108</v>
      </c>
      <c r="D433" t="s">
        <v>114</v>
      </c>
      <c r="E433">
        <v>6.3</v>
      </c>
      <c r="F433">
        <v>111521</v>
      </c>
      <c r="G433">
        <v>1338252</v>
      </c>
      <c r="H433">
        <v>13.3</v>
      </c>
      <c r="I433">
        <v>177988</v>
      </c>
      <c r="J433">
        <v>1516240</v>
      </c>
      <c r="K433" t="s">
        <v>1653</v>
      </c>
      <c r="L433">
        <v>14</v>
      </c>
    </row>
    <row r="434" spans="1:12" ht="14.5" x14ac:dyDescent="0.35">
      <c r="A434" t="s">
        <v>826</v>
      </c>
      <c r="B434" t="s">
        <v>827</v>
      </c>
      <c r="C434" t="s">
        <v>21</v>
      </c>
      <c r="D434" t="s">
        <v>49</v>
      </c>
      <c r="E434">
        <v>6.3</v>
      </c>
      <c r="F434">
        <v>59034</v>
      </c>
      <c r="G434">
        <v>708408</v>
      </c>
      <c r="H434">
        <v>16.5</v>
      </c>
      <c r="I434">
        <v>116887</v>
      </c>
      <c r="J434">
        <v>825295</v>
      </c>
      <c r="K434" t="s">
        <v>1653</v>
      </c>
      <c r="L434">
        <v>10.9</v>
      </c>
    </row>
    <row r="435" spans="1:12" ht="14.5" x14ac:dyDescent="0.35">
      <c r="A435" t="s">
        <v>828</v>
      </c>
      <c r="B435" t="s">
        <v>369</v>
      </c>
      <c r="C435" t="s">
        <v>40</v>
      </c>
      <c r="D435" t="s">
        <v>65</v>
      </c>
      <c r="E435">
        <v>2.7</v>
      </c>
      <c r="F435">
        <v>63645</v>
      </c>
      <c r="G435">
        <v>763740</v>
      </c>
      <c r="H435">
        <v>13.6</v>
      </c>
      <c r="I435">
        <v>103869</v>
      </c>
      <c r="J435">
        <v>867609</v>
      </c>
      <c r="K435" t="s">
        <v>1651</v>
      </c>
      <c r="L435">
        <v>14.9</v>
      </c>
    </row>
    <row r="436" spans="1:12" ht="14.5" x14ac:dyDescent="0.35">
      <c r="A436" t="s">
        <v>829</v>
      </c>
      <c r="B436" t="s">
        <v>830</v>
      </c>
      <c r="C436" t="s">
        <v>69</v>
      </c>
      <c r="D436" t="s">
        <v>117</v>
      </c>
      <c r="E436">
        <v>6.6</v>
      </c>
      <c r="F436">
        <v>49544</v>
      </c>
      <c r="G436">
        <v>594528</v>
      </c>
      <c r="H436">
        <v>4.5999999999999996</v>
      </c>
      <c r="I436">
        <v>27348</v>
      </c>
      <c r="J436">
        <v>621876</v>
      </c>
      <c r="K436" t="s">
        <v>1652</v>
      </c>
      <c r="L436">
        <v>7.4</v>
      </c>
    </row>
    <row r="437" spans="1:12" ht="14.5" x14ac:dyDescent="0.35">
      <c r="A437" t="s">
        <v>831</v>
      </c>
      <c r="B437" t="s">
        <v>832</v>
      </c>
      <c r="C437" t="s">
        <v>40</v>
      </c>
      <c r="D437" t="s">
        <v>65</v>
      </c>
      <c r="E437">
        <v>3.7</v>
      </c>
      <c r="F437">
        <v>55215</v>
      </c>
      <c r="G437">
        <v>662580</v>
      </c>
      <c r="H437">
        <v>13.7</v>
      </c>
      <c r="I437">
        <v>90773</v>
      </c>
      <c r="J437">
        <v>753353</v>
      </c>
      <c r="K437" t="s">
        <v>1651</v>
      </c>
      <c r="L437">
        <v>7.9</v>
      </c>
    </row>
    <row r="438" spans="1:12" ht="14.5" x14ac:dyDescent="0.35">
      <c r="A438" t="s">
        <v>833</v>
      </c>
      <c r="B438" t="s">
        <v>147</v>
      </c>
      <c r="C438" t="s">
        <v>108</v>
      </c>
      <c r="D438" t="s">
        <v>126</v>
      </c>
      <c r="E438">
        <v>6</v>
      </c>
      <c r="F438">
        <v>117922</v>
      </c>
      <c r="G438">
        <v>1415064</v>
      </c>
      <c r="H438">
        <v>14</v>
      </c>
      <c r="I438">
        <v>198109</v>
      </c>
      <c r="J438">
        <v>1613173</v>
      </c>
      <c r="K438" t="s">
        <v>1651</v>
      </c>
      <c r="L438">
        <v>8.6999999999999993</v>
      </c>
    </row>
    <row r="439" spans="1:12" ht="14.5" x14ac:dyDescent="0.35">
      <c r="A439" t="s">
        <v>834</v>
      </c>
      <c r="B439" t="s">
        <v>377</v>
      </c>
      <c r="C439" t="s">
        <v>52</v>
      </c>
      <c r="D439" t="s">
        <v>195</v>
      </c>
      <c r="E439">
        <v>6.7</v>
      </c>
      <c r="F439">
        <v>121212</v>
      </c>
      <c r="G439">
        <v>1454544</v>
      </c>
      <c r="H439">
        <v>7.5</v>
      </c>
      <c r="I439">
        <v>109091</v>
      </c>
      <c r="J439">
        <v>1563635</v>
      </c>
      <c r="K439" t="s">
        <v>1655</v>
      </c>
      <c r="L439">
        <v>13.7</v>
      </c>
    </row>
    <row r="440" spans="1:12" ht="14.5" x14ac:dyDescent="0.35">
      <c r="A440" t="s">
        <v>835</v>
      </c>
      <c r="B440" t="s">
        <v>373</v>
      </c>
      <c r="C440" t="s">
        <v>56</v>
      </c>
      <c r="D440" t="s">
        <v>79</v>
      </c>
      <c r="E440">
        <v>5.8</v>
      </c>
      <c r="F440">
        <v>32073</v>
      </c>
      <c r="G440">
        <v>384876</v>
      </c>
      <c r="H440">
        <v>12.2</v>
      </c>
      <c r="I440">
        <v>46955</v>
      </c>
      <c r="J440">
        <v>431831</v>
      </c>
      <c r="K440" t="s">
        <v>1651</v>
      </c>
      <c r="L440">
        <v>3.4</v>
      </c>
    </row>
    <row r="441" spans="1:12" ht="14.5" x14ac:dyDescent="0.35">
      <c r="A441" t="s">
        <v>836</v>
      </c>
      <c r="B441" t="s">
        <v>837</v>
      </c>
      <c r="C441" t="s">
        <v>27</v>
      </c>
      <c r="D441" t="s">
        <v>87</v>
      </c>
      <c r="E441">
        <v>6.6</v>
      </c>
      <c r="F441">
        <v>46322</v>
      </c>
      <c r="G441">
        <v>555864</v>
      </c>
      <c r="H441">
        <v>15.5</v>
      </c>
      <c r="I441">
        <v>86159</v>
      </c>
      <c r="J441">
        <v>642023</v>
      </c>
      <c r="K441" t="s">
        <v>1651</v>
      </c>
      <c r="L441">
        <v>12.4</v>
      </c>
    </row>
    <row r="442" spans="1:12" ht="14.5" x14ac:dyDescent="0.35">
      <c r="A442" t="s">
        <v>838</v>
      </c>
      <c r="B442" t="s">
        <v>839</v>
      </c>
      <c r="C442" t="s">
        <v>52</v>
      </c>
      <c r="D442" t="s">
        <v>195</v>
      </c>
      <c r="E442">
        <v>3.3</v>
      </c>
      <c r="F442">
        <v>76790</v>
      </c>
      <c r="G442">
        <v>921480</v>
      </c>
      <c r="H442">
        <v>6.5</v>
      </c>
      <c r="I442">
        <v>59896</v>
      </c>
      <c r="J442">
        <v>981376</v>
      </c>
      <c r="K442" t="s">
        <v>1650</v>
      </c>
      <c r="L442">
        <v>8.6</v>
      </c>
    </row>
    <row r="443" spans="1:12" ht="14.5" x14ac:dyDescent="0.35">
      <c r="A443" t="s">
        <v>840</v>
      </c>
      <c r="B443" t="s">
        <v>522</v>
      </c>
      <c r="C443" t="s">
        <v>45</v>
      </c>
      <c r="D443" t="s">
        <v>46</v>
      </c>
      <c r="E443">
        <v>7</v>
      </c>
      <c r="F443">
        <v>53919</v>
      </c>
      <c r="G443">
        <v>647028</v>
      </c>
      <c r="H443">
        <v>17.3</v>
      </c>
      <c r="I443">
        <v>111936</v>
      </c>
      <c r="J443">
        <v>758964</v>
      </c>
      <c r="K443" t="s">
        <v>1651</v>
      </c>
      <c r="L443">
        <v>13.1</v>
      </c>
    </row>
    <row r="444" spans="1:12" ht="14.5" x14ac:dyDescent="0.35">
      <c r="A444" t="s">
        <v>841</v>
      </c>
      <c r="B444" t="s">
        <v>842</v>
      </c>
      <c r="C444" t="s">
        <v>159</v>
      </c>
      <c r="D444" t="s">
        <v>160</v>
      </c>
      <c r="E444">
        <v>7.3</v>
      </c>
      <c r="F444">
        <v>88423</v>
      </c>
      <c r="G444">
        <v>1061076</v>
      </c>
      <c r="H444">
        <v>6.9</v>
      </c>
      <c r="I444">
        <v>73214</v>
      </c>
      <c r="J444">
        <v>1134290</v>
      </c>
      <c r="K444" t="s">
        <v>1654</v>
      </c>
      <c r="L444">
        <v>7.3</v>
      </c>
    </row>
    <row r="445" spans="1:12" ht="14.5" x14ac:dyDescent="0.35">
      <c r="A445" t="s">
        <v>843</v>
      </c>
      <c r="B445" t="s">
        <v>182</v>
      </c>
      <c r="C445" t="s">
        <v>45</v>
      </c>
      <c r="D445" t="s">
        <v>239</v>
      </c>
      <c r="E445">
        <v>7.4</v>
      </c>
      <c r="F445">
        <v>78165</v>
      </c>
      <c r="G445">
        <v>937980</v>
      </c>
      <c r="H445">
        <v>5.6</v>
      </c>
      <c r="I445">
        <v>52527</v>
      </c>
      <c r="J445">
        <v>990507</v>
      </c>
      <c r="K445" t="s">
        <v>1652</v>
      </c>
      <c r="L445">
        <v>4.4000000000000004</v>
      </c>
    </row>
    <row r="446" spans="1:12" ht="14.5" x14ac:dyDescent="0.35">
      <c r="A446" t="s">
        <v>844</v>
      </c>
      <c r="B446" t="s">
        <v>845</v>
      </c>
      <c r="C446" t="s">
        <v>159</v>
      </c>
      <c r="D446" t="s">
        <v>269</v>
      </c>
      <c r="E446">
        <v>4.7</v>
      </c>
      <c r="F446">
        <v>64681</v>
      </c>
      <c r="G446">
        <v>776172</v>
      </c>
      <c r="H446">
        <v>15.9</v>
      </c>
      <c r="I446">
        <v>123411</v>
      </c>
      <c r="J446">
        <v>899583</v>
      </c>
      <c r="K446" t="s">
        <v>1650</v>
      </c>
      <c r="L446">
        <v>14.6</v>
      </c>
    </row>
    <row r="447" spans="1:12" ht="14.5" x14ac:dyDescent="0.35">
      <c r="A447" t="s">
        <v>846</v>
      </c>
      <c r="B447" t="s">
        <v>847</v>
      </c>
      <c r="C447" t="s">
        <v>52</v>
      </c>
      <c r="D447" t="s">
        <v>102</v>
      </c>
      <c r="E447">
        <v>2.2000000000000002</v>
      </c>
      <c r="F447">
        <v>82000</v>
      </c>
      <c r="G447">
        <v>984000</v>
      </c>
      <c r="H447">
        <v>16.600000000000001</v>
      </c>
      <c r="I447">
        <v>163344</v>
      </c>
      <c r="J447">
        <v>1147344</v>
      </c>
      <c r="K447" t="s">
        <v>1651</v>
      </c>
      <c r="L447">
        <v>5.2</v>
      </c>
    </row>
    <row r="448" spans="1:12" ht="14.5" x14ac:dyDescent="0.35">
      <c r="A448" t="s">
        <v>848</v>
      </c>
      <c r="B448" t="s">
        <v>765</v>
      </c>
      <c r="C448" t="s">
        <v>108</v>
      </c>
      <c r="D448" t="s">
        <v>114</v>
      </c>
      <c r="E448">
        <v>3.5</v>
      </c>
      <c r="F448">
        <v>45987</v>
      </c>
      <c r="G448">
        <v>551844</v>
      </c>
      <c r="H448">
        <v>9.4</v>
      </c>
      <c r="I448">
        <v>51873</v>
      </c>
      <c r="J448">
        <v>603717</v>
      </c>
      <c r="K448" t="s">
        <v>1651</v>
      </c>
      <c r="L448">
        <v>9.3000000000000007</v>
      </c>
    </row>
    <row r="449" spans="1:12" ht="14.5" x14ac:dyDescent="0.35">
      <c r="A449" t="s">
        <v>849</v>
      </c>
      <c r="B449" t="s">
        <v>850</v>
      </c>
      <c r="C449" t="s">
        <v>27</v>
      </c>
      <c r="D449" t="s">
        <v>87</v>
      </c>
      <c r="E449">
        <v>3.7</v>
      </c>
      <c r="F449">
        <v>90873</v>
      </c>
      <c r="G449">
        <v>1090476</v>
      </c>
      <c r="H449">
        <v>14.8</v>
      </c>
      <c r="I449">
        <v>161390</v>
      </c>
      <c r="J449">
        <v>1251866</v>
      </c>
      <c r="K449" t="s">
        <v>1652</v>
      </c>
      <c r="L449">
        <v>8.6999999999999993</v>
      </c>
    </row>
    <row r="450" spans="1:12" ht="14.5" x14ac:dyDescent="0.35">
      <c r="A450" t="s">
        <v>851</v>
      </c>
      <c r="B450" t="s">
        <v>546</v>
      </c>
      <c r="C450" t="s">
        <v>40</v>
      </c>
      <c r="D450" t="s">
        <v>293</v>
      </c>
      <c r="E450">
        <v>5.7</v>
      </c>
      <c r="F450">
        <v>31416</v>
      </c>
      <c r="G450">
        <v>376992</v>
      </c>
      <c r="H450">
        <v>7.7</v>
      </c>
      <c r="I450">
        <v>29028</v>
      </c>
      <c r="J450">
        <v>406020</v>
      </c>
      <c r="K450" t="s">
        <v>1653</v>
      </c>
      <c r="L450">
        <v>9.8000000000000007</v>
      </c>
    </row>
    <row r="451" spans="1:12" ht="14.5" x14ac:dyDescent="0.35">
      <c r="A451" t="s">
        <v>852</v>
      </c>
      <c r="B451" t="s">
        <v>853</v>
      </c>
      <c r="C451" t="s">
        <v>69</v>
      </c>
      <c r="D451" t="s">
        <v>105</v>
      </c>
      <c r="E451">
        <v>2.5</v>
      </c>
      <c r="F451">
        <v>97393</v>
      </c>
      <c r="G451">
        <v>1168716</v>
      </c>
      <c r="H451">
        <v>4.8</v>
      </c>
      <c r="I451">
        <v>56098</v>
      </c>
      <c r="J451">
        <v>1224814</v>
      </c>
      <c r="K451" t="s">
        <v>1655</v>
      </c>
      <c r="L451">
        <v>5</v>
      </c>
    </row>
    <row r="452" spans="1:12" ht="14.5" x14ac:dyDescent="0.35">
      <c r="A452" t="s">
        <v>854</v>
      </c>
      <c r="B452" t="s">
        <v>855</v>
      </c>
      <c r="C452" t="s">
        <v>69</v>
      </c>
      <c r="D452" t="s">
        <v>117</v>
      </c>
      <c r="E452">
        <v>5</v>
      </c>
      <c r="F452">
        <v>62934</v>
      </c>
      <c r="G452">
        <v>755208</v>
      </c>
      <c r="H452">
        <v>11.6</v>
      </c>
      <c r="I452">
        <v>87604</v>
      </c>
      <c r="J452">
        <v>842812</v>
      </c>
      <c r="K452" t="s">
        <v>1650</v>
      </c>
      <c r="L452">
        <v>11.2</v>
      </c>
    </row>
    <row r="453" spans="1:12" ht="14.5" x14ac:dyDescent="0.35">
      <c r="A453" t="s">
        <v>856</v>
      </c>
      <c r="B453" t="s">
        <v>684</v>
      </c>
      <c r="C453" t="s">
        <v>69</v>
      </c>
      <c r="D453" t="s">
        <v>319</v>
      </c>
      <c r="E453">
        <v>5.8</v>
      </c>
      <c r="F453">
        <v>51081</v>
      </c>
      <c r="G453">
        <v>612972</v>
      </c>
      <c r="H453">
        <v>8.1</v>
      </c>
      <c r="I453">
        <v>49651</v>
      </c>
      <c r="J453">
        <v>662623</v>
      </c>
      <c r="K453" t="s">
        <v>1654</v>
      </c>
      <c r="L453">
        <v>10.6</v>
      </c>
    </row>
    <row r="454" spans="1:12" ht="14.5" x14ac:dyDescent="0.35">
      <c r="A454" t="s">
        <v>857</v>
      </c>
      <c r="B454" t="s">
        <v>275</v>
      </c>
      <c r="C454" t="s">
        <v>40</v>
      </c>
      <c r="D454" t="s">
        <v>293</v>
      </c>
      <c r="E454">
        <v>1.4</v>
      </c>
      <c r="F454">
        <v>101873</v>
      </c>
      <c r="G454">
        <v>1222476</v>
      </c>
      <c r="H454">
        <v>12.8</v>
      </c>
      <c r="I454">
        <v>156477</v>
      </c>
      <c r="J454">
        <v>1378953</v>
      </c>
      <c r="K454" t="s">
        <v>1650</v>
      </c>
      <c r="L454">
        <v>7.8</v>
      </c>
    </row>
    <row r="455" spans="1:12" ht="14.5" x14ac:dyDescent="0.35">
      <c r="A455" t="s">
        <v>858</v>
      </c>
      <c r="B455" t="s">
        <v>101</v>
      </c>
      <c r="C455" t="s">
        <v>69</v>
      </c>
      <c r="D455" t="s">
        <v>70</v>
      </c>
      <c r="E455">
        <v>2.2000000000000002</v>
      </c>
      <c r="F455">
        <v>32975</v>
      </c>
      <c r="G455">
        <v>395700</v>
      </c>
      <c r="H455">
        <v>11.1</v>
      </c>
      <c r="I455">
        <v>43923</v>
      </c>
      <c r="J455">
        <v>439623</v>
      </c>
      <c r="K455" t="s">
        <v>1653</v>
      </c>
      <c r="L455">
        <v>7</v>
      </c>
    </row>
    <row r="456" spans="1:12" ht="14.5" x14ac:dyDescent="0.35">
      <c r="A456" t="s">
        <v>859</v>
      </c>
      <c r="B456" t="s">
        <v>860</v>
      </c>
      <c r="C456" t="s">
        <v>69</v>
      </c>
      <c r="D456" t="s">
        <v>319</v>
      </c>
      <c r="E456">
        <v>1.8</v>
      </c>
      <c r="F456">
        <v>90650</v>
      </c>
      <c r="G456">
        <v>1087800</v>
      </c>
      <c r="H456">
        <v>11.1</v>
      </c>
      <c r="I456">
        <v>120746</v>
      </c>
      <c r="J456">
        <v>1208546</v>
      </c>
      <c r="K456" t="s">
        <v>1653</v>
      </c>
      <c r="L456">
        <v>10.3</v>
      </c>
    </row>
    <row r="457" spans="1:12" ht="14.5" x14ac:dyDescent="0.35">
      <c r="A457" t="s">
        <v>861</v>
      </c>
      <c r="B457" t="s">
        <v>229</v>
      </c>
      <c r="C457" t="s">
        <v>45</v>
      </c>
      <c r="D457" t="s">
        <v>234</v>
      </c>
      <c r="E457">
        <v>5.8</v>
      </c>
      <c r="F457">
        <v>70413</v>
      </c>
      <c r="G457">
        <v>844956</v>
      </c>
      <c r="H457">
        <v>16.2</v>
      </c>
      <c r="I457">
        <v>136883</v>
      </c>
      <c r="J457">
        <v>981839</v>
      </c>
      <c r="K457" t="s">
        <v>1652</v>
      </c>
      <c r="L457">
        <v>3.8</v>
      </c>
    </row>
    <row r="458" spans="1:12" ht="14.5" x14ac:dyDescent="0.35">
      <c r="A458" t="s">
        <v>862</v>
      </c>
      <c r="B458" t="s">
        <v>863</v>
      </c>
      <c r="C458" t="s">
        <v>159</v>
      </c>
      <c r="D458" t="s">
        <v>187</v>
      </c>
      <c r="E458">
        <v>1.8</v>
      </c>
      <c r="F458">
        <v>75826</v>
      </c>
      <c r="G458">
        <v>909912</v>
      </c>
      <c r="H458">
        <v>5.0999999999999996</v>
      </c>
      <c r="I458">
        <v>46406</v>
      </c>
      <c r="J458">
        <v>956318</v>
      </c>
      <c r="K458" t="s">
        <v>1650</v>
      </c>
      <c r="L458">
        <v>5.8</v>
      </c>
    </row>
    <row r="459" spans="1:12" ht="14.5" x14ac:dyDescent="0.35">
      <c r="A459" t="s">
        <v>864</v>
      </c>
      <c r="B459" t="s">
        <v>693</v>
      </c>
      <c r="C459" t="s">
        <v>56</v>
      </c>
      <c r="D459" t="s">
        <v>79</v>
      </c>
      <c r="E459">
        <v>4.0999999999999996</v>
      </c>
      <c r="F459">
        <v>45884</v>
      </c>
      <c r="G459">
        <v>550608</v>
      </c>
      <c r="H459">
        <v>14.3</v>
      </c>
      <c r="I459">
        <v>78737</v>
      </c>
      <c r="J459">
        <v>629345</v>
      </c>
      <c r="K459" t="s">
        <v>1655</v>
      </c>
      <c r="L459">
        <v>6.6</v>
      </c>
    </row>
    <row r="460" spans="1:12" ht="14.5" x14ac:dyDescent="0.35">
      <c r="A460" t="s">
        <v>865</v>
      </c>
      <c r="B460" t="s">
        <v>684</v>
      </c>
      <c r="C460" t="s">
        <v>108</v>
      </c>
      <c r="D460" t="s">
        <v>126</v>
      </c>
      <c r="E460">
        <v>0.9</v>
      </c>
      <c r="F460">
        <v>74769</v>
      </c>
      <c r="G460">
        <v>897228</v>
      </c>
      <c r="H460">
        <v>5.3</v>
      </c>
      <c r="I460">
        <v>47553</v>
      </c>
      <c r="J460">
        <v>944781</v>
      </c>
      <c r="K460" t="s">
        <v>1653</v>
      </c>
      <c r="L460">
        <v>6.9</v>
      </c>
    </row>
    <row r="461" spans="1:12" ht="14.5" x14ac:dyDescent="0.35">
      <c r="A461" t="s">
        <v>866</v>
      </c>
      <c r="B461" t="s">
        <v>867</v>
      </c>
      <c r="C461" t="s">
        <v>159</v>
      </c>
      <c r="D461" t="s">
        <v>324</v>
      </c>
      <c r="E461">
        <v>6.3</v>
      </c>
      <c r="F461">
        <v>51292</v>
      </c>
      <c r="G461">
        <v>615504</v>
      </c>
      <c r="H461">
        <v>6.9</v>
      </c>
      <c r="I461">
        <v>42470</v>
      </c>
      <c r="J461">
        <v>657974</v>
      </c>
      <c r="K461" t="s">
        <v>1650</v>
      </c>
      <c r="L461">
        <v>9.4</v>
      </c>
    </row>
    <row r="462" spans="1:12" ht="14.5" x14ac:dyDescent="0.35">
      <c r="A462" t="s">
        <v>868</v>
      </c>
      <c r="B462" t="s">
        <v>869</v>
      </c>
      <c r="C462" t="s">
        <v>45</v>
      </c>
      <c r="D462" t="s">
        <v>239</v>
      </c>
      <c r="E462">
        <v>1</v>
      </c>
      <c r="F462">
        <v>69709</v>
      </c>
      <c r="G462">
        <v>836508</v>
      </c>
      <c r="H462">
        <v>8.8000000000000007</v>
      </c>
      <c r="I462">
        <v>73613</v>
      </c>
      <c r="J462">
        <v>910121</v>
      </c>
      <c r="K462" t="s">
        <v>1655</v>
      </c>
      <c r="L462">
        <v>13.4</v>
      </c>
    </row>
    <row r="463" spans="1:12" ht="14.5" x14ac:dyDescent="0.35">
      <c r="A463" t="s">
        <v>870</v>
      </c>
      <c r="B463" t="s">
        <v>871</v>
      </c>
      <c r="C463" t="s">
        <v>69</v>
      </c>
      <c r="D463" t="s">
        <v>319</v>
      </c>
      <c r="E463">
        <v>6.2</v>
      </c>
      <c r="F463">
        <v>71406</v>
      </c>
      <c r="G463">
        <v>856872</v>
      </c>
      <c r="H463">
        <v>14.5</v>
      </c>
      <c r="I463">
        <v>124246</v>
      </c>
      <c r="J463">
        <v>981118</v>
      </c>
      <c r="K463" t="s">
        <v>1655</v>
      </c>
      <c r="L463">
        <v>6.7</v>
      </c>
    </row>
    <row r="464" spans="1:12" ht="14.5" x14ac:dyDescent="0.35">
      <c r="A464" t="s">
        <v>872</v>
      </c>
      <c r="B464" t="s">
        <v>873</v>
      </c>
      <c r="C464" t="s">
        <v>69</v>
      </c>
      <c r="D464" t="s">
        <v>150</v>
      </c>
      <c r="E464">
        <v>6.8</v>
      </c>
      <c r="F464">
        <v>120925</v>
      </c>
      <c r="G464">
        <v>1451100</v>
      </c>
      <c r="H464">
        <v>6.4</v>
      </c>
      <c r="I464">
        <v>92870</v>
      </c>
      <c r="J464">
        <v>1543970</v>
      </c>
      <c r="K464" t="s">
        <v>1654</v>
      </c>
      <c r="L464">
        <v>13.3</v>
      </c>
    </row>
    <row r="465" spans="1:12" ht="14.5" x14ac:dyDescent="0.35">
      <c r="A465" t="s">
        <v>874</v>
      </c>
      <c r="B465" t="s">
        <v>863</v>
      </c>
      <c r="C465" t="s">
        <v>108</v>
      </c>
      <c r="D465" t="s">
        <v>114</v>
      </c>
      <c r="E465">
        <v>4.9000000000000004</v>
      </c>
      <c r="F465">
        <v>118855</v>
      </c>
      <c r="G465">
        <v>1426260</v>
      </c>
      <c r="H465">
        <v>8.3000000000000007</v>
      </c>
      <c r="I465">
        <v>118380</v>
      </c>
      <c r="J465">
        <v>1544640</v>
      </c>
      <c r="K465" t="s">
        <v>1650</v>
      </c>
      <c r="L465">
        <v>6.5</v>
      </c>
    </row>
    <row r="466" spans="1:12" ht="14.5" x14ac:dyDescent="0.35">
      <c r="A466" t="s">
        <v>875</v>
      </c>
      <c r="B466" t="s">
        <v>876</v>
      </c>
      <c r="C466" t="s">
        <v>36</v>
      </c>
      <c r="D466" t="s">
        <v>37</v>
      </c>
      <c r="E466">
        <v>3.4</v>
      </c>
      <c r="F466">
        <v>85438</v>
      </c>
      <c r="G466">
        <v>1025256</v>
      </c>
      <c r="H466">
        <v>16.600000000000001</v>
      </c>
      <c r="I466">
        <v>170192</v>
      </c>
      <c r="J466">
        <v>1195448</v>
      </c>
      <c r="K466" t="s">
        <v>1651</v>
      </c>
      <c r="L466">
        <v>14.2</v>
      </c>
    </row>
    <row r="467" spans="1:12" ht="14.5" x14ac:dyDescent="0.35">
      <c r="A467" t="s">
        <v>877</v>
      </c>
      <c r="B467" t="s">
        <v>878</v>
      </c>
      <c r="C467" t="s">
        <v>159</v>
      </c>
      <c r="D467" t="s">
        <v>324</v>
      </c>
      <c r="E467">
        <v>3.8</v>
      </c>
      <c r="F467">
        <v>99568</v>
      </c>
      <c r="G467">
        <v>1194816</v>
      </c>
      <c r="H467">
        <v>5.3</v>
      </c>
      <c r="I467">
        <v>63325</v>
      </c>
      <c r="J467">
        <v>1258141</v>
      </c>
      <c r="K467" t="s">
        <v>1650</v>
      </c>
      <c r="L467">
        <v>10.9</v>
      </c>
    </row>
    <row r="468" spans="1:12" ht="14.5" x14ac:dyDescent="0.35">
      <c r="A468" t="s">
        <v>879</v>
      </c>
      <c r="B468" t="s">
        <v>880</v>
      </c>
      <c r="C468" t="s">
        <v>108</v>
      </c>
      <c r="D468" t="s">
        <v>109</v>
      </c>
      <c r="E468">
        <v>6.9</v>
      </c>
      <c r="F468">
        <v>32379</v>
      </c>
      <c r="G468">
        <v>388548</v>
      </c>
      <c r="H468">
        <v>14.1</v>
      </c>
      <c r="I468">
        <v>54785</v>
      </c>
      <c r="J468">
        <v>443333</v>
      </c>
      <c r="K468" t="s">
        <v>1651</v>
      </c>
      <c r="L468">
        <v>12.2</v>
      </c>
    </row>
    <row r="469" spans="1:12" ht="14.5" x14ac:dyDescent="0.35">
      <c r="A469" t="s">
        <v>881</v>
      </c>
      <c r="B469" t="s">
        <v>882</v>
      </c>
      <c r="C469" t="s">
        <v>40</v>
      </c>
      <c r="D469" t="s">
        <v>293</v>
      </c>
      <c r="E469">
        <v>3.9</v>
      </c>
      <c r="F469">
        <v>50296</v>
      </c>
      <c r="G469">
        <v>603552</v>
      </c>
      <c r="H469">
        <v>8</v>
      </c>
      <c r="I469">
        <v>48284</v>
      </c>
      <c r="J469">
        <v>651836</v>
      </c>
      <c r="K469" t="s">
        <v>1654</v>
      </c>
      <c r="L469">
        <v>8.8000000000000007</v>
      </c>
    </row>
    <row r="470" spans="1:12" ht="14.5" x14ac:dyDescent="0.35">
      <c r="A470" t="s">
        <v>883</v>
      </c>
      <c r="B470" t="s">
        <v>884</v>
      </c>
      <c r="C470" t="s">
        <v>159</v>
      </c>
      <c r="D470" t="s">
        <v>160</v>
      </c>
      <c r="E470">
        <v>1.1000000000000001</v>
      </c>
      <c r="F470">
        <v>108431</v>
      </c>
      <c r="G470">
        <v>1301172</v>
      </c>
      <c r="H470">
        <v>4.7</v>
      </c>
      <c r="I470">
        <v>61155</v>
      </c>
      <c r="J470">
        <v>1362327</v>
      </c>
      <c r="K470" t="s">
        <v>1652</v>
      </c>
      <c r="L470">
        <v>5.6</v>
      </c>
    </row>
    <row r="471" spans="1:12" ht="14.5" x14ac:dyDescent="0.35">
      <c r="A471" t="s">
        <v>885</v>
      </c>
      <c r="B471" t="s">
        <v>400</v>
      </c>
      <c r="C471" t="s">
        <v>52</v>
      </c>
      <c r="D471" t="s">
        <v>224</v>
      </c>
      <c r="E471">
        <v>6</v>
      </c>
      <c r="F471">
        <v>35019</v>
      </c>
      <c r="G471">
        <v>420228</v>
      </c>
      <c r="H471">
        <v>12.2</v>
      </c>
      <c r="I471">
        <v>51268</v>
      </c>
      <c r="J471">
        <v>471496</v>
      </c>
      <c r="K471" t="s">
        <v>1655</v>
      </c>
      <c r="L471">
        <v>14.7</v>
      </c>
    </row>
    <row r="472" spans="1:12" ht="14.5" x14ac:dyDescent="0.35">
      <c r="A472" t="s">
        <v>886</v>
      </c>
      <c r="B472" t="s">
        <v>506</v>
      </c>
      <c r="C472" t="s">
        <v>69</v>
      </c>
      <c r="D472" t="s">
        <v>117</v>
      </c>
      <c r="E472">
        <v>1.7</v>
      </c>
      <c r="F472">
        <v>62768</v>
      </c>
      <c r="G472">
        <v>753216</v>
      </c>
      <c r="H472">
        <v>16.399999999999999</v>
      </c>
      <c r="I472">
        <v>123527</v>
      </c>
      <c r="J472">
        <v>876743</v>
      </c>
      <c r="K472" t="s">
        <v>1655</v>
      </c>
      <c r="L472">
        <v>12.6</v>
      </c>
    </row>
    <row r="473" spans="1:12" ht="14.5" x14ac:dyDescent="0.35">
      <c r="A473" t="s">
        <v>887</v>
      </c>
      <c r="B473" t="s">
        <v>850</v>
      </c>
      <c r="C473" t="s">
        <v>36</v>
      </c>
      <c r="D473" t="s">
        <v>93</v>
      </c>
      <c r="E473">
        <v>3.3</v>
      </c>
      <c r="F473">
        <v>102943</v>
      </c>
      <c r="G473">
        <v>1235316</v>
      </c>
      <c r="H473">
        <v>5.6</v>
      </c>
      <c r="I473">
        <v>69178</v>
      </c>
      <c r="J473">
        <v>1304494</v>
      </c>
      <c r="K473" t="s">
        <v>1650</v>
      </c>
      <c r="L473">
        <v>13.9</v>
      </c>
    </row>
    <row r="474" spans="1:12" ht="14.5" x14ac:dyDescent="0.35">
      <c r="A474" t="s">
        <v>888</v>
      </c>
      <c r="B474" t="s">
        <v>147</v>
      </c>
      <c r="C474" t="s">
        <v>159</v>
      </c>
      <c r="D474" t="s">
        <v>160</v>
      </c>
      <c r="E474">
        <v>3</v>
      </c>
      <c r="F474">
        <v>39485</v>
      </c>
      <c r="G474">
        <v>473820</v>
      </c>
      <c r="H474">
        <v>10</v>
      </c>
      <c r="I474">
        <v>47382</v>
      </c>
      <c r="J474">
        <v>521202</v>
      </c>
      <c r="K474" t="s">
        <v>1650</v>
      </c>
      <c r="L474">
        <v>7.7</v>
      </c>
    </row>
    <row r="475" spans="1:12" ht="14.5" x14ac:dyDescent="0.35">
      <c r="A475" t="s">
        <v>889</v>
      </c>
      <c r="B475" t="s">
        <v>542</v>
      </c>
      <c r="C475" t="s">
        <v>108</v>
      </c>
      <c r="D475" t="s">
        <v>109</v>
      </c>
      <c r="E475">
        <v>5.4</v>
      </c>
      <c r="F475">
        <v>50391</v>
      </c>
      <c r="G475">
        <v>604692</v>
      </c>
      <c r="H475">
        <v>9.1999999999999993</v>
      </c>
      <c r="I475">
        <v>55632</v>
      </c>
      <c r="J475">
        <v>660324</v>
      </c>
      <c r="K475" t="s">
        <v>1650</v>
      </c>
      <c r="L475">
        <v>12.1</v>
      </c>
    </row>
    <row r="476" spans="1:12" ht="14.5" x14ac:dyDescent="0.35">
      <c r="A476" t="s">
        <v>890</v>
      </c>
      <c r="B476" t="s">
        <v>891</v>
      </c>
      <c r="C476" t="s">
        <v>21</v>
      </c>
      <c r="D476" t="s">
        <v>153</v>
      </c>
      <c r="E476">
        <v>3.3</v>
      </c>
      <c r="F476">
        <v>89727</v>
      </c>
      <c r="G476">
        <v>1076724</v>
      </c>
      <c r="H476">
        <v>4.4000000000000004</v>
      </c>
      <c r="I476">
        <v>47376</v>
      </c>
      <c r="J476">
        <v>1124100</v>
      </c>
      <c r="K476" t="s">
        <v>1653</v>
      </c>
      <c r="L476">
        <v>12.2</v>
      </c>
    </row>
    <row r="477" spans="1:12" ht="14.5" x14ac:dyDescent="0.35">
      <c r="A477" t="s">
        <v>892</v>
      </c>
      <c r="B477" t="s">
        <v>808</v>
      </c>
      <c r="C477" t="s">
        <v>21</v>
      </c>
      <c r="D477" t="s">
        <v>49</v>
      </c>
      <c r="E477">
        <v>3.6</v>
      </c>
      <c r="F477">
        <v>77996</v>
      </c>
      <c r="G477">
        <v>935952</v>
      </c>
      <c r="H477">
        <v>9.9</v>
      </c>
      <c r="I477">
        <v>92659</v>
      </c>
      <c r="J477">
        <v>1028611</v>
      </c>
      <c r="K477" t="s">
        <v>1654</v>
      </c>
      <c r="L477">
        <v>12</v>
      </c>
    </row>
    <row r="478" spans="1:12" ht="14.5" x14ac:dyDescent="0.35">
      <c r="A478" t="s">
        <v>893</v>
      </c>
      <c r="B478" t="s">
        <v>104</v>
      </c>
      <c r="C478" t="s">
        <v>108</v>
      </c>
      <c r="D478" t="s">
        <v>114</v>
      </c>
      <c r="E478">
        <v>2.5</v>
      </c>
      <c r="F478">
        <v>62524</v>
      </c>
      <c r="G478">
        <v>750288</v>
      </c>
      <c r="H478">
        <v>14.1</v>
      </c>
      <c r="I478">
        <v>105791</v>
      </c>
      <c r="J478">
        <v>856079</v>
      </c>
      <c r="K478" t="s">
        <v>1650</v>
      </c>
      <c r="L478">
        <v>10</v>
      </c>
    </row>
    <row r="479" spans="1:12" ht="14.5" x14ac:dyDescent="0.35">
      <c r="A479" t="s">
        <v>894</v>
      </c>
      <c r="B479" t="s">
        <v>895</v>
      </c>
      <c r="C479" t="s">
        <v>45</v>
      </c>
      <c r="D479" t="s">
        <v>296</v>
      </c>
      <c r="E479">
        <v>6.8</v>
      </c>
      <c r="F479">
        <v>115574</v>
      </c>
      <c r="G479">
        <v>1386888</v>
      </c>
      <c r="H479">
        <v>12.8</v>
      </c>
      <c r="I479">
        <v>177522</v>
      </c>
      <c r="J479">
        <v>1564410</v>
      </c>
      <c r="K479" t="s">
        <v>1654</v>
      </c>
      <c r="L479">
        <v>9</v>
      </c>
    </row>
    <row r="480" spans="1:12" ht="14.5" x14ac:dyDescent="0.35">
      <c r="A480" t="s">
        <v>896</v>
      </c>
      <c r="B480" t="s">
        <v>850</v>
      </c>
      <c r="C480" t="s">
        <v>56</v>
      </c>
      <c r="D480" t="s">
        <v>112</v>
      </c>
      <c r="E480">
        <v>1.9</v>
      </c>
      <c r="F480">
        <v>82870</v>
      </c>
      <c r="G480">
        <v>994440</v>
      </c>
      <c r="H480">
        <v>11.1</v>
      </c>
      <c r="I480">
        <v>110383</v>
      </c>
      <c r="J480">
        <v>1104823</v>
      </c>
      <c r="K480" t="s">
        <v>1654</v>
      </c>
      <c r="L480">
        <v>8.3000000000000007</v>
      </c>
    </row>
    <row r="481" spans="1:12" ht="14.5" x14ac:dyDescent="0.35">
      <c r="A481" t="s">
        <v>897</v>
      </c>
      <c r="B481" t="s">
        <v>814</v>
      </c>
      <c r="C481" t="s">
        <v>45</v>
      </c>
      <c r="D481" t="s">
        <v>234</v>
      </c>
      <c r="E481">
        <v>6.9</v>
      </c>
      <c r="F481">
        <v>79747</v>
      </c>
      <c r="G481">
        <v>956964</v>
      </c>
      <c r="H481">
        <v>6</v>
      </c>
      <c r="I481">
        <v>57418</v>
      </c>
      <c r="J481">
        <v>1014382</v>
      </c>
      <c r="K481" t="s">
        <v>1652</v>
      </c>
      <c r="L481">
        <v>14.4</v>
      </c>
    </row>
    <row r="482" spans="1:12" ht="14.5" x14ac:dyDescent="0.35">
      <c r="A482" t="s">
        <v>898</v>
      </c>
      <c r="B482" t="s">
        <v>653</v>
      </c>
      <c r="C482" t="s">
        <v>27</v>
      </c>
      <c r="D482" t="s">
        <v>87</v>
      </c>
      <c r="E482">
        <v>5.8</v>
      </c>
      <c r="F482">
        <v>49910</v>
      </c>
      <c r="G482">
        <v>598920</v>
      </c>
      <c r="H482">
        <v>10.7</v>
      </c>
      <c r="I482">
        <v>64084</v>
      </c>
      <c r="J482">
        <v>663004</v>
      </c>
      <c r="K482" t="s">
        <v>1652</v>
      </c>
      <c r="L482">
        <v>3.2</v>
      </c>
    </row>
    <row r="483" spans="1:12" ht="14.5" x14ac:dyDescent="0.35">
      <c r="A483" t="s">
        <v>899</v>
      </c>
      <c r="B483" t="s">
        <v>481</v>
      </c>
      <c r="C483" t="s">
        <v>159</v>
      </c>
      <c r="D483" t="s">
        <v>160</v>
      </c>
      <c r="E483">
        <v>2.9</v>
      </c>
      <c r="F483">
        <v>54465</v>
      </c>
      <c r="G483">
        <v>653580</v>
      </c>
      <c r="H483">
        <v>14.6</v>
      </c>
      <c r="I483">
        <v>95423</v>
      </c>
      <c r="J483">
        <v>749003</v>
      </c>
      <c r="K483" t="s">
        <v>1650</v>
      </c>
      <c r="L483">
        <v>8.3000000000000007</v>
      </c>
    </row>
    <row r="484" spans="1:12" ht="14.5" x14ac:dyDescent="0.35">
      <c r="A484" t="s">
        <v>900</v>
      </c>
      <c r="B484" t="s">
        <v>456</v>
      </c>
      <c r="C484" t="s">
        <v>45</v>
      </c>
      <c r="D484" t="s">
        <v>46</v>
      </c>
      <c r="E484">
        <v>6.8</v>
      </c>
      <c r="F484">
        <v>78868</v>
      </c>
      <c r="G484">
        <v>946416</v>
      </c>
      <c r="H484">
        <v>10.5</v>
      </c>
      <c r="I484">
        <v>99374</v>
      </c>
      <c r="J484">
        <v>1045790</v>
      </c>
      <c r="K484" t="s">
        <v>1652</v>
      </c>
      <c r="L484">
        <v>7.6</v>
      </c>
    </row>
    <row r="485" spans="1:12" ht="14.5" x14ac:dyDescent="0.35">
      <c r="A485" t="s">
        <v>901</v>
      </c>
      <c r="B485" t="s">
        <v>432</v>
      </c>
      <c r="C485" t="s">
        <v>27</v>
      </c>
      <c r="D485" t="s">
        <v>73</v>
      </c>
      <c r="E485">
        <v>2.6</v>
      </c>
      <c r="F485">
        <v>29620</v>
      </c>
      <c r="G485">
        <v>355440</v>
      </c>
      <c r="H485">
        <v>12.4</v>
      </c>
      <c r="I485">
        <v>44075</v>
      </c>
      <c r="J485">
        <v>399515</v>
      </c>
      <c r="K485" t="s">
        <v>1651</v>
      </c>
      <c r="L485">
        <v>14.2</v>
      </c>
    </row>
    <row r="486" spans="1:12" ht="14.5" x14ac:dyDescent="0.35">
      <c r="A486" t="s">
        <v>902</v>
      </c>
      <c r="B486" t="s">
        <v>610</v>
      </c>
      <c r="C486" t="s">
        <v>45</v>
      </c>
      <c r="D486" t="s">
        <v>239</v>
      </c>
      <c r="E486">
        <v>6.1</v>
      </c>
      <c r="F486">
        <v>47424</v>
      </c>
      <c r="G486">
        <v>569088</v>
      </c>
      <c r="H486">
        <v>7.2</v>
      </c>
      <c r="I486">
        <v>40974</v>
      </c>
      <c r="J486">
        <v>610062</v>
      </c>
      <c r="K486" t="s">
        <v>1653</v>
      </c>
      <c r="L486">
        <v>6.8</v>
      </c>
    </row>
    <row r="487" spans="1:12" ht="14.5" x14ac:dyDescent="0.35">
      <c r="A487" t="s">
        <v>903</v>
      </c>
      <c r="B487" t="s">
        <v>904</v>
      </c>
      <c r="C487" t="s">
        <v>45</v>
      </c>
      <c r="D487" t="s">
        <v>296</v>
      </c>
      <c r="E487">
        <v>6.6</v>
      </c>
      <c r="F487">
        <v>65498</v>
      </c>
      <c r="G487">
        <v>785976</v>
      </c>
      <c r="H487">
        <v>16.100000000000001</v>
      </c>
      <c r="I487">
        <v>126542</v>
      </c>
      <c r="J487">
        <v>912518</v>
      </c>
      <c r="K487" t="s">
        <v>1650</v>
      </c>
      <c r="L487">
        <v>14.5</v>
      </c>
    </row>
    <row r="488" spans="1:12" ht="14.5" x14ac:dyDescent="0.35">
      <c r="A488" t="s">
        <v>905</v>
      </c>
      <c r="B488" t="s">
        <v>906</v>
      </c>
      <c r="C488" t="s">
        <v>40</v>
      </c>
      <c r="D488" t="s">
        <v>65</v>
      </c>
      <c r="E488">
        <v>2.2999999999999998</v>
      </c>
      <c r="F488">
        <v>102976</v>
      </c>
      <c r="G488">
        <v>1235712</v>
      </c>
      <c r="H488">
        <v>10.1</v>
      </c>
      <c r="I488">
        <v>124807</v>
      </c>
      <c r="J488">
        <v>1360519</v>
      </c>
      <c r="K488" t="s">
        <v>1654</v>
      </c>
      <c r="L488">
        <v>4.0999999999999996</v>
      </c>
    </row>
    <row r="489" spans="1:12" ht="14.5" x14ac:dyDescent="0.35">
      <c r="A489" t="s">
        <v>907</v>
      </c>
      <c r="B489" t="s">
        <v>248</v>
      </c>
      <c r="C489" t="s">
        <v>52</v>
      </c>
      <c r="D489" t="s">
        <v>195</v>
      </c>
      <c r="E489">
        <v>6.1</v>
      </c>
      <c r="F489">
        <v>109034</v>
      </c>
      <c r="G489">
        <v>1308408</v>
      </c>
      <c r="H489">
        <v>8.5</v>
      </c>
      <c r="I489">
        <v>111215</v>
      </c>
      <c r="J489">
        <v>1419623</v>
      </c>
      <c r="K489" t="s">
        <v>1654</v>
      </c>
      <c r="L489">
        <v>3.5</v>
      </c>
    </row>
    <row r="490" spans="1:12" ht="14.5" x14ac:dyDescent="0.35">
      <c r="A490" t="s">
        <v>908</v>
      </c>
      <c r="B490" t="s">
        <v>909</v>
      </c>
      <c r="C490" t="s">
        <v>52</v>
      </c>
      <c r="D490" t="s">
        <v>224</v>
      </c>
      <c r="E490">
        <v>7.2</v>
      </c>
      <c r="F490">
        <v>90287</v>
      </c>
      <c r="G490">
        <v>1083444</v>
      </c>
      <c r="H490">
        <v>9.1999999999999993</v>
      </c>
      <c r="I490">
        <v>99677</v>
      </c>
      <c r="J490">
        <v>1183121</v>
      </c>
      <c r="K490" t="s">
        <v>1653</v>
      </c>
      <c r="L490">
        <v>6.9</v>
      </c>
    </row>
    <row r="491" spans="1:12" ht="14.5" x14ac:dyDescent="0.35">
      <c r="A491" t="s">
        <v>910</v>
      </c>
      <c r="B491" t="s">
        <v>298</v>
      </c>
      <c r="C491" t="s">
        <v>40</v>
      </c>
      <c r="D491" t="s">
        <v>41</v>
      </c>
      <c r="E491">
        <v>4.3</v>
      </c>
      <c r="F491">
        <v>64745</v>
      </c>
      <c r="G491">
        <v>776940</v>
      </c>
      <c r="H491">
        <v>7.8</v>
      </c>
      <c r="I491">
        <v>60601</v>
      </c>
      <c r="J491">
        <v>837541</v>
      </c>
      <c r="K491" t="s">
        <v>1654</v>
      </c>
      <c r="L491">
        <v>11.5</v>
      </c>
    </row>
    <row r="492" spans="1:12" ht="14.5" x14ac:dyDescent="0.35">
      <c r="A492" t="s">
        <v>911</v>
      </c>
      <c r="B492" t="s">
        <v>699</v>
      </c>
      <c r="C492" t="s">
        <v>21</v>
      </c>
      <c r="D492" t="s">
        <v>133</v>
      </c>
      <c r="E492">
        <v>2.8</v>
      </c>
      <c r="F492">
        <v>70056</v>
      </c>
      <c r="G492">
        <v>840672</v>
      </c>
      <c r="H492">
        <v>13.7</v>
      </c>
      <c r="I492">
        <v>115172</v>
      </c>
      <c r="J492">
        <v>955844</v>
      </c>
      <c r="K492" t="s">
        <v>1655</v>
      </c>
      <c r="L492">
        <v>3.8</v>
      </c>
    </row>
    <row r="493" spans="1:12" ht="14.5" x14ac:dyDescent="0.35">
      <c r="A493" t="s">
        <v>912</v>
      </c>
      <c r="B493" t="s">
        <v>701</v>
      </c>
      <c r="C493" t="s">
        <v>45</v>
      </c>
      <c r="D493" t="s">
        <v>296</v>
      </c>
      <c r="E493">
        <v>5.4</v>
      </c>
      <c r="F493">
        <v>81368</v>
      </c>
      <c r="G493">
        <v>976416</v>
      </c>
      <c r="H493">
        <v>16.600000000000001</v>
      </c>
      <c r="I493">
        <v>162085</v>
      </c>
      <c r="J493">
        <v>1138501</v>
      </c>
      <c r="K493" t="s">
        <v>1653</v>
      </c>
      <c r="L493">
        <v>5</v>
      </c>
    </row>
    <row r="494" spans="1:12" ht="14.5" x14ac:dyDescent="0.35">
      <c r="A494" t="s">
        <v>913</v>
      </c>
      <c r="B494" t="s">
        <v>914</v>
      </c>
      <c r="C494" t="s">
        <v>27</v>
      </c>
      <c r="D494" t="s">
        <v>73</v>
      </c>
      <c r="E494">
        <v>6</v>
      </c>
      <c r="F494">
        <v>36600</v>
      </c>
      <c r="G494">
        <v>439200</v>
      </c>
      <c r="H494">
        <v>5.5</v>
      </c>
      <c r="I494">
        <v>24156</v>
      </c>
      <c r="J494">
        <v>463356</v>
      </c>
      <c r="K494" t="s">
        <v>1651</v>
      </c>
      <c r="L494">
        <v>3.8</v>
      </c>
    </row>
    <row r="495" spans="1:12" ht="14.5" x14ac:dyDescent="0.35">
      <c r="A495" t="s">
        <v>915</v>
      </c>
      <c r="B495" t="s">
        <v>61</v>
      </c>
      <c r="C495" t="s">
        <v>56</v>
      </c>
      <c r="D495" t="s">
        <v>112</v>
      </c>
      <c r="E495">
        <v>5.6</v>
      </c>
      <c r="F495">
        <v>54309</v>
      </c>
      <c r="G495">
        <v>651708</v>
      </c>
      <c r="H495">
        <v>12.4</v>
      </c>
      <c r="I495">
        <v>80812</v>
      </c>
      <c r="J495">
        <v>732520</v>
      </c>
      <c r="K495" t="s">
        <v>1655</v>
      </c>
      <c r="L495">
        <v>4.7</v>
      </c>
    </row>
    <row r="496" spans="1:12" ht="14.5" x14ac:dyDescent="0.35">
      <c r="A496" t="s">
        <v>916</v>
      </c>
      <c r="B496" t="s">
        <v>280</v>
      </c>
      <c r="C496" t="s">
        <v>69</v>
      </c>
      <c r="D496" t="s">
        <v>105</v>
      </c>
      <c r="E496">
        <v>3.7</v>
      </c>
      <c r="F496">
        <v>120357</v>
      </c>
      <c r="G496">
        <v>1444284</v>
      </c>
      <c r="H496">
        <v>5.3</v>
      </c>
      <c r="I496">
        <v>76547</v>
      </c>
      <c r="J496">
        <v>1520831</v>
      </c>
      <c r="K496" t="s">
        <v>1654</v>
      </c>
      <c r="L496">
        <v>9.1999999999999993</v>
      </c>
    </row>
    <row r="497" spans="1:12" ht="14.5" x14ac:dyDescent="0.35">
      <c r="A497" t="s">
        <v>917</v>
      </c>
      <c r="B497" t="s">
        <v>918</v>
      </c>
      <c r="C497" t="s">
        <v>40</v>
      </c>
      <c r="D497" t="s">
        <v>65</v>
      </c>
      <c r="E497">
        <v>7.4</v>
      </c>
      <c r="F497">
        <v>59711</v>
      </c>
      <c r="G497">
        <v>716532</v>
      </c>
      <c r="H497">
        <v>10.6</v>
      </c>
      <c r="I497">
        <v>75952</v>
      </c>
      <c r="J497">
        <v>792484</v>
      </c>
      <c r="K497" t="s">
        <v>1650</v>
      </c>
      <c r="L497">
        <v>10</v>
      </c>
    </row>
    <row r="498" spans="1:12" ht="14.5" x14ac:dyDescent="0.35">
      <c r="A498" t="s">
        <v>919</v>
      </c>
      <c r="B498" t="s">
        <v>920</v>
      </c>
      <c r="C498" t="s">
        <v>45</v>
      </c>
      <c r="D498" t="s">
        <v>239</v>
      </c>
      <c r="E498">
        <v>1.2</v>
      </c>
      <c r="F498">
        <v>100264</v>
      </c>
      <c r="G498">
        <v>1203168</v>
      </c>
      <c r="H498">
        <v>11.1</v>
      </c>
      <c r="I498">
        <v>133552</v>
      </c>
      <c r="J498">
        <v>1336720</v>
      </c>
      <c r="K498" t="s">
        <v>1650</v>
      </c>
      <c r="L498">
        <v>11.6</v>
      </c>
    </row>
    <row r="499" spans="1:12" ht="14.5" x14ac:dyDescent="0.35">
      <c r="A499" t="s">
        <v>921</v>
      </c>
      <c r="B499" t="s">
        <v>842</v>
      </c>
      <c r="C499" t="s">
        <v>159</v>
      </c>
      <c r="D499" t="s">
        <v>269</v>
      </c>
      <c r="E499">
        <v>7.4</v>
      </c>
      <c r="F499">
        <v>78667</v>
      </c>
      <c r="G499">
        <v>944004</v>
      </c>
      <c r="H499">
        <v>15.2</v>
      </c>
      <c r="I499">
        <v>143489</v>
      </c>
      <c r="J499">
        <v>1087493</v>
      </c>
      <c r="K499" t="s">
        <v>1652</v>
      </c>
      <c r="L499">
        <v>13.6</v>
      </c>
    </row>
    <row r="500" spans="1:12" ht="14.5" x14ac:dyDescent="0.35">
      <c r="A500" t="s">
        <v>922</v>
      </c>
      <c r="B500" t="s">
        <v>430</v>
      </c>
      <c r="C500" t="s">
        <v>45</v>
      </c>
      <c r="D500" t="s">
        <v>234</v>
      </c>
      <c r="E500">
        <v>5.4</v>
      </c>
      <c r="F500">
        <v>63269</v>
      </c>
      <c r="G500">
        <v>759228</v>
      </c>
      <c r="H500">
        <v>18</v>
      </c>
      <c r="I500">
        <v>136661</v>
      </c>
      <c r="J500">
        <v>895889</v>
      </c>
      <c r="K500" t="s">
        <v>1651</v>
      </c>
      <c r="L500">
        <v>6.1</v>
      </c>
    </row>
    <row r="501" spans="1:12" ht="14.5" x14ac:dyDescent="0.35">
      <c r="A501" t="s">
        <v>923</v>
      </c>
      <c r="B501" t="s">
        <v>924</v>
      </c>
      <c r="C501" t="s">
        <v>27</v>
      </c>
      <c r="D501" t="s">
        <v>28</v>
      </c>
      <c r="E501">
        <v>6.3</v>
      </c>
      <c r="F501">
        <v>112852</v>
      </c>
      <c r="G501">
        <v>1354224</v>
      </c>
      <c r="H501">
        <v>13.1</v>
      </c>
      <c r="I501">
        <v>177403</v>
      </c>
      <c r="J501">
        <v>1531627</v>
      </c>
      <c r="K501" t="s">
        <v>1655</v>
      </c>
      <c r="L501">
        <v>14.3</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N501"/>
  <sheetViews>
    <sheetView zoomScaleNormal="100" workbookViewId="0">
      <pane ySplit="1" topLeftCell="A2" activePane="bottomLeft" state="frozen"/>
      <selection pane="bottomLeft" activeCell="G16" sqref="A2:N501"/>
    </sheetView>
  </sheetViews>
  <sheetFormatPr defaultColWidth="8.6328125" defaultRowHeight="15" customHeight="1" x14ac:dyDescent="0.35"/>
  <cols>
    <col min="1" max="2" width="14" customWidth="1"/>
    <col min="3" max="3" width="18" customWidth="1"/>
    <col min="4" max="4" width="27" customWidth="1"/>
    <col min="5" max="5" width="20.453125" customWidth="1"/>
    <col min="6" max="6" width="21.90625" customWidth="1"/>
    <col min="7" max="7" width="20.08984375" customWidth="1"/>
    <col min="8" max="8" width="14" customWidth="1"/>
    <col min="9" max="9" width="16" customWidth="1"/>
    <col min="10" max="10" width="22" customWidth="1"/>
    <col min="11" max="11" width="14" customWidth="1"/>
    <col min="12" max="12" width="16.453125" customWidth="1"/>
    <col min="13" max="13" width="21.54296875" customWidth="1"/>
    <col min="14" max="14" width="16" customWidth="1"/>
  </cols>
  <sheetData>
    <row r="1" spans="1:14" ht="30" customHeight="1" x14ac:dyDescent="0.35">
      <c r="A1" s="1" t="s">
        <v>1656</v>
      </c>
      <c r="B1" s="1" t="s">
        <v>1657</v>
      </c>
      <c r="C1" s="1" t="s">
        <v>0</v>
      </c>
      <c r="D1" s="1" t="s">
        <v>9</v>
      </c>
      <c r="E1" s="1" t="s">
        <v>1658</v>
      </c>
      <c r="F1" s="1" t="s">
        <v>1659</v>
      </c>
      <c r="G1" s="1" t="s">
        <v>1660</v>
      </c>
      <c r="H1" s="1" t="s">
        <v>1661</v>
      </c>
      <c r="I1" s="1" t="s">
        <v>1662</v>
      </c>
      <c r="J1" s="1" t="s">
        <v>1663</v>
      </c>
      <c r="K1" s="1" t="s">
        <v>1664</v>
      </c>
      <c r="L1" s="1" t="s">
        <v>1665</v>
      </c>
      <c r="M1" s="1" t="s">
        <v>1666</v>
      </c>
      <c r="N1" s="1" t="s">
        <v>1667</v>
      </c>
    </row>
    <row r="2" spans="1:14" ht="14.5" x14ac:dyDescent="0.35">
      <c r="A2" t="s">
        <v>1668</v>
      </c>
      <c r="B2">
        <v>2029</v>
      </c>
      <c r="C2" t="s">
        <v>27</v>
      </c>
      <c r="D2" t="s">
        <v>76</v>
      </c>
      <c r="E2">
        <v>22</v>
      </c>
      <c r="F2">
        <v>24</v>
      </c>
      <c r="G2">
        <v>32</v>
      </c>
      <c r="H2">
        <v>2</v>
      </c>
      <c r="I2">
        <v>10</v>
      </c>
      <c r="J2" t="s">
        <v>1669</v>
      </c>
      <c r="K2">
        <v>41</v>
      </c>
      <c r="L2" t="s">
        <v>1670</v>
      </c>
      <c r="M2">
        <v>17.3</v>
      </c>
      <c r="N2" t="s">
        <v>1671</v>
      </c>
    </row>
    <row r="3" spans="1:14" ht="14.5" x14ac:dyDescent="0.35">
      <c r="A3" t="s">
        <v>1672</v>
      </c>
      <c r="B3">
        <v>2026</v>
      </c>
      <c r="C3" t="s">
        <v>36</v>
      </c>
      <c r="D3" t="s">
        <v>62</v>
      </c>
      <c r="E3">
        <v>68</v>
      </c>
      <c r="F3">
        <v>81</v>
      </c>
      <c r="G3">
        <v>101</v>
      </c>
      <c r="H3">
        <v>13</v>
      </c>
      <c r="I3">
        <v>33</v>
      </c>
      <c r="J3" t="s">
        <v>1673</v>
      </c>
      <c r="K3">
        <v>29</v>
      </c>
      <c r="L3" t="s">
        <v>1670</v>
      </c>
      <c r="M3">
        <v>4.5</v>
      </c>
      <c r="N3" t="s">
        <v>1674</v>
      </c>
    </row>
    <row r="4" spans="1:14" ht="14.5" x14ac:dyDescent="0.35">
      <c r="A4" t="s">
        <v>1675</v>
      </c>
      <c r="B4">
        <v>2028</v>
      </c>
      <c r="C4" t="s">
        <v>159</v>
      </c>
      <c r="D4" t="s">
        <v>269</v>
      </c>
      <c r="E4">
        <v>51</v>
      </c>
      <c r="F4">
        <v>55</v>
      </c>
      <c r="G4">
        <v>57</v>
      </c>
      <c r="H4">
        <v>4</v>
      </c>
      <c r="I4">
        <v>6</v>
      </c>
      <c r="J4" t="s">
        <v>1676</v>
      </c>
      <c r="K4">
        <v>12</v>
      </c>
      <c r="L4" t="s">
        <v>1670</v>
      </c>
      <c r="M4">
        <v>11.2</v>
      </c>
      <c r="N4" t="s">
        <v>1671</v>
      </c>
    </row>
    <row r="5" spans="1:14" ht="14.5" x14ac:dyDescent="0.35">
      <c r="A5" t="s">
        <v>1677</v>
      </c>
      <c r="B5">
        <v>2026</v>
      </c>
      <c r="C5" t="s">
        <v>56</v>
      </c>
      <c r="D5" t="s">
        <v>57</v>
      </c>
      <c r="E5">
        <v>22</v>
      </c>
      <c r="F5">
        <v>25</v>
      </c>
      <c r="G5">
        <v>39</v>
      </c>
      <c r="H5">
        <v>3</v>
      </c>
      <c r="I5">
        <v>17</v>
      </c>
      <c r="J5" t="s">
        <v>1669</v>
      </c>
      <c r="K5">
        <v>12</v>
      </c>
      <c r="L5" t="s">
        <v>1678</v>
      </c>
      <c r="M5">
        <v>6.9</v>
      </c>
      <c r="N5" t="s">
        <v>1674</v>
      </c>
    </row>
    <row r="6" spans="1:14" ht="14.5" x14ac:dyDescent="0.35">
      <c r="A6" t="s">
        <v>1679</v>
      </c>
      <c r="B6">
        <v>2026</v>
      </c>
      <c r="C6" t="s">
        <v>56</v>
      </c>
      <c r="D6" t="s">
        <v>57</v>
      </c>
      <c r="E6">
        <v>58</v>
      </c>
      <c r="F6">
        <v>67</v>
      </c>
      <c r="G6">
        <v>84</v>
      </c>
      <c r="H6">
        <v>9</v>
      </c>
      <c r="I6">
        <v>26</v>
      </c>
      <c r="J6" t="s">
        <v>1680</v>
      </c>
      <c r="K6">
        <v>21</v>
      </c>
      <c r="L6" t="s">
        <v>1670</v>
      </c>
      <c r="M6">
        <v>12.5</v>
      </c>
      <c r="N6" t="s">
        <v>1678</v>
      </c>
    </row>
    <row r="7" spans="1:14" ht="14.5" x14ac:dyDescent="0.35">
      <c r="A7" t="s">
        <v>1681</v>
      </c>
      <c r="B7">
        <v>2027</v>
      </c>
      <c r="C7" t="s">
        <v>52</v>
      </c>
      <c r="D7" t="s">
        <v>195</v>
      </c>
      <c r="E7">
        <v>61</v>
      </c>
      <c r="F7">
        <v>67</v>
      </c>
      <c r="G7">
        <v>85</v>
      </c>
      <c r="H7">
        <v>6</v>
      </c>
      <c r="I7">
        <v>24</v>
      </c>
      <c r="J7" t="s">
        <v>1669</v>
      </c>
      <c r="K7">
        <v>33</v>
      </c>
      <c r="L7" t="s">
        <v>1671</v>
      </c>
      <c r="M7">
        <v>8.4</v>
      </c>
      <c r="N7" t="s">
        <v>1674</v>
      </c>
    </row>
    <row r="8" spans="1:14" ht="14.5" x14ac:dyDescent="0.35">
      <c r="A8" t="s">
        <v>1682</v>
      </c>
      <c r="B8">
        <v>2030</v>
      </c>
      <c r="C8" t="s">
        <v>21</v>
      </c>
      <c r="D8" t="s">
        <v>133</v>
      </c>
      <c r="E8">
        <v>15</v>
      </c>
      <c r="F8">
        <v>18</v>
      </c>
      <c r="G8">
        <v>27</v>
      </c>
      <c r="H8">
        <v>3</v>
      </c>
      <c r="I8">
        <v>12</v>
      </c>
      <c r="J8" t="s">
        <v>1676</v>
      </c>
      <c r="K8">
        <v>43</v>
      </c>
      <c r="L8" t="s">
        <v>1671</v>
      </c>
      <c r="M8">
        <v>12.6</v>
      </c>
      <c r="N8" t="s">
        <v>1670</v>
      </c>
    </row>
    <row r="9" spans="1:14" ht="14.5" x14ac:dyDescent="0.35">
      <c r="A9" t="s">
        <v>1683</v>
      </c>
      <c r="B9">
        <v>2027</v>
      </c>
      <c r="C9" t="s">
        <v>21</v>
      </c>
      <c r="D9" t="s">
        <v>163</v>
      </c>
      <c r="E9">
        <v>50</v>
      </c>
      <c r="F9">
        <v>63</v>
      </c>
      <c r="G9">
        <v>67</v>
      </c>
      <c r="H9">
        <v>13</v>
      </c>
      <c r="I9">
        <v>17</v>
      </c>
      <c r="J9" t="s">
        <v>1673</v>
      </c>
      <c r="K9">
        <v>12</v>
      </c>
      <c r="L9" t="s">
        <v>1678</v>
      </c>
      <c r="M9">
        <v>17.7</v>
      </c>
      <c r="N9" t="s">
        <v>1678</v>
      </c>
    </row>
    <row r="10" spans="1:14" ht="14.5" x14ac:dyDescent="0.35">
      <c r="A10" t="s">
        <v>1684</v>
      </c>
      <c r="B10">
        <v>2026</v>
      </c>
      <c r="C10" t="s">
        <v>69</v>
      </c>
      <c r="D10" t="s">
        <v>319</v>
      </c>
      <c r="E10">
        <v>53</v>
      </c>
      <c r="F10">
        <v>67</v>
      </c>
      <c r="G10">
        <v>74</v>
      </c>
      <c r="H10">
        <v>14</v>
      </c>
      <c r="I10">
        <v>21</v>
      </c>
      <c r="J10" t="s">
        <v>1685</v>
      </c>
      <c r="K10">
        <v>42</v>
      </c>
      <c r="L10" t="s">
        <v>1678</v>
      </c>
      <c r="M10">
        <v>5.4</v>
      </c>
      <c r="N10" t="s">
        <v>1674</v>
      </c>
    </row>
    <row r="11" spans="1:14" ht="14.5" x14ac:dyDescent="0.35">
      <c r="A11" t="s">
        <v>1686</v>
      </c>
      <c r="B11">
        <v>2026</v>
      </c>
      <c r="C11" t="s">
        <v>56</v>
      </c>
      <c r="D11" t="s">
        <v>217</v>
      </c>
      <c r="E11">
        <v>27</v>
      </c>
      <c r="F11">
        <v>30</v>
      </c>
      <c r="G11">
        <v>30</v>
      </c>
      <c r="H11">
        <v>3</v>
      </c>
      <c r="I11">
        <v>3</v>
      </c>
      <c r="J11" t="s">
        <v>1673</v>
      </c>
      <c r="K11">
        <v>36</v>
      </c>
      <c r="L11" t="s">
        <v>1670</v>
      </c>
      <c r="M11">
        <v>17.2</v>
      </c>
      <c r="N11" t="s">
        <v>1678</v>
      </c>
    </row>
    <row r="12" spans="1:14" ht="14.5" x14ac:dyDescent="0.35">
      <c r="A12" t="s">
        <v>1687</v>
      </c>
      <c r="B12">
        <v>2028</v>
      </c>
      <c r="C12" t="s">
        <v>69</v>
      </c>
      <c r="D12" t="s">
        <v>117</v>
      </c>
      <c r="E12">
        <v>57</v>
      </c>
      <c r="F12">
        <v>68</v>
      </c>
      <c r="G12">
        <v>84</v>
      </c>
      <c r="H12">
        <v>11</v>
      </c>
      <c r="I12">
        <v>27</v>
      </c>
      <c r="J12" t="s">
        <v>1688</v>
      </c>
      <c r="K12">
        <v>42</v>
      </c>
      <c r="L12" t="s">
        <v>1671</v>
      </c>
      <c r="M12">
        <v>12.1</v>
      </c>
      <c r="N12" t="s">
        <v>1674</v>
      </c>
    </row>
    <row r="13" spans="1:14" ht="14.5" x14ac:dyDescent="0.35">
      <c r="A13" t="s">
        <v>1689</v>
      </c>
      <c r="B13">
        <v>2028</v>
      </c>
      <c r="C13" t="s">
        <v>27</v>
      </c>
      <c r="D13" t="s">
        <v>87</v>
      </c>
      <c r="E13">
        <v>59</v>
      </c>
      <c r="F13">
        <v>72</v>
      </c>
      <c r="G13">
        <v>87</v>
      </c>
      <c r="H13">
        <v>13</v>
      </c>
      <c r="I13">
        <v>28</v>
      </c>
      <c r="J13" t="s">
        <v>1676</v>
      </c>
      <c r="K13">
        <v>22</v>
      </c>
      <c r="L13" t="s">
        <v>1670</v>
      </c>
      <c r="M13">
        <v>5.5</v>
      </c>
      <c r="N13" t="s">
        <v>1670</v>
      </c>
    </row>
    <row r="14" spans="1:14" ht="14.5" x14ac:dyDescent="0.35">
      <c r="A14" t="s">
        <v>1690</v>
      </c>
      <c r="B14">
        <v>2030</v>
      </c>
      <c r="C14" t="s">
        <v>40</v>
      </c>
      <c r="D14" t="s">
        <v>65</v>
      </c>
      <c r="E14">
        <v>19</v>
      </c>
      <c r="F14">
        <v>27</v>
      </c>
      <c r="G14">
        <v>38</v>
      </c>
      <c r="H14">
        <v>8</v>
      </c>
      <c r="I14">
        <v>19</v>
      </c>
      <c r="J14" t="s">
        <v>1669</v>
      </c>
      <c r="K14">
        <v>22</v>
      </c>
      <c r="L14" t="s">
        <v>1678</v>
      </c>
      <c r="M14">
        <v>6.8</v>
      </c>
      <c r="N14" t="s">
        <v>1671</v>
      </c>
    </row>
    <row r="15" spans="1:14" ht="14.5" x14ac:dyDescent="0.35">
      <c r="A15" t="s">
        <v>1691</v>
      </c>
      <c r="B15">
        <v>2030</v>
      </c>
      <c r="C15" t="s">
        <v>108</v>
      </c>
      <c r="D15" t="s">
        <v>206</v>
      </c>
      <c r="E15">
        <v>10</v>
      </c>
      <c r="F15">
        <v>16</v>
      </c>
      <c r="G15">
        <v>18</v>
      </c>
      <c r="H15">
        <v>6</v>
      </c>
      <c r="I15">
        <v>8</v>
      </c>
      <c r="J15" t="s">
        <v>1673</v>
      </c>
      <c r="K15">
        <v>16</v>
      </c>
      <c r="L15" t="s">
        <v>1671</v>
      </c>
      <c r="M15">
        <v>10.5</v>
      </c>
      <c r="N15" t="s">
        <v>1674</v>
      </c>
    </row>
    <row r="16" spans="1:14" ht="14.5" x14ac:dyDescent="0.35">
      <c r="A16" t="s">
        <v>1692</v>
      </c>
      <c r="B16">
        <v>2027</v>
      </c>
      <c r="C16" t="s">
        <v>21</v>
      </c>
      <c r="D16" t="s">
        <v>153</v>
      </c>
      <c r="E16">
        <v>79</v>
      </c>
      <c r="F16">
        <v>86</v>
      </c>
      <c r="G16">
        <v>94</v>
      </c>
      <c r="H16">
        <v>7</v>
      </c>
      <c r="I16">
        <v>15</v>
      </c>
      <c r="J16" t="s">
        <v>1693</v>
      </c>
      <c r="K16">
        <v>24</v>
      </c>
      <c r="L16" t="s">
        <v>1670</v>
      </c>
      <c r="M16">
        <v>11.7</v>
      </c>
      <c r="N16" t="s">
        <v>1671</v>
      </c>
    </row>
    <row r="17" spans="1:14" ht="14.5" x14ac:dyDescent="0.35">
      <c r="A17" t="s">
        <v>1694</v>
      </c>
      <c r="B17">
        <v>2027</v>
      </c>
      <c r="C17" t="s">
        <v>159</v>
      </c>
      <c r="D17" t="s">
        <v>269</v>
      </c>
      <c r="E17">
        <v>68</v>
      </c>
      <c r="F17">
        <v>67</v>
      </c>
      <c r="G17">
        <v>67</v>
      </c>
      <c r="H17">
        <v>-1</v>
      </c>
      <c r="I17">
        <v>-1</v>
      </c>
      <c r="J17" t="s">
        <v>1688</v>
      </c>
      <c r="K17">
        <v>24</v>
      </c>
      <c r="L17" t="s">
        <v>1678</v>
      </c>
      <c r="M17">
        <v>12.9</v>
      </c>
      <c r="N17" t="s">
        <v>1670</v>
      </c>
    </row>
    <row r="18" spans="1:14" ht="14.5" x14ac:dyDescent="0.35">
      <c r="A18" t="s">
        <v>1695</v>
      </c>
      <c r="B18">
        <v>2026</v>
      </c>
      <c r="C18" t="s">
        <v>40</v>
      </c>
      <c r="D18" t="s">
        <v>293</v>
      </c>
      <c r="E18">
        <v>65</v>
      </c>
      <c r="F18">
        <v>66</v>
      </c>
      <c r="G18">
        <v>71</v>
      </c>
      <c r="H18">
        <v>1</v>
      </c>
      <c r="I18">
        <v>6</v>
      </c>
      <c r="J18" t="s">
        <v>1676</v>
      </c>
      <c r="K18">
        <v>8</v>
      </c>
      <c r="L18" t="s">
        <v>1670</v>
      </c>
      <c r="M18">
        <v>17.7</v>
      </c>
      <c r="N18" t="s">
        <v>1678</v>
      </c>
    </row>
    <row r="19" spans="1:14" ht="14.5" x14ac:dyDescent="0.35">
      <c r="A19" t="s">
        <v>1696</v>
      </c>
      <c r="B19">
        <v>2027</v>
      </c>
      <c r="C19" t="s">
        <v>56</v>
      </c>
      <c r="D19" t="s">
        <v>79</v>
      </c>
      <c r="E19">
        <v>73</v>
      </c>
      <c r="F19">
        <v>72</v>
      </c>
      <c r="G19">
        <v>84</v>
      </c>
      <c r="H19">
        <v>-1</v>
      </c>
      <c r="I19">
        <v>11</v>
      </c>
      <c r="J19" t="s">
        <v>1680</v>
      </c>
      <c r="K19">
        <v>40</v>
      </c>
      <c r="L19" t="s">
        <v>1670</v>
      </c>
      <c r="M19">
        <v>6.7</v>
      </c>
      <c r="N19" t="s">
        <v>1674</v>
      </c>
    </row>
    <row r="20" spans="1:14" ht="14.5" x14ac:dyDescent="0.35">
      <c r="A20" t="s">
        <v>1697</v>
      </c>
      <c r="B20">
        <v>2030</v>
      </c>
      <c r="C20" t="s">
        <v>108</v>
      </c>
      <c r="D20" t="s">
        <v>206</v>
      </c>
      <c r="E20">
        <v>66</v>
      </c>
      <c r="F20">
        <v>74</v>
      </c>
      <c r="G20">
        <v>80</v>
      </c>
      <c r="H20">
        <v>8</v>
      </c>
      <c r="I20">
        <v>14</v>
      </c>
      <c r="J20" t="s">
        <v>1688</v>
      </c>
      <c r="K20">
        <v>13</v>
      </c>
      <c r="L20" t="s">
        <v>1678</v>
      </c>
      <c r="M20">
        <v>11</v>
      </c>
      <c r="N20" t="s">
        <v>1678</v>
      </c>
    </row>
    <row r="21" spans="1:14" ht="14.5" x14ac:dyDescent="0.35">
      <c r="A21" t="s">
        <v>1698</v>
      </c>
      <c r="B21">
        <v>2030</v>
      </c>
      <c r="C21" t="s">
        <v>27</v>
      </c>
      <c r="D21" t="s">
        <v>76</v>
      </c>
      <c r="E21">
        <v>48</v>
      </c>
      <c r="F21">
        <v>47</v>
      </c>
      <c r="G21">
        <v>58</v>
      </c>
      <c r="H21">
        <v>-1</v>
      </c>
      <c r="I21">
        <v>10</v>
      </c>
      <c r="J21" t="s">
        <v>1680</v>
      </c>
      <c r="K21">
        <v>37</v>
      </c>
      <c r="L21" t="s">
        <v>1670</v>
      </c>
      <c r="M21">
        <v>11.8</v>
      </c>
      <c r="N21" t="s">
        <v>1670</v>
      </c>
    </row>
    <row r="22" spans="1:14" ht="14.5" x14ac:dyDescent="0.35">
      <c r="A22" t="s">
        <v>1699</v>
      </c>
      <c r="B22">
        <v>2026</v>
      </c>
      <c r="C22" t="s">
        <v>27</v>
      </c>
      <c r="D22" t="s">
        <v>87</v>
      </c>
      <c r="E22">
        <v>40</v>
      </c>
      <c r="F22">
        <v>51</v>
      </c>
      <c r="G22">
        <v>60</v>
      </c>
      <c r="H22">
        <v>11</v>
      </c>
      <c r="I22">
        <v>20</v>
      </c>
      <c r="J22" t="s">
        <v>1693</v>
      </c>
      <c r="K22">
        <v>12</v>
      </c>
      <c r="L22" t="s">
        <v>1678</v>
      </c>
      <c r="M22">
        <v>3.1</v>
      </c>
      <c r="N22" t="s">
        <v>1671</v>
      </c>
    </row>
    <row r="23" spans="1:14" ht="14.5" x14ac:dyDescent="0.35">
      <c r="A23" t="s">
        <v>1700</v>
      </c>
      <c r="B23">
        <v>2026</v>
      </c>
      <c r="C23" t="s">
        <v>36</v>
      </c>
      <c r="D23" t="s">
        <v>84</v>
      </c>
      <c r="E23">
        <v>62</v>
      </c>
      <c r="F23">
        <v>61</v>
      </c>
      <c r="G23">
        <v>61</v>
      </c>
      <c r="H23">
        <v>-1</v>
      </c>
      <c r="I23">
        <v>-1</v>
      </c>
      <c r="J23" t="s">
        <v>1669</v>
      </c>
      <c r="K23">
        <v>32</v>
      </c>
      <c r="L23" t="s">
        <v>1678</v>
      </c>
      <c r="M23">
        <v>6.2</v>
      </c>
      <c r="N23" t="s">
        <v>1670</v>
      </c>
    </row>
    <row r="24" spans="1:14" ht="14.5" x14ac:dyDescent="0.35">
      <c r="A24" t="s">
        <v>1701</v>
      </c>
      <c r="B24">
        <v>2027</v>
      </c>
      <c r="C24" t="s">
        <v>108</v>
      </c>
      <c r="D24" t="s">
        <v>109</v>
      </c>
      <c r="E24">
        <v>70</v>
      </c>
      <c r="F24">
        <v>70</v>
      </c>
      <c r="G24">
        <v>70</v>
      </c>
      <c r="H24">
        <v>0</v>
      </c>
      <c r="I24">
        <v>0</v>
      </c>
      <c r="J24" t="s">
        <v>1676</v>
      </c>
      <c r="K24">
        <v>30</v>
      </c>
      <c r="L24" t="s">
        <v>1670</v>
      </c>
      <c r="M24">
        <v>17</v>
      </c>
      <c r="N24" t="s">
        <v>1674</v>
      </c>
    </row>
    <row r="25" spans="1:14" ht="14.5" x14ac:dyDescent="0.35">
      <c r="A25" t="s">
        <v>1702</v>
      </c>
      <c r="B25">
        <v>2027</v>
      </c>
      <c r="C25" t="s">
        <v>159</v>
      </c>
      <c r="D25" t="s">
        <v>160</v>
      </c>
      <c r="E25">
        <v>76</v>
      </c>
      <c r="F25">
        <v>85</v>
      </c>
      <c r="G25">
        <v>86</v>
      </c>
      <c r="H25">
        <v>9</v>
      </c>
      <c r="I25">
        <v>10</v>
      </c>
      <c r="J25" t="s">
        <v>1685</v>
      </c>
      <c r="K25">
        <v>40</v>
      </c>
      <c r="L25" t="s">
        <v>1671</v>
      </c>
      <c r="M25">
        <v>4</v>
      </c>
      <c r="N25" t="s">
        <v>1671</v>
      </c>
    </row>
    <row r="26" spans="1:14" ht="14.5" x14ac:dyDescent="0.35">
      <c r="A26" t="s">
        <v>1703</v>
      </c>
      <c r="B26">
        <v>2030</v>
      </c>
      <c r="C26" t="s">
        <v>36</v>
      </c>
      <c r="D26" t="s">
        <v>37</v>
      </c>
      <c r="E26">
        <v>48</v>
      </c>
      <c r="F26">
        <v>55</v>
      </c>
      <c r="G26">
        <v>67</v>
      </c>
      <c r="H26">
        <v>7</v>
      </c>
      <c r="I26">
        <v>19</v>
      </c>
      <c r="J26" t="s">
        <v>1693</v>
      </c>
      <c r="K26">
        <v>23</v>
      </c>
      <c r="L26" t="s">
        <v>1671</v>
      </c>
      <c r="M26">
        <v>17.899999999999999</v>
      </c>
      <c r="N26" t="s">
        <v>1678</v>
      </c>
    </row>
    <row r="27" spans="1:14" ht="14.5" x14ac:dyDescent="0.35">
      <c r="A27" t="s">
        <v>1704</v>
      </c>
      <c r="B27">
        <v>2026</v>
      </c>
      <c r="C27" t="s">
        <v>21</v>
      </c>
      <c r="D27" t="s">
        <v>153</v>
      </c>
      <c r="E27">
        <v>49</v>
      </c>
      <c r="F27">
        <v>52</v>
      </c>
      <c r="G27">
        <v>61</v>
      </c>
      <c r="H27">
        <v>3</v>
      </c>
      <c r="I27">
        <v>12</v>
      </c>
      <c r="J27" t="s">
        <v>1673</v>
      </c>
      <c r="K27">
        <v>8</v>
      </c>
      <c r="L27" t="s">
        <v>1671</v>
      </c>
      <c r="M27">
        <v>8.5</v>
      </c>
      <c r="N27" t="s">
        <v>1678</v>
      </c>
    </row>
    <row r="28" spans="1:14" ht="14.5" x14ac:dyDescent="0.35">
      <c r="A28" t="s">
        <v>1705</v>
      </c>
      <c r="B28">
        <v>2026</v>
      </c>
      <c r="C28" t="s">
        <v>36</v>
      </c>
      <c r="D28" t="s">
        <v>62</v>
      </c>
      <c r="E28">
        <v>35</v>
      </c>
      <c r="F28">
        <v>43</v>
      </c>
      <c r="G28">
        <v>57</v>
      </c>
      <c r="H28">
        <v>8</v>
      </c>
      <c r="I28">
        <v>22</v>
      </c>
      <c r="J28" t="s">
        <v>1680</v>
      </c>
      <c r="K28">
        <v>40</v>
      </c>
      <c r="L28" t="s">
        <v>1670</v>
      </c>
      <c r="M28">
        <v>5.3</v>
      </c>
      <c r="N28" t="s">
        <v>1674</v>
      </c>
    </row>
    <row r="29" spans="1:14" ht="14.5" x14ac:dyDescent="0.35">
      <c r="A29" t="s">
        <v>1706</v>
      </c>
      <c r="B29">
        <v>2030</v>
      </c>
      <c r="C29" t="s">
        <v>108</v>
      </c>
      <c r="D29" t="s">
        <v>114</v>
      </c>
      <c r="E29">
        <v>14</v>
      </c>
      <c r="F29">
        <v>23</v>
      </c>
      <c r="G29">
        <v>30</v>
      </c>
      <c r="H29">
        <v>9</v>
      </c>
      <c r="I29">
        <v>16</v>
      </c>
      <c r="J29" t="s">
        <v>1676</v>
      </c>
      <c r="K29">
        <v>17</v>
      </c>
      <c r="L29" t="s">
        <v>1678</v>
      </c>
      <c r="M29">
        <v>16.899999999999999</v>
      </c>
      <c r="N29" t="s">
        <v>1671</v>
      </c>
    </row>
    <row r="30" spans="1:14" ht="14.5" x14ac:dyDescent="0.35">
      <c r="A30" t="s">
        <v>1707</v>
      </c>
      <c r="B30">
        <v>2026</v>
      </c>
      <c r="C30" t="s">
        <v>45</v>
      </c>
      <c r="D30" t="s">
        <v>234</v>
      </c>
      <c r="E30">
        <v>20</v>
      </c>
      <c r="F30">
        <v>22</v>
      </c>
      <c r="G30">
        <v>29</v>
      </c>
      <c r="H30">
        <v>2</v>
      </c>
      <c r="I30">
        <v>9</v>
      </c>
      <c r="J30" t="s">
        <v>1673</v>
      </c>
      <c r="K30">
        <v>37</v>
      </c>
      <c r="L30" t="s">
        <v>1678</v>
      </c>
      <c r="M30">
        <v>11.3</v>
      </c>
      <c r="N30" t="s">
        <v>1674</v>
      </c>
    </row>
    <row r="31" spans="1:14" ht="14.5" x14ac:dyDescent="0.35">
      <c r="A31" t="s">
        <v>1708</v>
      </c>
      <c r="B31">
        <v>2027</v>
      </c>
      <c r="C31" t="s">
        <v>36</v>
      </c>
      <c r="D31" t="s">
        <v>37</v>
      </c>
      <c r="E31">
        <v>12</v>
      </c>
      <c r="F31">
        <v>25</v>
      </c>
      <c r="G31">
        <v>33</v>
      </c>
      <c r="H31">
        <v>13</v>
      </c>
      <c r="I31">
        <v>21</v>
      </c>
      <c r="J31" t="s">
        <v>1669</v>
      </c>
      <c r="K31">
        <v>19</v>
      </c>
      <c r="L31" t="s">
        <v>1670</v>
      </c>
      <c r="M31">
        <v>11</v>
      </c>
      <c r="N31" t="s">
        <v>1670</v>
      </c>
    </row>
    <row r="32" spans="1:14" ht="14.5" x14ac:dyDescent="0.35">
      <c r="A32" t="s">
        <v>1709</v>
      </c>
      <c r="B32">
        <v>2027</v>
      </c>
      <c r="C32" t="s">
        <v>69</v>
      </c>
      <c r="D32" t="s">
        <v>117</v>
      </c>
      <c r="E32">
        <v>33</v>
      </c>
      <c r="F32">
        <v>46</v>
      </c>
      <c r="G32">
        <v>58</v>
      </c>
      <c r="H32">
        <v>13</v>
      </c>
      <c r="I32">
        <v>25</v>
      </c>
      <c r="J32" t="s">
        <v>1710</v>
      </c>
      <c r="K32">
        <v>7</v>
      </c>
      <c r="L32" t="s">
        <v>1671</v>
      </c>
      <c r="M32">
        <v>10.1</v>
      </c>
      <c r="N32" t="s">
        <v>1671</v>
      </c>
    </row>
    <row r="33" spans="1:14" ht="14.5" x14ac:dyDescent="0.35">
      <c r="A33" t="s">
        <v>1711</v>
      </c>
      <c r="B33">
        <v>2027</v>
      </c>
      <c r="C33" t="s">
        <v>45</v>
      </c>
      <c r="D33" t="s">
        <v>46</v>
      </c>
      <c r="E33">
        <v>40</v>
      </c>
      <c r="F33">
        <v>42</v>
      </c>
      <c r="G33">
        <v>51</v>
      </c>
      <c r="H33">
        <v>2</v>
      </c>
      <c r="I33">
        <v>11</v>
      </c>
      <c r="J33" t="s">
        <v>1685</v>
      </c>
      <c r="K33">
        <v>35</v>
      </c>
      <c r="L33" t="s">
        <v>1670</v>
      </c>
      <c r="M33">
        <v>16.5</v>
      </c>
      <c r="N33" t="s">
        <v>1670</v>
      </c>
    </row>
    <row r="34" spans="1:14" ht="14.5" x14ac:dyDescent="0.35">
      <c r="A34" t="s">
        <v>1712</v>
      </c>
      <c r="B34">
        <v>2027</v>
      </c>
      <c r="C34" t="s">
        <v>108</v>
      </c>
      <c r="D34" t="s">
        <v>109</v>
      </c>
      <c r="E34">
        <v>69</v>
      </c>
      <c r="F34">
        <v>74</v>
      </c>
      <c r="G34">
        <v>94</v>
      </c>
      <c r="H34">
        <v>5</v>
      </c>
      <c r="I34">
        <v>25</v>
      </c>
      <c r="J34" t="s">
        <v>1680</v>
      </c>
      <c r="K34">
        <v>20</v>
      </c>
      <c r="L34" t="s">
        <v>1678</v>
      </c>
      <c r="M34">
        <v>6.5</v>
      </c>
      <c r="N34" t="s">
        <v>1674</v>
      </c>
    </row>
    <row r="35" spans="1:14" ht="14.5" x14ac:dyDescent="0.35">
      <c r="A35" t="s">
        <v>1713</v>
      </c>
      <c r="B35">
        <v>2029</v>
      </c>
      <c r="C35" t="s">
        <v>52</v>
      </c>
      <c r="D35" t="s">
        <v>53</v>
      </c>
      <c r="E35">
        <v>32</v>
      </c>
      <c r="F35">
        <v>35</v>
      </c>
      <c r="G35">
        <v>39</v>
      </c>
      <c r="H35">
        <v>3</v>
      </c>
      <c r="I35">
        <v>7</v>
      </c>
      <c r="J35" t="s">
        <v>1710</v>
      </c>
      <c r="K35">
        <v>14</v>
      </c>
      <c r="L35" t="s">
        <v>1671</v>
      </c>
      <c r="M35">
        <v>4.5</v>
      </c>
      <c r="N35" t="s">
        <v>1670</v>
      </c>
    </row>
    <row r="36" spans="1:14" ht="14.5" x14ac:dyDescent="0.35">
      <c r="A36" t="s">
        <v>1714</v>
      </c>
      <c r="B36">
        <v>2027</v>
      </c>
      <c r="C36" t="s">
        <v>27</v>
      </c>
      <c r="D36" t="s">
        <v>87</v>
      </c>
      <c r="E36">
        <v>44</v>
      </c>
      <c r="F36">
        <v>50</v>
      </c>
      <c r="G36">
        <v>52</v>
      </c>
      <c r="H36">
        <v>6</v>
      </c>
      <c r="I36">
        <v>8</v>
      </c>
      <c r="J36" t="s">
        <v>1715</v>
      </c>
      <c r="K36">
        <v>34</v>
      </c>
      <c r="L36" t="s">
        <v>1678</v>
      </c>
      <c r="M36">
        <v>15.2</v>
      </c>
      <c r="N36" t="s">
        <v>1678</v>
      </c>
    </row>
    <row r="37" spans="1:14" ht="14.5" x14ac:dyDescent="0.35">
      <c r="A37" t="s">
        <v>1716</v>
      </c>
      <c r="B37">
        <v>2028</v>
      </c>
      <c r="C37" t="s">
        <v>27</v>
      </c>
      <c r="D37" t="s">
        <v>28</v>
      </c>
      <c r="E37">
        <v>78</v>
      </c>
      <c r="F37">
        <v>80</v>
      </c>
      <c r="G37">
        <v>89</v>
      </c>
      <c r="H37">
        <v>2</v>
      </c>
      <c r="I37">
        <v>11</v>
      </c>
      <c r="J37" t="s">
        <v>1673</v>
      </c>
      <c r="K37">
        <v>14</v>
      </c>
      <c r="L37" t="s">
        <v>1670</v>
      </c>
      <c r="M37">
        <v>12</v>
      </c>
      <c r="N37" t="s">
        <v>1671</v>
      </c>
    </row>
    <row r="38" spans="1:14" ht="14.5" x14ac:dyDescent="0.35">
      <c r="A38" t="s">
        <v>1717</v>
      </c>
      <c r="B38">
        <v>2030</v>
      </c>
      <c r="C38" t="s">
        <v>40</v>
      </c>
      <c r="D38" t="s">
        <v>65</v>
      </c>
      <c r="E38">
        <v>52</v>
      </c>
      <c r="F38">
        <v>55</v>
      </c>
      <c r="G38">
        <v>59</v>
      </c>
      <c r="H38">
        <v>3</v>
      </c>
      <c r="I38">
        <v>7</v>
      </c>
      <c r="J38" t="s">
        <v>1718</v>
      </c>
      <c r="K38">
        <v>37</v>
      </c>
      <c r="L38" t="s">
        <v>1670</v>
      </c>
      <c r="M38">
        <v>3.5</v>
      </c>
      <c r="N38" t="s">
        <v>1671</v>
      </c>
    </row>
    <row r="39" spans="1:14" ht="14.5" x14ac:dyDescent="0.35">
      <c r="A39" t="s">
        <v>1719</v>
      </c>
      <c r="B39">
        <v>2030</v>
      </c>
      <c r="C39" t="s">
        <v>45</v>
      </c>
      <c r="D39" t="s">
        <v>239</v>
      </c>
      <c r="E39">
        <v>38</v>
      </c>
      <c r="F39">
        <v>53</v>
      </c>
      <c r="G39">
        <v>54</v>
      </c>
      <c r="H39">
        <v>15</v>
      </c>
      <c r="I39">
        <v>16</v>
      </c>
      <c r="J39" t="s">
        <v>1685</v>
      </c>
      <c r="K39">
        <v>6</v>
      </c>
      <c r="L39" t="s">
        <v>1678</v>
      </c>
      <c r="M39">
        <v>6.5</v>
      </c>
      <c r="N39" t="s">
        <v>1674</v>
      </c>
    </row>
    <row r="40" spans="1:14" ht="14.5" x14ac:dyDescent="0.35">
      <c r="A40" t="s">
        <v>1720</v>
      </c>
      <c r="B40">
        <v>2028</v>
      </c>
      <c r="C40" t="s">
        <v>108</v>
      </c>
      <c r="D40" t="s">
        <v>126</v>
      </c>
      <c r="E40">
        <v>15</v>
      </c>
      <c r="F40">
        <v>21</v>
      </c>
      <c r="G40">
        <v>32</v>
      </c>
      <c r="H40">
        <v>6</v>
      </c>
      <c r="I40">
        <v>17</v>
      </c>
      <c r="J40" t="s">
        <v>1688</v>
      </c>
      <c r="K40">
        <v>26</v>
      </c>
      <c r="L40" t="s">
        <v>1671</v>
      </c>
      <c r="M40">
        <v>7.3</v>
      </c>
      <c r="N40" t="s">
        <v>1670</v>
      </c>
    </row>
    <row r="41" spans="1:14" ht="14.5" x14ac:dyDescent="0.35">
      <c r="A41" t="s">
        <v>1721</v>
      </c>
      <c r="B41">
        <v>2029</v>
      </c>
      <c r="C41" t="s">
        <v>159</v>
      </c>
      <c r="D41" t="s">
        <v>187</v>
      </c>
      <c r="E41">
        <v>64</v>
      </c>
      <c r="F41">
        <v>69</v>
      </c>
      <c r="G41">
        <v>84</v>
      </c>
      <c r="H41">
        <v>5</v>
      </c>
      <c r="I41">
        <v>20</v>
      </c>
      <c r="J41" t="s">
        <v>1693</v>
      </c>
      <c r="K41">
        <v>14</v>
      </c>
      <c r="L41" t="s">
        <v>1670</v>
      </c>
      <c r="M41">
        <v>5.5</v>
      </c>
      <c r="N41" t="s">
        <v>1671</v>
      </c>
    </row>
    <row r="42" spans="1:14" ht="14.5" x14ac:dyDescent="0.35">
      <c r="A42" t="s">
        <v>1722</v>
      </c>
      <c r="B42">
        <v>2028</v>
      </c>
      <c r="C42" t="s">
        <v>69</v>
      </c>
      <c r="D42" t="s">
        <v>150</v>
      </c>
      <c r="E42">
        <v>73</v>
      </c>
      <c r="F42">
        <v>77</v>
      </c>
      <c r="G42">
        <v>83</v>
      </c>
      <c r="H42">
        <v>4</v>
      </c>
      <c r="I42">
        <v>10</v>
      </c>
      <c r="J42" t="s">
        <v>1710</v>
      </c>
      <c r="K42">
        <v>36</v>
      </c>
      <c r="L42" t="s">
        <v>1678</v>
      </c>
      <c r="M42">
        <v>9.6999999999999993</v>
      </c>
      <c r="N42" t="s">
        <v>1671</v>
      </c>
    </row>
    <row r="43" spans="1:14" ht="14.5" x14ac:dyDescent="0.35">
      <c r="A43" t="s">
        <v>1723</v>
      </c>
      <c r="B43">
        <v>2026</v>
      </c>
      <c r="C43" t="s">
        <v>108</v>
      </c>
      <c r="D43" t="s">
        <v>126</v>
      </c>
      <c r="E43">
        <v>16</v>
      </c>
      <c r="F43">
        <v>21</v>
      </c>
      <c r="G43">
        <v>40</v>
      </c>
      <c r="H43">
        <v>5</v>
      </c>
      <c r="I43">
        <v>24</v>
      </c>
      <c r="J43" t="s">
        <v>1673</v>
      </c>
      <c r="K43">
        <v>17</v>
      </c>
      <c r="L43" t="s">
        <v>1671</v>
      </c>
      <c r="M43">
        <v>7.9</v>
      </c>
      <c r="N43" t="s">
        <v>1678</v>
      </c>
    </row>
    <row r="44" spans="1:14" ht="14.5" x14ac:dyDescent="0.35">
      <c r="A44" t="s">
        <v>1724</v>
      </c>
      <c r="B44">
        <v>2029</v>
      </c>
      <c r="C44" t="s">
        <v>159</v>
      </c>
      <c r="D44" t="s">
        <v>324</v>
      </c>
      <c r="E44">
        <v>37</v>
      </c>
      <c r="F44">
        <v>46</v>
      </c>
      <c r="G44">
        <v>58</v>
      </c>
      <c r="H44">
        <v>9</v>
      </c>
      <c r="I44">
        <v>21</v>
      </c>
      <c r="J44" t="s">
        <v>1676</v>
      </c>
      <c r="K44">
        <v>44</v>
      </c>
      <c r="L44" t="s">
        <v>1671</v>
      </c>
      <c r="M44">
        <v>15.6</v>
      </c>
      <c r="N44" t="s">
        <v>1678</v>
      </c>
    </row>
    <row r="45" spans="1:14" ht="14.5" x14ac:dyDescent="0.35">
      <c r="A45" t="s">
        <v>1725</v>
      </c>
      <c r="B45">
        <v>2030</v>
      </c>
      <c r="C45" t="s">
        <v>40</v>
      </c>
      <c r="D45" t="s">
        <v>65</v>
      </c>
      <c r="E45">
        <v>18</v>
      </c>
      <c r="F45">
        <v>31</v>
      </c>
      <c r="G45">
        <v>33</v>
      </c>
      <c r="H45">
        <v>13</v>
      </c>
      <c r="I45">
        <v>15</v>
      </c>
      <c r="J45" t="s">
        <v>1673</v>
      </c>
      <c r="K45">
        <v>28</v>
      </c>
      <c r="L45" t="s">
        <v>1678</v>
      </c>
      <c r="M45">
        <v>11.1</v>
      </c>
      <c r="N45" t="s">
        <v>1671</v>
      </c>
    </row>
    <row r="46" spans="1:14" ht="14.5" x14ac:dyDescent="0.35">
      <c r="A46" t="s">
        <v>1726</v>
      </c>
      <c r="B46">
        <v>2028</v>
      </c>
      <c r="C46" t="s">
        <v>69</v>
      </c>
      <c r="D46" t="s">
        <v>117</v>
      </c>
      <c r="E46">
        <v>51</v>
      </c>
      <c r="F46">
        <v>61</v>
      </c>
      <c r="G46">
        <v>66</v>
      </c>
      <c r="H46">
        <v>10</v>
      </c>
      <c r="I46">
        <v>15</v>
      </c>
      <c r="J46" t="s">
        <v>1710</v>
      </c>
      <c r="K46">
        <v>45</v>
      </c>
      <c r="L46" t="s">
        <v>1670</v>
      </c>
      <c r="M46">
        <v>4.8</v>
      </c>
      <c r="N46" t="s">
        <v>1670</v>
      </c>
    </row>
    <row r="47" spans="1:14" ht="14.5" x14ac:dyDescent="0.35">
      <c r="A47" t="s">
        <v>1727</v>
      </c>
      <c r="B47">
        <v>2026</v>
      </c>
      <c r="C47" t="s">
        <v>27</v>
      </c>
      <c r="D47" t="s">
        <v>73</v>
      </c>
      <c r="E47">
        <v>19</v>
      </c>
      <c r="F47">
        <v>18</v>
      </c>
      <c r="G47">
        <v>25</v>
      </c>
      <c r="H47">
        <v>-1</v>
      </c>
      <c r="I47">
        <v>6</v>
      </c>
      <c r="J47" t="s">
        <v>1673</v>
      </c>
      <c r="K47">
        <v>21</v>
      </c>
      <c r="L47" t="s">
        <v>1670</v>
      </c>
      <c r="M47">
        <v>9.6</v>
      </c>
      <c r="N47" t="s">
        <v>1671</v>
      </c>
    </row>
    <row r="48" spans="1:14" ht="14.5" x14ac:dyDescent="0.35">
      <c r="A48" t="s">
        <v>1728</v>
      </c>
      <c r="B48">
        <v>2029</v>
      </c>
      <c r="C48" t="s">
        <v>52</v>
      </c>
      <c r="D48" t="s">
        <v>53</v>
      </c>
      <c r="E48">
        <v>21</v>
      </c>
      <c r="F48">
        <v>23</v>
      </c>
      <c r="G48">
        <v>24</v>
      </c>
      <c r="H48">
        <v>2</v>
      </c>
      <c r="I48">
        <v>3</v>
      </c>
      <c r="J48" t="s">
        <v>1718</v>
      </c>
      <c r="K48">
        <v>10</v>
      </c>
      <c r="L48" t="s">
        <v>1678</v>
      </c>
      <c r="M48">
        <v>18</v>
      </c>
      <c r="N48" t="s">
        <v>1671</v>
      </c>
    </row>
    <row r="49" spans="1:14" ht="14.5" x14ac:dyDescent="0.35">
      <c r="A49" t="s">
        <v>1729</v>
      </c>
      <c r="B49">
        <v>2030</v>
      </c>
      <c r="C49" t="s">
        <v>56</v>
      </c>
      <c r="D49" t="s">
        <v>79</v>
      </c>
      <c r="E49">
        <v>55</v>
      </c>
      <c r="F49">
        <v>70</v>
      </c>
      <c r="G49">
        <v>82</v>
      </c>
      <c r="H49">
        <v>15</v>
      </c>
      <c r="I49">
        <v>27</v>
      </c>
      <c r="J49" t="s">
        <v>1669</v>
      </c>
      <c r="K49">
        <v>45</v>
      </c>
      <c r="L49" t="s">
        <v>1671</v>
      </c>
      <c r="M49">
        <v>6.5</v>
      </c>
      <c r="N49" t="s">
        <v>1674</v>
      </c>
    </row>
    <row r="50" spans="1:14" ht="14.5" x14ac:dyDescent="0.35">
      <c r="A50" t="s">
        <v>1730</v>
      </c>
      <c r="B50">
        <v>2029</v>
      </c>
      <c r="C50" t="s">
        <v>52</v>
      </c>
      <c r="D50" t="s">
        <v>102</v>
      </c>
      <c r="E50">
        <v>57</v>
      </c>
      <c r="F50">
        <v>64</v>
      </c>
      <c r="G50">
        <v>81</v>
      </c>
      <c r="H50">
        <v>7</v>
      </c>
      <c r="I50">
        <v>24</v>
      </c>
      <c r="J50" t="s">
        <v>1718</v>
      </c>
      <c r="K50">
        <v>39</v>
      </c>
      <c r="L50" t="s">
        <v>1678</v>
      </c>
      <c r="M50">
        <v>14.2</v>
      </c>
      <c r="N50" t="s">
        <v>1674</v>
      </c>
    </row>
    <row r="51" spans="1:14" ht="14.5" x14ac:dyDescent="0.35">
      <c r="A51" t="s">
        <v>1731</v>
      </c>
      <c r="B51">
        <v>2030</v>
      </c>
      <c r="C51" t="s">
        <v>40</v>
      </c>
      <c r="D51" t="s">
        <v>65</v>
      </c>
      <c r="E51">
        <v>76</v>
      </c>
      <c r="F51">
        <v>77</v>
      </c>
      <c r="G51">
        <v>95</v>
      </c>
      <c r="H51">
        <v>1</v>
      </c>
      <c r="I51">
        <v>19</v>
      </c>
      <c r="J51" t="s">
        <v>1688</v>
      </c>
      <c r="K51">
        <v>15</v>
      </c>
      <c r="L51" t="s">
        <v>1671</v>
      </c>
      <c r="M51">
        <v>11.6</v>
      </c>
      <c r="N51" t="s">
        <v>1678</v>
      </c>
    </row>
    <row r="52" spans="1:14" ht="14.5" x14ac:dyDescent="0.35">
      <c r="A52" t="s">
        <v>1732</v>
      </c>
      <c r="B52">
        <v>2027</v>
      </c>
      <c r="C52" t="s">
        <v>21</v>
      </c>
      <c r="D52" t="s">
        <v>22</v>
      </c>
      <c r="E52">
        <v>21</v>
      </c>
      <c r="F52">
        <v>35</v>
      </c>
      <c r="G52">
        <v>44</v>
      </c>
      <c r="H52">
        <v>14</v>
      </c>
      <c r="I52">
        <v>23</v>
      </c>
      <c r="J52" t="s">
        <v>1693</v>
      </c>
      <c r="K52">
        <v>42</v>
      </c>
      <c r="L52" t="s">
        <v>1670</v>
      </c>
      <c r="M52">
        <v>7.8</v>
      </c>
      <c r="N52" t="s">
        <v>1671</v>
      </c>
    </row>
    <row r="53" spans="1:14" ht="14.5" x14ac:dyDescent="0.35">
      <c r="A53" t="s">
        <v>1733</v>
      </c>
      <c r="B53">
        <v>2029</v>
      </c>
      <c r="C53" t="s">
        <v>159</v>
      </c>
      <c r="D53" t="s">
        <v>324</v>
      </c>
      <c r="E53">
        <v>52</v>
      </c>
      <c r="F53">
        <v>56</v>
      </c>
      <c r="G53">
        <v>60</v>
      </c>
      <c r="H53">
        <v>4</v>
      </c>
      <c r="I53">
        <v>8</v>
      </c>
      <c r="J53" t="s">
        <v>1688</v>
      </c>
      <c r="K53">
        <v>44</v>
      </c>
      <c r="L53" t="s">
        <v>1671</v>
      </c>
      <c r="M53">
        <v>15.7</v>
      </c>
      <c r="N53" t="s">
        <v>1674</v>
      </c>
    </row>
    <row r="54" spans="1:14" ht="14.5" x14ac:dyDescent="0.35">
      <c r="A54" t="s">
        <v>1734</v>
      </c>
      <c r="B54">
        <v>2029</v>
      </c>
      <c r="C54" t="s">
        <v>69</v>
      </c>
      <c r="D54" t="s">
        <v>117</v>
      </c>
      <c r="E54">
        <v>12</v>
      </c>
      <c r="F54">
        <v>12</v>
      </c>
      <c r="G54">
        <v>19</v>
      </c>
      <c r="H54">
        <v>0</v>
      </c>
      <c r="I54">
        <v>7</v>
      </c>
      <c r="J54" t="s">
        <v>1710</v>
      </c>
      <c r="K54">
        <v>5</v>
      </c>
      <c r="L54" t="s">
        <v>1670</v>
      </c>
      <c r="M54">
        <v>6</v>
      </c>
      <c r="N54" t="s">
        <v>1671</v>
      </c>
    </row>
    <row r="55" spans="1:14" ht="14.5" x14ac:dyDescent="0.35">
      <c r="A55" t="s">
        <v>1735</v>
      </c>
      <c r="B55">
        <v>2029</v>
      </c>
      <c r="C55" t="s">
        <v>45</v>
      </c>
      <c r="D55" t="s">
        <v>239</v>
      </c>
      <c r="E55">
        <v>14</v>
      </c>
      <c r="F55">
        <v>15</v>
      </c>
      <c r="G55">
        <v>32</v>
      </c>
      <c r="H55">
        <v>1</v>
      </c>
      <c r="I55">
        <v>18</v>
      </c>
      <c r="J55" t="s">
        <v>1680</v>
      </c>
      <c r="K55">
        <v>29</v>
      </c>
      <c r="L55" t="s">
        <v>1678</v>
      </c>
      <c r="M55">
        <v>14.5</v>
      </c>
      <c r="N55" t="s">
        <v>1678</v>
      </c>
    </row>
    <row r="56" spans="1:14" ht="14.5" x14ac:dyDescent="0.35">
      <c r="A56" t="s">
        <v>1736</v>
      </c>
      <c r="B56">
        <v>2028</v>
      </c>
      <c r="C56" t="s">
        <v>40</v>
      </c>
      <c r="D56" t="s">
        <v>41</v>
      </c>
      <c r="E56">
        <v>54</v>
      </c>
      <c r="F56">
        <v>61</v>
      </c>
      <c r="G56">
        <v>69</v>
      </c>
      <c r="H56">
        <v>7</v>
      </c>
      <c r="I56">
        <v>15</v>
      </c>
      <c r="J56" t="s">
        <v>1688</v>
      </c>
      <c r="K56">
        <v>31</v>
      </c>
      <c r="L56" t="s">
        <v>1670</v>
      </c>
      <c r="M56">
        <v>5.9</v>
      </c>
      <c r="N56" t="s">
        <v>1674</v>
      </c>
    </row>
    <row r="57" spans="1:14" ht="14.5" x14ac:dyDescent="0.35">
      <c r="A57" t="s">
        <v>1737</v>
      </c>
      <c r="B57">
        <v>2026</v>
      </c>
      <c r="C57" t="s">
        <v>40</v>
      </c>
      <c r="D57" t="s">
        <v>65</v>
      </c>
      <c r="E57">
        <v>76</v>
      </c>
      <c r="F57">
        <v>78</v>
      </c>
      <c r="G57">
        <v>91</v>
      </c>
      <c r="H57">
        <v>2</v>
      </c>
      <c r="I57">
        <v>15</v>
      </c>
      <c r="J57" t="s">
        <v>1715</v>
      </c>
      <c r="K57">
        <v>42</v>
      </c>
      <c r="L57" t="s">
        <v>1678</v>
      </c>
      <c r="M57">
        <v>3.2</v>
      </c>
      <c r="N57" t="s">
        <v>1670</v>
      </c>
    </row>
    <row r="58" spans="1:14" ht="14.5" x14ac:dyDescent="0.35">
      <c r="A58" t="s">
        <v>1738</v>
      </c>
      <c r="B58">
        <v>2026</v>
      </c>
      <c r="C58" t="s">
        <v>108</v>
      </c>
      <c r="D58" t="s">
        <v>114</v>
      </c>
      <c r="E58">
        <v>30</v>
      </c>
      <c r="F58">
        <v>33</v>
      </c>
      <c r="G58">
        <v>38</v>
      </c>
      <c r="H58">
        <v>3</v>
      </c>
      <c r="I58">
        <v>8</v>
      </c>
      <c r="J58" t="s">
        <v>1715</v>
      </c>
      <c r="K58">
        <v>31</v>
      </c>
      <c r="L58" t="s">
        <v>1678</v>
      </c>
      <c r="M58">
        <v>10.6</v>
      </c>
      <c r="N58" t="s">
        <v>1670</v>
      </c>
    </row>
    <row r="59" spans="1:14" ht="14.5" x14ac:dyDescent="0.35">
      <c r="A59" t="s">
        <v>1739</v>
      </c>
      <c r="B59">
        <v>2029</v>
      </c>
      <c r="C59" t="s">
        <v>69</v>
      </c>
      <c r="D59" t="s">
        <v>319</v>
      </c>
      <c r="E59">
        <v>15</v>
      </c>
      <c r="F59">
        <v>19</v>
      </c>
      <c r="G59">
        <v>27</v>
      </c>
      <c r="H59">
        <v>4</v>
      </c>
      <c r="I59">
        <v>12</v>
      </c>
      <c r="J59" t="s">
        <v>1718</v>
      </c>
      <c r="K59">
        <v>44</v>
      </c>
      <c r="L59" t="s">
        <v>1670</v>
      </c>
      <c r="M59">
        <v>16.2</v>
      </c>
      <c r="N59" t="s">
        <v>1678</v>
      </c>
    </row>
    <row r="60" spans="1:14" ht="14.5" x14ac:dyDescent="0.35">
      <c r="A60" t="s">
        <v>1740</v>
      </c>
      <c r="B60">
        <v>2027</v>
      </c>
      <c r="C60" t="s">
        <v>40</v>
      </c>
      <c r="D60" t="s">
        <v>90</v>
      </c>
      <c r="E60">
        <v>76</v>
      </c>
      <c r="F60">
        <v>90</v>
      </c>
      <c r="G60">
        <v>106</v>
      </c>
      <c r="H60">
        <v>14</v>
      </c>
      <c r="I60">
        <v>30</v>
      </c>
      <c r="J60" t="s">
        <v>1673</v>
      </c>
      <c r="K60">
        <v>43</v>
      </c>
      <c r="L60" t="s">
        <v>1670</v>
      </c>
      <c r="M60">
        <v>12.3</v>
      </c>
      <c r="N60" t="s">
        <v>1678</v>
      </c>
    </row>
    <row r="61" spans="1:14" ht="14.5" x14ac:dyDescent="0.35">
      <c r="A61" t="s">
        <v>1741</v>
      </c>
      <c r="B61">
        <v>2029</v>
      </c>
      <c r="C61" t="s">
        <v>36</v>
      </c>
      <c r="D61" t="s">
        <v>253</v>
      </c>
      <c r="E61">
        <v>25</v>
      </c>
      <c r="F61">
        <v>39</v>
      </c>
      <c r="G61">
        <v>43</v>
      </c>
      <c r="H61">
        <v>14</v>
      </c>
      <c r="I61">
        <v>18</v>
      </c>
      <c r="J61" t="s">
        <v>1673</v>
      </c>
      <c r="K61">
        <v>20</v>
      </c>
      <c r="L61" t="s">
        <v>1671</v>
      </c>
      <c r="M61">
        <v>3.5</v>
      </c>
      <c r="N61" t="s">
        <v>1678</v>
      </c>
    </row>
    <row r="62" spans="1:14" ht="14.5" x14ac:dyDescent="0.35">
      <c r="A62" t="s">
        <v>1742</v>
      </c>
      <c r="B62">
        <v>2027</v>
      </c>
      <c r="C62" t="s">
        <v>52</v>
      </c>
      <c r="D62" t="s">
        <v>53</v>
      </c>
      <c r="E62">
        <v>67</v>
      </c>
      <c r="F62">
        <v>69</v>
      </c>
      <c r="G62">
        <v>86</v>
      </c>
      <c r="H62">
        <v>2</v>
      </c>
      <c r="I62">
        <v>19</v>
      </c>
      <c r="J62" t="s">
        <v>1693</v>
      </c>
      <c r="K62">
        <v>44</v>
      </c>
      <c r="L62" t="s">
        <v>1670</v>
      </c>
      <c r="M62">
        <v>4</v>
      </c>
      <c r="N62" t="s">
        <v>1678</v>
      </c>
    </row>
    <row r="63" spans="1:14" ht="14.5" x14ac:dyDescent="0.35">
      <c r="A63" t="s">
        <v>1743</v>
      </c>
      <c r="B63">
        <v>2026</v>
      </c>
      <c r="C63" t="s">
        <v>52</v>
      </c>
      <c r="D63" t="s">
        <v>176</v>
      </c>
      <c r="E63">
        <v>51</v>
      </c>
      <c r="F63">
        <v>52</v>
      </c>
      <c r="G63">
        <v>52</v>
      </c>
      <c r="H63">
        <v>1</v>
      </c>
      <c r="I63">
        <v>1</v>
      </c>
      <c r="J63" t="s">
        <v>1688</v>
      </c>
      <c r="K63">
        <v>31</v>
      </c>
      <c r="L63" t="s">
        <v>1671</v>
      </c>
      <c r="M63">
        <v>15.1</v>
      </c>
      <c r="N63" t="s">
        <v>1670</v>
      </c>
    </row>
    <row r="64" spans="1:14" ht="14.5" x14ac:dyDescent="0.35">
      <c r="A64" t="s">
        <v>1744</v>
      </c>
      <c r="B64">
        <v>2026</v>
      </c>
      <c r="C64" t="s">
        <v>45</v>
      </c>
      <c r="D64" t="s">
        <v>239</v>
      </c>
      <c r="E64">
        <v>8</v>
      </c>
      <c r="F64">
        <v>15</v>
      </c>
      <c r="G64">
        <v>35</v>
      </c>
      <c r="H64">
        <v>7</v>
      </c>
      <c r="I64">
        <v>27</v>
      </c>
      <c r="J64" t="s">
        <v>1688</v>
      </c>
      <c r="K64">
        <v>14</v>
      </c>
      <c r="L64" t="s">
        <v>1671</v>
      </c>
      <c r="M64">
        <v>13.1</v>
      </c>
      <c r="N64" t="s">
        <v>1674</v>
      </c>
    </row>
    <row r="65" spans="1:14" ht="14.5" x14ac:dyDescent="0.35">
      <c r="A65" t="s">
        <v>1745</v>
      </c>
      <c r="B65">
        <v>2030</v>
      </c>
      <c r="C65" t="s">
        <v>56</v>
      </c>
      <c r="D65" t="s">
        <v>217</v>
      </c>
      <c r="E65">
        <v>35</v>
      </c>
      <c r="F65">
        <v>36</v>
      </c>
      <c r="G65">
        <v>37</v>
      </c>
      <c r="H65">
        <v>1</v>
      </c>
      <c r="I65">
        <v>2</v>
      </c>
      <c r="J65" t="s">
        <v>1680</v>
      </c>
      <c r="K65">
        <v>8</v>
      </c>
      <c r="L65" t="s">
        <v>1671</v>
      </c>
      <c r="M65">
        <v>6</v>
      </c>
      <c r="N65" t="s">
        <v>1670</v>
      </c>
    </row>
    <row r="66" spans="1:14" ht="14.5" x14ac:dyDescent="0.35">
      <c r="A66" t="s">
        <v>1746</v>
      </c>
      <c r="B66">
        <v>2027</v>
      </c>
      <c r="C66" t="s">
        <v>159</v>
      </c>
      <c r="D66" t="s">
        <v>482</v>
      </c>
      <c r="E66">
        <v>32</v>
      </c>
      <c r="F66">
        <v>42</v>
      </c>
      <c r="G66">
        <v>52</v>
      </c>
      <c r="H66">
        <v>10</v>
      </c>
      <c r="I66">
        <v>20</v>
      </c>
      <c r="J66" t="s">
        <v>1676</v>
      </c>
      <c r="K66">
        <v>20</v>
      </c>
      <c r="L66" t="s">
        <v>1670</v>
      </c>
      <c r="M66">
        <v>6.9</v>
      </c>
      <c r="N66" t="s">
        <v>1674</v>
      </c>
    </row>
    <row r="67" spans="1:14" ht="14.5" x14ac:dyDescent="0.35">
      <c r="A67" t="s">
        <v>1747</v>
      </c>
      <c r="B67">
        <v>2027</v>
      </c>
      <c r="C67" t="s">
        <v>159</v>
      </c>
      <c r="D67" t="s">
        <v>269</v>
      </c>
      <c r="E67">
        <v>6</v>
      </c>
      <c r="F67">
        <v>19</v>
      </c>
      <c r="G67">
        <v>31</v>
      </c>
      <c r="H67">
        <v>13</v>
      </c>
      <c r="I67">
        <v>25</v>
      </c>
      <c r="J67" t="s">
        <v>1718</v>
      </c>
      <c r="K67">
        <v>14</v>
      </c>
      <c r="L67" t="s">
        <v>1670</v>
      </c>
      <c r="M67">
        <v>17.600000000000001</v>
      </c>
      <c r="N67" t="s">
        <v>1674</v>
      </c>
    </row>
    <row r="68" spans="1:14" ht="14.5" x14ac:dyDescent="0.35">
      <c r="A68" t="s">
        <v>1748</v>
      </c>
      <c r="B68">
        <v>2030</v>
      </c>
      <c r="C68" t="s">
        <v>40</v>
      </c>
      <c r="D68" t="s">
        <v>41</v>
      </c>
      <c r="E68">
        <v>79</v>
      </c>
      <c r="F68">
        <v>85</v>
      </c>
      <c r="G68">
        <v>94</v>
      </c>
      <c r="H68">
        <v>6</v>
      </c>
      <c r="I68">
        <v>15</v>
      </c>
      <c r="J68" t="s">
        <v>1718</v>
      </c>
      <c r="K68">
        <v>21</v>
      </c>
      <c r="L68" t="s">
        <v>1670</v>
      </c>
      <c r="M68">
        <v>10.4</v>
      </c>
      <c r="N68" t="s">
        <v>1670</v>
      </c>
    </row>
    <row r="69" spans="1:14" ht="14.5" x14ac:dyDescent="0.35">
      <c r="A69" t="s">
        <v>1749</v>
      </c>
      <c r="B69">
        <v>2026</v>
      </c>
      <c r="C69" t="s">
        <v>45</v>
      </c>
      <c r="D69" t="s">
        <v>234</v>
      </c>
      <c r="E69">
        <v>58</v>
      </c>
      <c r="F69">
        <v>56</v>
      </c>
      <c r="G69">
        <v>58</v>
      </c>
      <c r="H69">
        <v>-2</v>
      </c>
      <c r="I69">
        <v>0</v>
      </c>
      <c r="J69" t="s">
        <v>1669</v>
      </c>
      <c r="K69">
        <v>30</v>
      </c>
      <c r="L69" t="s">
        <v>1678</v>
      </c>
      <c r="M69">
        <v>10.7</v>
      </c>
      <c r="N69" t="s">
        <v>1674</v>
      </c>
    </row>
    <row r="70" spans="1:14" ht="14.5" x14ac:dyDescent="0.35">
      <c r="A70" t="s">
        <v>1750</v>
      </c>
      <c r="B70">
        <v>2027</v>
      </c>
      <c r="C70" t="s">
        <v>69</v>
      </c>
      <c r="D70" t="s">
        <v>105</v>
      </c>
      <c r="E70">
        <v>67</v>
      </c>
      <c r="F70">
        <v>71</v>
      </c>
      <c r="G70">
        <v>85</v>
      </c>
      <c r="H70">
        <v>4</v>
      </c>
      <c r="I70">
        <v>18</v>
      </c>
      <c r="J70" t="s">
        <v>1710</v>
      </c>
      <c r="K70">
        <v>15</v>
      </c>
      <c r="L70" t="s">
        <v>1671</v>
      </c>
      <c r="M70">
        <v>8.6</v>
      </c>
      <c r="N70" t="s">
        <v>1670</v>
      </c>
    </row>
    <row r="71" spans="1:14" ht="14.5" x14ac:dyDescent="0.35">
      <c r="A71" t="s">
        <v>1751</v>
      </c>
      <c r="B71">
        <v>2029</v>
      </c>
      <c r="C71" t="s">
        <v>27</v>
      </c>
      <c r="D71" t="s">
        <v>87</v>
      </c>
      <c r="E71">
        <v>56</v>
      </c>
      <c r="F71">
        <v>60</v>
      </c>
      <c r="G71">
        <v>79</v>
      </c>
      <c r="H71">
        <v>4</v>
      </c>
      <c r="I71">
        <v>23</v>
      </c>
      <c r="J71" t="s">
        <v>1715</v>
      </c>
      <c r="K71">
        <v>12</v>
      </c>
      <c r="L71" t="s">
        <v>1670</v>
      </c>
      <c r="M71">
        <v>15.3</v>
      </c>
      <c r="N71" t="s">
        <v>1678</v>
      </c>
    </row>
    <row r="72" spans="1:14" ht="14.5" x14ac:dyDescent="0.35">
      <c r="A72" t="s">
        <v>1752</v>
      </c>
      <c r="B72">
        <v>2030</v>
      </c>
      <c r="C72" t="s">
        <v>52</v>
      </c>
      <c r="D72" t="s">
        <v>195</v>
      </c>
      <c r="E72">
        <v>77</v>
      </c>
      <c r="F72">
        <v>85</v>
      </c>
      <c r="G72">
        <v>99</v>
      </c>
      <c r="H72">
        <v>8</v>
      </c>
      <c r="I72">
        <v>22</v>
      </c>
      <c r="J72" t="s">
        <v>1685</v>
      </c>
      <c r="K72">
        <v>40</v>
      </c>
      <c r="L72" t="s">
        <v>1670</v>
      </c>
      <c r="M72">
        <v>17.8</v>
      </c>
      <c r="N72" t="s">
        <v>1671</v>
      </c>
    </row>
    <row r="73" spans="1:14" ht="14.5" x14ac:dyDescent="0.35">
      <c r="A73" t="s">
        <v>1753</v>
      </c>
      <c r="B73">
        <v>2028</v>
      </c>
      <c r="C73" t="s">
        <v>69</v>
      </c>
      <c r="D73" t="s">
        <v>150</v>
      </c>
      <c r="E73">
        <v>72</v>
      </c>
      <c r="F73">
        <v>83</v>
      </c>
      <c r="G73">
        <v>87</v>
      </c>
      <c r="H73">
        <v>11</v>
      </c>
      <c r="I73">
        <v>15</v>
      </c>
      <c r="J73" t="s">
        <v>1685</v>
      </c>
      <c r="K73">
        <v>18</v>
      </c>
      <c r="L73" t="s">
        <v>1678</v>
      </c>
      <c r="M73">
        <v>5</v>
      </c>
      <c r="N73" t="s">
        <v>1670</v>
      </c>
    </row>
    <row r="74" spans="1:14" ht="14.5" x14ac:dyDescent="0.35">
      <c r="A74" t="s">
        <v>1754</v>
      </c>
      <c r="B74">
        <v>2026</v>
      </c>
      <c r="C74" t="s">
        <v>159</v>
      </c>
      <c r="D74" t="s">
        <v>482</v>
      </c>
      <c r="E74">
        <v>58</v>
      </c>
      <c r="F74">
        <v>65</v>
      </c>
      <c r="G74">
        <v>67</v>
      </c>
      <c r="H74">
        <v>7</v>
      </c>
      <c r="I74">
        <v>9</v>
      </c>
      <c r="J74" t="s">
        <v>1680</v>
      </c>
      <c r="K74">
        <v>6</v>
      </c>
      <c r="L74" t="s">
        <v>1678</v>
      </c>
      <c r="M74">
        <v>7.1</v>
      </c>
      <c r="N74" t="s">
        <v>1671</v>
      </c>
    </row>
    <row r="75" spans="1:14" ht="14.5" x14ac:dyDescent="0.35">
      <c r="A75" t="s">
        <v>1755</v>
      </c>
      <c r="B75">
        <v>2029</v>
      </c>
      <c r="C75" t="s">
        <v>69</v>
      </c>
      <c r="D75" t="s">
        <v>105</v>
      </c>
      <c r="E75">
        <v>51</v>
      </c>
      <c r="F75">
        <v>61</v>
      </c>
      <c r="G75">
        <v>73</v>
      </c>
      <c r="H75">
        <v>10</v>
      </c>
      <c r="I75">
        <v>22</v>
      </c>
      <c r="J75" t="s">
        <v>1676</v>
      </c>
      <c r="K75">
        <v>26</v>
      </c>
      <c r="L75" t="s">
        <v>1671</v>
      </c>
      <c r="M75">
        <v>3.2</v>
      </c>
      <c r="N75" t="s">
        <v>1674</v>
      </c>
    </row>
    <row r="76" spans="1:14" ht="14.5" x14ac:dyDescent="0.35">
      <c r="A76" t="s">
        <v>1756</v>
      </c>
      <c r="B76">
        <v>2027</v>
      </c>
      <c r="C76" t="s">
        <v>21</v>
      </c>
      <c r="D76" t="s">
        <v>133</v>
      </c>
      <c r="E76">
        <v>50</v>
      </c>
      <c r="F76">
        <v>51</v>
      </c>
      <c r="G76">
        <v>66</v>
      </c>
      <c r="H76">
        <v>1</v>
      </c>
      <c r="I76">
        <v>16</v>
      </c>
      <c r="J76" t="s">
        <v>1680</v>
      </c>
      <c r="K76">
        <v>21</v>
      </c>
      <c r="L76" t="s">
        <v>1670</v>
      </c>
      <c r="M76">
        <v>4.9000000000000004</v>
      </c>
      <c r="N76" t="s">
        <v>1670</v>
      </c>
    </row>
    <row r="77" spans="1:14" ht="14.5" x14ac:dyDescent="0.35">
      <c r="A77" t="s">
        <v>1757</v>
      </c>
      <c r="B77">
        <v>2030</v>
      </c>
      <c r="C77" t="s">
        <v>69</v>
      </c>
      <c r="D77" t="s">
        <v>319</v>
      </c>
      <c r="E77">
        <v>73</v>
      </c>
      <c r="F77">
        <v>87</v>
      </c>
      <c r="G77">
        <v>105</v>
      </c>
      <c r="H77">
        <v>14</v>
      </c>
      <c r="I77">
        <v>32</v>
      </c>
      <c r="J77" t="s">
        <v>1715</v>
      </c>
      <c r="K77">
        <v>17</v>
      </c>
      <c r="L77" t="s">
        <v>1670</v>
      </c>
      <c r="M77">
        <v>13.6</v>
      </c>
      <c r="N77" t="s">
        <v>1674</v>
      </c>
    </row>
    <row r="78" spans="1:14" ht="14.5" x14ac:dyDescent="0.35">
      <c r="A78" t="s">
        <v>1758</v>
      </c>
      <c r="B78">
        <v>2026</v>
      </c>
      <c r="C78" t="s">
        <v>45</v>
      </c>
      <c r="D78" t="s">
        <v>239</v>
      </c>
      <c r="E78">
        <v>38</v>
      </c>
      <c r="F78">
        <v>48</v>
      </c>
      <c r="G78">
        <v>61</v>
      </c>
      <c r="H78">
        <v>10</v>
      </c>
      <c r="I78">
        <v>23</v>
      </c>
      <c r="J78" t="s">
        <v>1685</v>
      </c>
      <c r="K78">
        <v>38</v>
      </c>
      <c r="L78" t="s">
        <v>1671</v>
      </c>
      <c r="M78">
        <v>13</v>
      </c>
      <c r="N78" t="s">
        <v>1674</v>
      </c>
    </row>
    <row r="79" spans="1:14" ht="14.5" x14ac:dyDescent="0.35">
      <c r="A79" t="s">
        <v>1759</v>
      </c>
      <c r="B79">
        <v>2026</v>
      </c>
      <c r="C79" t="s">
        <v>36</v>
      </c>
      <c r="D79" t="s">
        <v>62</v>
      </c>
      <c r="E79">
        <v>49</v>
      </c>
      <c r="F79">
        <v>50</v>
      </c>
      <c r="G79">
        <v>70</v>
      </c>
      <c r="H79">
        <v>1</v>
      </c>
      <c r="I79">
        <v>21</v>
      </c>
      <c r="J79" t="s">
        <v>1676</v>
      </c>
      <c r="K79">
        <v>45</v>
      </c>
      <c r="L79" t="s">
        <v>1671</v>
      </c>
      <c r="M79">
        <v>13</v>
      </c>
      <c r="N79" t="s">
        <v>1674</v>
      </c>
    </row>
    <row r="80" spans="1:14" ht="14.5" x14ac:dyDescent="0.35">
      <c r="A80" t="s">
        <v>1760</v>
      </c>
      <c r="B80">
        <v>2028</v>
      </c>
      <c r="C80" t="s">
        <v>21</v>
      </c>
      <c r="D80" t="s">
        <v>133</v>
      </c>
      <c r="E80">
        <v>40</v>
      </c>
      <c r="F80">
        <v>53</v>
      </c>
      <c r="G80">
        <v>65</v>
      </c>
      <c r="H80">
        <v>13</v>
      </c>
      <c r="I80">
        <v>25</v>
      </c>
      <c r="J80" t="s">
        <v>1688</v>
      </c>
      <c r="K80">
        <v>40</v>
      </c>
      <c r="L80" t="s">
        <v>1671</v>
      </c>
      <c r="M80">
        <v>8.6999999999999993</v>
      </c>
      <c r="N80" t="s">
        <v>1670</v>
      </c>
    </row>
    <row r="81" spans="1:14" ht="14.5" x14ac:dyDescent="0.35">
      <c r="A81" t="s">
        <v>1761</v>
      </c>
      <c r="B81">
        <v>2026</v>
      </c>
      <c r="C81" t="s">
        <v>56</v>
      </c>
      <c r="D81" t="s">
        <v>112</v>
      </c>
      <c r="E81">
        <v>60</v>
      </c>
      <c r="F81">
        <v>69</v>
      </c>
      <c r="G81">
        <v>88</v>
      </c>
      <c r="H81">
        <v>9</v>
      </c>
      <c r="I81">
        <v>28</v>
      </c>
      <c r="J81" t="s">
        <v>1685</v>
      </c>
      <c r="K81">
        <v>45</v>
      </c>
      <c r="L81" t="s">
        <v>1678</v>
      </c>
      <c r="M81">
        <v>17.3</v>
      </c>
      <c r="N81" t="s">
        <v>1674</v>
      </c>
    </row>
    <row r="82" spans="1:14" ht="14.5" x14ac:dyDescent="0.35">
      <c r="A82" t="s">
        <v>1762</v>
      </c>
      <c r="B82">
        <v>2028</v>
      </c>
      <c r="C82" t="s">
        <v>108</v>
      </c>
      <c r="D82" t="s">
        <v>126</v>
      </c>
      <c r="E82">
        <v>57</v>
      </c>
      <c r="F82">
        <v>63</v>
      </c>
      <c r="G82">
        <v>80</v>
      </c>
      <c r="H82">
        <v>6</v>
      </c>
      <c r="I82">
        <v>23</v>
      </c>
      <c r="J82" t="s">
        <v>1680</v>
      </c>
      <c r="K82">
        <v>16</v>
      </c>
      <c r="L82" t="s">
        <v>1671</v>
      </c>
      <c r="M82">
        <v>10</v>
      </c>
      <c r="N82" t="s">
        <v>1671</v>
      </c>
    </row>
    <row r="83" spans="1:14" ht="14.5" x14ac:dyDescent="0.35">
      <c r="A83" t="s">
        <v>1763</v>
      </c>
      <c r="B83">
        <v>2026</v>
      </c>
      <c r="C83" t="s">
        <v>36</v>
      </c>
      <c r="D83" t="s">
        <v>253</v>
      </c>
      <c r="E83">
        <v>62</v>
      </c>
      <c r="F83">
        <v>77</v>
      </c>
      <c r="G83">
        <v>82</v>
      </c>
      <c r="H83">
        <v>15</v>
      </c>
      <c r="I83">
        <v>20</v>
      </c>
      <c r="J83" t="s">
        <v>1673</v>
      </c>
      <c r="K83">
        <v>7</v>
      </c>
      <c r="L83" t="s">
        <v>1670</v>
      </c>
      <c r="M83">
        <v>10.4</v>
      </c>
      <c r="N83" t="s">
        <v>1674</v>
      </c>
    </row>
    <row r="84" spans="1:14" ht="14.5" x14ac:dyDescent="0.35">
      <c r="A84" t="s">
        <v>1764</v>
      </c>
      <c r="B84">
        <v>2027</v>
      </c>
      <c r="C84" t="s">
        <v>27</v>
      </c>
      <c r="D84" t="s">
        <v>87</v>
      </c>
      <c r="E84">
        <v>51</v>
      </c>
      <c r="F84">
        <v>54</v>
      </c>
      <c r="G84">
        <v>70</v>
      </c>
      <c r="H84">
        <v>3</v>
      </c>
      <c r="I84">
        <v>19</v>
      </c>
      <c r="J84" t="s">
        <v>1676</v>
      </c>
      <c r="K84">
        <v>9</v>
      </c>
      <c r="L84" t="s">
        <v>1670</v>
      </c>
      <c r="M84">
        <v>13.1</v>
      </c>
      <c r="N84" t="s">
        <v>1671</v>
      </c>
    </row>
    <row r="85" spans="1:14" ht="14.5" x14ac:dyDescent="0.35">
      <c r="A85" t="s">
        <v>1765</v>
      </c>
      <c r="B85">
        <v>2027</v>
      </c>
      <c r="C85" t="s">
        <v>52</v>
      </c>
      <c r="D85" t="s">
        <v>498</v>
      </c>
      <c r="E85">
        <v>58</v>
      </c>
      <c r="F85">
        <v>67</v>
      </c>
      <c r="G85">
        <v>74</v>
      </c>
      <c r="H85">
        <v>9</v>
      </c>
      <c r="I85">
        <v>16</v>
      </c>
      <c r="J85" t="s">
        <v>1673</v>
      </c>
      <c r="K85">
        <v>25</v>
      </c>
      <c r="L85" t="s">
        <v>1678</v>
      </c>
      <c r="M85">
        <v>10.4</v>
      </c>
      <c r="N85" t="s">
        <v>1678</v>
      </c>
    </row>
    <row r="86" spans="1:14" ht="14.5" x14ac:dyDescent="0.35">
      <c r="A86" t="s">
        <v>1766</v>
      </c>
      <c r="B86">
        <v>2030</v>
      </c>
      <c r="C86" t="s">
        <v>40</v>
      </c>
      <c r="D86" t="s">
        <v>65</v>
      </c>
      <c r="E86">
        <v>22</v>
      </c>
      <c r="F86">
        <v>32</v>
      </c>
      <c r="G86">
        <v>47</v>
      </c>
      <c r="H86">
        <v>10</v>
      </c>
      <c r="I86">
        <v>25</v>
      </c>
      <c r="J86" t="s">
        <v>1693</v>
      </c>
      <c r="K86">
        <v>34</v>
      </c>
      <c r="L86" t="s">
        <v>1670</v>
      </c>
      <c r="M86">
        <v>16.3</v>
      </c>
      <c r="N86" t="s">
        <v>1678</v>
      </c>
    </row>
    <row r="87" spans="1:14" ht="14.5" x14ac:dyDescent="0.35">
      <c r="A87" t="s">
        <v>1767</v>
      </c>
      <c r="B87">
        <v>2027</v>
      </c>
      <c r="C87" t="s">
        <v>159</v>
      </c>
      <c r="D87" t="s">
        <v>160</v>
      </c>
      <c r="E87">
        <v>29</v>
      </c>
      <c r="F87">
        <v>28</v>
      </c>
      <c r="G87">
        <v>36</v>
      </c>
      <c r="H87">
        <v>-1</v>
      </c>
      <c r="I87">
        <v>7</v>
      </c>
      <c r="J87" t="s">
        <v>1715</v>
      </c>
      <c r="K87">
        <v>17</v>
      </c>
      <c r="L87" t="s">
        <v>1671</v>
      </c>
      <c r="M87">
        <v>10</v>
      </c>
      <c r="N87" t="s">
        <v>1678</v>
      </c>
    </row>
    <row r="88" spans="1:14" ht="14.5" x14ac:dyDescent="0.35">
      <c r="A88" t="s">
        <v>1768</v>
      </c>
      <c r="B88">
        <v>2027</v>
      </c>
      <c r="C88" t="s">
        <v>52</v>
      </c>
      <c r="D88" t="s">
        <v>53</v>
      </c>
      <c r="E88">
        <v>16</v>
      </c>
      <c r="F88">
        <v>18</v>
      </c>
      <c r="G88">
        <v>20</v>
      </c>
      <c r="H88">
        <v>2</v>
      </c>
      <c r="I88">
        <v>4</v>
      </c>
      <c r="J88" t="s">
        <v>1685</v>
      </c>
      <c r="K88">
        <v>28</v>
      </c>
      <c r="L88" t="s">
        <v>1670</v>
      </c>
      <c r="M88">
        <v>10.5</v>
      </c>
      <c r="N88" t="s">
        <v>1670</v>
      </c>
    </row>
    <row r="89" spans="1:14" ht="14.5" x14ac:dyDescent="0.35">
      <c r="A89" t="s">
        <v>1769</v>
      </c>
      <c r="B89">
        <v>2029</v>
      </c>
      <c r="C89" t="s">
        <v>52</v>
      </c>
      <c r="D89" t="s">
        <v>102</v>
      </c>
      <c r="E89">
        <v>48</v>
      </c>
      <c r="F89">
        <v>57</v>
      </c>
      <c r="G89">
        <v>67</v>
      </c>
      <c r="H89">
        <v>9</v>
      </c>
      <c r="I89">
        <v>19</v>
      </c>
      <c r="J89" t="s">
        <v>1685</v>
      </c>
      <c r="K89">
        <v>5</v>
      </c>
      <c r="L89" t="s">
        <v>1671</v>
      </c>
      <c r="M89">
        <v>4.8</v>
      </c>
      <c r="N89" t="s">
        <v>1678</v>
      </c>
    </row>
    <row r="90" spans="1:14" ht="14.5" x14ac:dyDescent="0.35">
      <c r="A90" t="s">
        <v>1770</v>
      </c>
      <c r="B90">
        <v>2028</v>
      </c>
      <c r="C90" t="s">
        <v>52</v>
      </c>
      <c r="D90" t="s">
        <v>224</v>
      </c>
      <c r="E90">
        <v>30</v>
      </c>
      <c r="F90">
        <v>30</v>
      </c>
      <c r="G90">
        <v>49</v>
      </c>
      <c r="H90">
        <v>0</v>
      </c>
      <c r="I90">
        <v>19</v>
      </c>
      <c r="J90" t="s">
        <v>1680</v>
      </c>
      <c r="K90">
        <v>39</v>
      </c>
      <c r="L90" t="s">
        <v>1671</v>
      </c>
      <c r="M90">
        <v>14.2</v>
      </c>
      <c r="N90" t="s">
        <v>1678</v>
      </c>
    </row>
    <row r="91" spans="1:14" ht="14.5" x14ac:dyDescent="0.35">
      <c r="A91" t="s">
        <v>1771</v>
      </c>
      <c r="B91">
        <v>2027</v>
      </c>
      <c r="C91" t="s">
        <v>56</v>
      </c>
      <c r="D91" t="s">
        <v>217</v>
      </c>
      <c r="E91">
        <v>62</v>
      </c>
      <c r="F91">
        <v>72</v>
      </c>
      <c r="G91">
        <v>80</v>
      </c>
      <c r="H91">
        <v>10</v>
      </c>
      <c r="I91">
        <v>18</v>
      </c>
      <c r="J91" t="s">
        <v>1688</v>
      </c>
      <c r="K91">
        <v>32</v>
      </c>
      <c r="L91" t="s">
        <v>1678</v>
      </c>
      <c r="M91">
        <v>17.399999999999999</v>
      </c>
      <c r="N91" t="s">
        <v>1674</v>
      </c>
    </row>
    <row r="92" spans="1:14" ht="14.5" x14ac:dyDescent="0.35">
      <c r="A92" t="s">
        <v>1772</v>
      </c>
      <c r="B92">
        <v>2029</v>
      </c>
      <c r="C92" t="s">
        <v>40</v>
      </c>
      <c r="D92" t="s">
        <v>41</v>
      </c>
      <c r="E92">
        <v>56</v>
      </c>
      <c r="F92">
        <v>65</v>
      </c>
      <c r="G92">
        <v>67</v>
      </c>
      <c r="H92">
        <v>9</v>
      </c>
      <c r="I92">
        <v>11</v>
      </c>
      <c r="J92" t="s">
        <v>1710</v>
      </c>
      <c r="K92">
        <v>13</v>
      </c>
      <c r="L92" t="s">
        <v>1671</v>
      </c>
      <c r="M92">
        <v>16.7</v>
      </c>
      <c r="N92" t="s">
        <v>1671</v>
      </c>
    </row>
    <row r="93" spans="1:14" ht="14.5" x14ac:dyDescent="0.35">
      <c r="A93" t="s">
        <v>1773</v>
      </c>
      <c r="B93">
        <v>2028</v>
      </c>
      <c r="C93" t="s">
        <v>108</v>
      </c>
      <c r="D93" t="s">
        <v>114</v>
      </c>
      <c r="E93">
        <v>39</v>
      </c>
      <c r="F93">
        <v>42</v>
      </c>
      <c r="G93">
        <v>62</v>
      </c>
      <c r="H93">
        <v>3</v>
      </c>
      <c r="I93">
        <v>23</v>
      </c>
      <c r="J93" t="s">
        <v>1673</v>
      </c>
      <c r="K93">
        <v>9</v>
      </c>
      <c r="L93" t="s">
        <v>1671</v>
      </c>
      <c r="M93">
        <v>5.2</v>
      </c>
      <c r="N93" t="s">
        <v>1674</v>
      </c>
    </row>
    <row r="94" spans="1:14" ht="14.5" x14ac:dyDescent="0.35">
      <c r="A94" t="s">
        <v>1774</v>
      </c>
      <c r="B94">
        <v>2030</v>
      </c>
      <c r="C94" t="s">
        <v>108</v>
      </c>
      <c r="D94" t="s">
        <v>206</v>
      </c>
      <c r="E94">
        <v>12</v>
      </c>
      <c r="F94">
        <v>10</v>
      </c>
      <c r="G94">
        <v>10</v>
      </c>
      <c r="H94">
        <v>-2</v>
      </c>
      <c r="I94">
        <v>-2</v>
      </c>
      <c r="J94" t="s">
        <v>1710</v>
      </c>
      <c r="K94">
        <v>41</v>
      </c>
      <c r="L94" t="s">
        <v>1671</v>
      </c>
      <c r="M94">
        <v>16.7</v>
      </c>
      <c r="N94" t="s">
        <v>1678</v>
      </c>
    </row>
    <row r="95" spans="1:14" ht="14.5" x14ac:dyDescent="0.35">
      <c r="A95" t="s">
        <v>1775</v>
      </c>
      <c r="B95">
        <v>2027</v>
      </c>
      <c r="C95" t="s">
        <v>56</v>
      </c>
      <c r="D95" t="s">
        <v>112</v>
      </c>
      <c r="E95">
        <v>48</v>
      </c>
      <c r="F95">
        <v>61</v>
      </c>
      <c r="G95">
        <v>73</v>
      </c>
      <c r="H95">
        <v>13</v>
      </c>
      <c r="I95">
        <v>25</v>
      </c>
      <c r="J95" t="s">
        <v>1693</v>
      </c>
      <c r="K95">
        <v>20</v>
      </c>
      <c r="L95" t="s">
        <v>1678</v>
      </c>
      <c r="M95">
        <v>4.8</v>
      </c>
      <c r="N95" t="s">
        <v>1671</v>
      </c>
    </row>
    <row r="96" spans="1:14" ht="14.5" x14ac:dyDescent="0.35">
      <c r="A96" t="s">
        <v>1776</v>
      </c>
      <c r="B96">
        <v>2029</v>
      </c>
      <c r="C96" t="s">
        <v>40</v>
      </c>
      <c r="D96" t="s">
        <v>293</v>
      </c>
      <c r="E96">
        <v>29</v>
      </c>
      <c r="F96">
        <v>33</v>
      </c>
      <c r="G96">
        <v>46</v>
      </c>
      <c r="H96">
        <v>4</v>
      </c>
      <c r="I96">
        <v>17</v>
      </c>
      <c r="J96" t="s">
        <v>1685</v>
      </c>
      <c r="K96">
        <v>7</v>
      </c>
      <c r="L96" t="s">
        <v>1670</v>
      </c>
      <c r="M96">
        <v>6.1</v>
      </c>
      <c r="N96" t="s">
        <v>1674</v>
      </c>
    </row>
    <row r="97" spans="1:14" ht="14.5" x14ac:dyDescent="0.35">
      <c r="A97" t="s">
        <v>1777</v>
      </c>
      <c r="B97">
        <v>2027</v>
      </c>
      <c r="C97" t="s">
        <v>52</v>
      </c>
      <c r="D97" t="s">
        <v>195</v>
      </c>
      <c r="E97">
        <v>9</v>
      </c>
      <c r="F97">
        <v>22</v>
      </c>
      <c r="G97">
        <v>23</v>
      </c>
      <c r="H97">
        <v>13</v>
      </c>
      <c r="I97">
        <v>14</v>
      </c>
      <c r="J97" t="s">
        <v>1676</v>
      </c>
      <c r="K97">
        <v>33</v>
      </c>
      <c r="L97" t="s">
        <v>1670</v>
      </c>
      <c r="M97">
        <v>16.5</v>
      </c>
      <c r="N97" t="s">
        <v>1674</v>
      </c>
    </row>
    <row r="98" spans="1:14" ht="14.5" x14ac:dyDescent="0.35">
      <c r="A98" t="s">
        <v>1778</v>
      </c>
      <c r="B98">
        <v>2029</v>
      </c>
      <c r="C98" t="s">
        <v>27</v>
      </c>
      <c r="D98" t="s">
        <v>28</v>
      </c>
      <c r="E98">
        <v>35</v>
      </c>
      <c r="F98">
        <v>35</v>
      </c>
      <c r="G98">
        <v>48</v>
      </c>
      <c r="H98">
        <v>0</v>
      </c>
      <c r="I98">
        <v>13</v>
      </c>
      <c r="J98" t="s">
        <v>1669</v>
      </c>
      <c r="K98">
        <v>43</v>
      </c>
      <c r="L98" t="s">
        <v>1670</v>
      </c>
      <c r="M98">
        <v>9.6999999999999993</v>
      </c>
      <c r="N98" t="s">
        <v>1678</v>
      </c>
    </row>
    <row r="99" spans="1:14" ht="14.5" x14ac:dyDescent="0.35">
      <c r="A99" t="s">
        <v>1779</v>
      </c>
      <c r="B99">
        <v>2028</v>
      </c>
      <c r="C99" t="s">
        <v>36</v>
      </c>
      <c r="D99" t="s">
        <v>84</v>
      </c>
      <c r="E99">
        <v>60</v>
      </c>
      <c r="F99">
        <v>58</v>
      </c>
      <c r="G99">
        <v>59</v>
      </c>
      <c r="H99">
        <v>-2</v>
      </c>
      <c r="I99">
        <v>-1</v>
      </c>
      <c r="J99" t="s">
        <v>1688</v>
      </c>
      <c r="K99">
        <v>26</v>
      </c>
      <c r="L99" t="s">
        <v>1670</v>
      </c>
      <c r="M99">
        <v>14.1</v>
      </c>
      <c r="N99" t="s">
        <v>1670</v>
      </c>
    </row>
    <row r="100" spans="1:14" ht="14.5" x14ac:dyDescent="0.35">
      <c r="A100" t="s">
        <v>1780</v>
      </c>
      <c r="B100">
        <v>2026</v>
      </c>
      <c r="C100" t="s">
        <v>45</v>
      </c>
      <c r="D100" t="s">
        <v>234</v>
      </c>
      <c r="E100">
        <v>40</v>
      </c>
      <c r="F100">
        <v>46</v>
      </c>
      <c r="G100">
        <v>65</v>
      </c>
      <c r="H100">
        <v>6</v>
      </c>
      <c r="I100">
        <v>25</v>
      </c>
      <c r="J100" t="s">
        <v>1669</v>
      </c>
      <c r="K100">
        <v>43</v>
      </c>
      <c r="L100" t="s">
        <v>1670</v>
      </c>
      <c r="M100">
        <v>8.5</v>
      </c>
      <c r="N100" t="s">
        <v>1678</v>
      </c>
    </row>
    <row r="101" spans="1:14" ht="14.5" x14ac:dyDescent="0.35">
      <c r="A101" t="s">
        <v>1781</v>
      </c>
      <c r="B101">
        <v>2027</v>
      </c>
      <c r="C101" t="s">
        <v>159</v>
      </c>
      <c r="D101" t="s">
        <v>187</v>
      </c>
      <c r="E101">
        <v>61</v>
      </c>
      <c r="F101">
        <v>76</v>
      </c>
      <c r="G101">
        <v>80</v>
      </c>
      <c r="H101">
        <v>15</v>
      </c>
      <c r="I101">
        <v>19</v>
      </c>
      <c r="J101" t="s">
        <v>1685</v>
      </c>
      <c r="K101">
        <v>31</v>
      </c>
      <c r="L101" t="s">
        <v>1671</v>
      </c>
      <c r="M101">
        <v>8</v>
      </c>
      <c r="N101" t="s">
        <v>1670</v>
      </c>
    </row>
    <row r="102" spans="1:14" ht="14.5" x14ac:dyDescent="0.35">
      <c r="A102" t="s">
        <v>1782</v>
      </c>
      <c r="B102">
        <v>2026</v>
      </c>
      <c r="C102" t="s">
        <v>108</v>
      </c>
      <c r="D102" t="s">
        <v>126</v>
      </c>
      <c r="E102">
        <v>18</v>
      </c>
      <c r="F102">
        <v>24</v>
      </c>
      <c r="G102">
        <v>35</v>
      </c>
      <c r="H102">
        <v>6</v>
      </c>
      <c r="I102">
        <v>17</v>
      </c>
      <c r="J102" t="s">
        <v>1693</v>
      </c>
      <c r="K102">
        <v>45</v>
      </c>
      <c r="L102" t="s">
        <v>1678</v>
      </c>
      <c r="M102">
        <v>17.3</v>
      </c>
      <c r="N102" t="s">
        <v>1678</v>
      </c>
    </row>
    <row r="103" spans="1:14" ht="14.5" x14ac:dyDescent="0.35">
      <c r="A103" t="s">
        <v>1783</v>
      </c>
      <c r="B103">
        <v>2028</v>
      </c>
      <c r="C103" t="s">
        <v>56</v>
      </c>
      <c r="D103" t="s">
        <v>217</v>
      </c>
      <c r="E103">
        <v>8</v>
      </c>
      <c r="F103">
        <v>13</v>
      </c>
      <c r="G103">
        <v>26</v>
      </c>
      <c r="H103">
        <v>5</v>
      </c>
      <c r="I103">
        <v>18</v>
      </c>
      <c r="J103" t="s">
        <v>1715</v>
      </c>
      <c r="K103">
        <v>19</v>
      </c>
      <c r="L103" t="s">
        <v>1678</v>
      </c>
      <c r="M103">
        <v>12.7</v>
      </c>
      <c r="N103" t="s">
        <v>1674</v>
      </c>
    </row>
    <row r="104" spans="1:14" ht="14.5" x14ac:dyDescent="0.35">
      <c r="A104" t="s">
        <v>1784</v>
      </c>
      <c r="B104">
        <v>2027</v>
      </c>
      <c r="C104" t="s">
        <v>21</v>
      </c>
      <c r="D104" t="s">
        <v>153</v>
      </c>
      <c r="E104">
        <v>77</v>
      </c>
      <c r="F104">
        <v>81</v>
      </c>
      <c r="G104">
        <v>84</v>
      </c>
      <c r="H104">
        <v>4</v>
      </c>
      <c r="I104">
        <v>7</v>
      </c>
      <c r="J104" t="s">
        <v>1718</v>
      </c>
      <c r="K104">
        <v>20</v>
      </c>
      <c r="L104" t="s">
        <v>1671</v>
      </c>
      <c r="M104">
        <v>6</v>
      </c>
      <c r="N104" t="s">
        <v>1670</v>
      </c>
    </row>
    <row r="105" spans="1:14" ht="14.5" x14ac:dyDescent="0.35">
      <c r="A105" t="s">
        <v>1785</v>
      </c>
      <c r="B105">
        <v>2027</v>
      </c>
      <c r="C105" t="s">
        <v>159</v>
      </c>
      <c r="D105" t="s">
        <v>187</v>
      </c>
      <c r="E105">
        <v>8</v>
      </c>
      <c r="F105">
        <v>14</v>
      </c>
      <c r="G105">
        <v>21</v>
      </c>
      <c r="H105">
        <v>6</v>
      </c>
      <c r="I105">
        <v>13</v>
      </c>
      <c r="J105" t="s">
        <v>1669</v>
      </c>
      <c r="K105">
        <v>17</v>
      </c>
      <c r="L105" t="s">
        <v>1671</v>
      </c>
      <c r="M105">
        <v>7.2</v>
      </c>
      <c r="N105" t="s">
        <v>1670</v>
      </c>
    </row>
    <row r="106" spans="1:14" ht="14.5" x14ac:dyDescent="0.35">
      <c r="A106" t="s">
        <v>1786</v>
      </c>
      <c r="B106">
        <v>2029</v>
      </c>
      <c r="C106" t="s">
        <v>27</v>
      </c>
      <c r="D106" t="s">
        <v>28</v>
      </c>
      <c r="E106">
        <v>56</v>
      </c>
      <c r="F106">
        <v>63</v>
      </c>
      <c r="G106">
        <v>81</v>
      </c>
      <c r="H106">
        <v>7</v>
      </c>
      <c r="I106">
        <v>25</v>
      </c>
      <c r="J106" t="s">
        <v>1673</v>
      </c>
      <c r="K106">
        <v>22</v>
      </c>
      <c r="L106" t="s">
        <v>1671</v>
      </c>
      <c r="M106">
        <v>16.100000000000001</v>
      </c>
      <c r="N106" t="s">
        <v>1674</v>
      </c>
    </row>
    <row r="107" spans="1:14" ht="14.5" x14ac:dyDescent="0.35">
      <c r="A107" t="s">
        <v>1787</v>
      </c>
      <c r="B107">
        <v>2029</v>
      </c>
      <c r="C107" t="s">
        <v>27</v>
      </c>
      <c r="D107" t="s">
        <v>28</v>
      </c>
      <c r="E107">
        <v>46</v>
      </c>
      <c r="F107">
        <v>47</v>
      </c>
      <c r="G107">
        <v>58</v>
      </c>
      <c r="H107">
        <v>1</v>
      </c>
      <c r="I107">
        <v>12</v>
      </c>
      <c r="J107" t="s">
        <v>1680</v>
      </c>
      <c r="K107">
        <v>31</v>
      </c>
      <c r="L107" t="s">
        <v>1678</v>
      </c>
      <c r="M107">
        <v>14.3</v>
      </c>
      <c r="N107" t="s">
        <v>1674</v>
      </c>
    </row>
    <row r="108" spans="1:14" ht="14.5" x14ac:dyDescent="0.35">
      <c r="A108" t="s">
        <v>1788</v>
      </c>
      <c r="B108">
        <v>2026</v>
      </c>
      <c r="C108" t="s">
        <v>45</v>
      </c>
      <c r="D108" t="s">
        <v>46</v>
      </c>
      <c r="E108">
        <v>78</v>
      </c>
      <c r="F108">
        <v>79</v>
      </c>
      <c r="G108">
        <v>93</v>
      </c>
      <c r="H108">
        <v>1</v>
      </c>
      <c r="I108">
        <v>15</v>
      </c>
      <c r="J108" t="s">
        <v>1669</v>
      </c>
      <c r="K108">
        <v>44</v>
      </c>
      <c r="L108" t="s">
        <v>1670</v>
      </c>
      <c r="M108">
        <v>13</v>
      </c>
      <c r="N108" t="s">
        <v>1678</v>
      </c>
    </row>
    <row r="109" spans="1:14" ht="14.5" x14ac:dyDescent="0.35">
      <c r="A109" t="s">
        <v>1789</v>
      </c>
      <c r="B109">
        <v>2027</v>
      </c>
      <c r="C109" t="s">
        <v>159</v>
      </c>
      <c r="D109" t="s">
        <v>269</v>
      </c>
      <c r="E109">
        <v>61</v>
      </c>
      <c r="F109">
        <v>60</v>
      </c>
      <c r="G109">
        <v>72</v>
      </c>
      <c r="H109">
        <v>-1</v>
      </c>
      <c r="I109">
        <v>11</v>
      </c>
      <c r="J109" t="s">
        <v>1688</v>
      </c>
      <c r="K109">
        <v>6</v>
      </c>
      <c r="L109" t="s">
        <v>1678</v>
      </c>
      <c r="M109">
        <v>13.8</v>
      </c>
      <c r="N109" t="s">
        <v>1671</v>
      </c>
    </row>
    <row r="110" spans="1:14" ht="14.5" x14ac:dyDescent="0.35">
      <c r="A110" t="s">
        <v>1790</v>
      </c>
      <c r="B110">
        <v>2029</v>
      </c>
      <c r="C110" t="s">
        <v>36</v>
      </c>
      <c r="D110" t="s">
        <v>62</v>
      </c>
      <c r="E110">
        <v>79</v>
      </c>
      <c r="F110">
        <v>91</v>
      </c>
      <c r="G110">
        <v>93</v>
      </c>
      <c r="H110">
        <v>12</v>
      </c>
      <c r="I110">
        <v>14</v>
      </c>
      <c r="J110" t="s">
        <v>1715</v>
      </c>
      <c r="K110">
        <v>24</v>
      </c>
      <c r="L110" t="s">
        <v>1671</v>
      </c>
      <c r="M110">
        <v>10.3</v>
      </c>
      <c r="N110" t="s">
        <v>1674</v>
      </c>
    </row>
    <row r="111" spans="1:14" ht="14.5" x14ac:dyDescent="0.35">
      <c r="A111" t="s">
        <v>1791</v>
      </c>
      <c r="B111">
        <v>2030</v>
      </c>
      <c r="C111" t="s">
        <v>40</v>
      </c>
      <c r="D111" t="s">
        <v>41</v>
      </c>
      <c r="E111">
        <v>7</v>
      </c>
      <c r="F111">
        <v>5</v>
      </c>
      <c r="G111">
        <v>10</v>
      </c>
      <c r="H111">
        <v>-2</v>
      </c>
      <c r="I111">
        <v>3</v>
      </c>
      <c r="J111" t="s">
        <v>1676</v>
      </c>
      <c r="K111">
        <v>12</v>
      </c>
      <c r="L111" t="s">
        <v>1678</v>
      </c>
      <c r="M111">
        <v>9.6999999999999993</v>
      </c>
      <c r="N111" t="s">
        <v>1674</v>
      </c>
    </row>
    <row r="112" spans="1:14" ht="14.5" x14ac:dyDescent="0.35">
      <c r="A112" t="s">
        <v>1792</v>
      </c>
      <c r="B112">
        <v>2026</v>
      </c>
      <c r="C112" t="s">
        <v>36</v>
      </c>
      <c r="D112" t="s">
        <v>84</v>
      </c>
      <c r="E112">
        <v>5</v>
      </c>
      <c r="F112">
        <v>12</v>
      </c>
      <c r="G112">
        <v>29</v>
      </c>
      <c r="H112">
        <v>7</v>
      </c>
      <c r="I112">
        <v>24</v>
      </c>
      <c r="J112" t="s">
        <v>1673</v>
      </c>
      <c r="K112">
        <v>31</v>
      </c>
      <c r="L112" t="s">
        <v>1671</v>
      </c>
      <c r="M112">
        <v>8.1</v>
      </c>
      <c r="N112" t="s">
        <v>1678</v>
      </c>
    </row>
    <row r="113" spans="1:14" ht="14.5" x14ac:dyDescent="0.35">
      <c r="A113" t="s">
        <v>1793</v>
      </c>
      <c r="B113">
        <v>2029</v>
      </c>
      <c r="C113" t="s">
        <v>159</v>
      </c>
      <c r="D113" t="s">
        <v>269</v>
      </c>
      <c r="E113">
        <v>60</v>
      </c>
      <c r="F113">
        <v>71</v>
      </c>
      <c r="G113">
        <v>75</v>
      </c>
      <c r="H113">
        <v>11</v>
      </c>
      <c r="I113">
        <v>15</v>
      </c>
      <c r="J113" t="s">
        <v>1688</v>
      </c>
      <c r="K113">
        <v>26</v>
      </c>
      <c r="L113" t="s">
        <v>1671</v>
      </c>
      <c r="M113">
        <v>4</v>
      </c>
      <c r="N113" t="s">
        <v>1670</v>
      </c>
    </row>
    <row r="114" spans="1:14" ht="14.5" x14ac:dyDescent="0.35">
      <c r="A114" t="s">
        <v>1794</v>
      </c>
      <c r="B114">
        <v>2027</v>
      </c>
      <c r="C114" t="s">
        <v>21</v>
      </c>
      <c r="D114" t="s">
        <v>153</v>
      </c>
      <c r="E114">
        <v>22</v>
      </c>
      <c r="F114">
        <v>36</v>
      </c>
      <c r="G114">
        <v>56</v>
      </c>
      <c r="H114">
        <v>14</v>
      </c>
      <c r="I114">
        <v>34</v>
      </c>
      <c r="J114" t="s">
        <v>1669</v>
      </c>
      <c r="K114">
        <v>6</v>
      </c>
      <c r="L114" t="s">
        <v>1670</v>
      </c>
      <c r="M114">
        <v>14.8</v>
      </c>
      <c r="N114" t="s">
        <v>1670</v>
      </c>
    </row>
    <row r="115" spans="1:14" ht="14.5" x14ac:dyDescent="0.35">
      <c r="A115" t="s">
        <v>1795</v>
      </c>
      <c r="B115">
        <v>2029</v>
      </c>
      <c r="C115" t="s">
        <v>159</v>
      </c>
      <c r="D115" t="s">
        <v>482</v>
      </c>
      <c r="E115">
        <v>72</v>
      </c>
      <c r="F115">
        <v>79</v>
      </c>
      <c r="G115">
        <v>94</v>
      </c>
      <c r="H115">
        <v>7</v>
      </c>
      <c r="I115">
        <v>22</v>
      </c>
      <c r="J115" t="s">
        <v>1688</v>
      </c>
      <c r="K115">
        <v>23</v>
      </c>
      <c r="L115" t="s">
        <v>1671</v>
      </c>
      <c r="M115">
        <v>10.8</v>
      </c>
      <c r="N115" t="s">
        <v>1678</v>
      </c>
    </row>
    <row r="116" spans="1:14" ht="14.5" x14ac:dyDescent="0.35">
      <c r="A116" t="s">
        <v>1796</v>
      </c>
      <c r="B116">
        <v>2030</v>
      </c>
      <c r="C116" t="s">
        <v>69</v>
      </c>
      <c r="D116" t="s">
        <v>70</v>
      </c>
      <c r="E116">
        <v>72</v>
      </c>
      <c r="F116">
        <v>72</v>
      </c>
      <c r="G116">
        <v>91</v>
      </c>
      <c r="H116">
        <v>0</v>
      </c>
      <c r="I116">
        <v>19</v>
      </c>
      <c r="J116" t="s">
        <v>1715</v>
      </c>
      <c r="K116">
        <v>22</v>
      </c>
      <c r="L116" t="s">
        <v>1678</v>
      </c>
      <c r="M116">
        <v>7.1</v>
      </c>
      <c r="N116" t="s">
        <v>1674</v>
      </c>
    </row>
    <row r="117" spans="1:14" ht="14.5" x14ac:dyDescent="0.35">
      <c r="A117" t="s">
        <v>1797</v>
      </c>
      <c r="B117">
        <v>2027</v>
      </c>
      <c r="C117" t="s">
        <v>69</v>
      </c>
      <c r="D117" t="s">
        <v>150</v>
      </c>
      <c r="E117">
        <v>75</v>
      </c>
      <c r="F117">
        <v>74</v>
      </c>
      <c r="G117">
        <v>75</v>
      </c>
      <c r="H117">
        <v>-1</v>
      </c>
      <c r="I117">
        <v>0</v>
      </c>
      <c r="J117" t="s">
        <v>1676</v>
      </c>
      <c r="K117">
        <v>45</v>
      </c>
      <c r="L117" t="s">
        <v>1670</v>
      </c>
      <c r="M117">
        <v>12.2</v>
      </c>
      <c r="N117" t="s">
        <v>1674</v>
      </c>
    </row>
    <row r="118" spans="1:14" ht="14.5" x14ac:dyDescent="0.35">
      <c r="A118" t="s">
        <v>1798</v>
      </c>
      <c r="B118">
        <v>2027</v>
      </c>
      <c r="C118" t="s">
        <v>21</v>
      </c>
      <c r="D118" t="s">
        <v>163</v>
      </c>
      <c r="E118">
        <v>20</v>
      </c>
      <c r="F118">
        <v>21</v>
      </c>
      <c r="G118">
        <v>25</v>
      </c>
      <c r="H118">
        <v>1</v>
      </c>
      <c r="I118">
        <v>5</v>
      </c>
      <c r="J118" t="s">
        <v>1688</v>
      </c>
      <c r="K118">
        <v>11</v>
      </c>
      <c r="L118" t="s">
        <v>1670</v>
      </c>
      <c r="M118">
        <v>17.7</v>
      </c>
      <c r="N118" t="s">
        <v>1670</v>
      </c>
    </row>
    <row r="119" spans="1:14" ht="14.5" x14ac:dyDescent="0.35">
      <c r="A119" t="s">
        <v>1799</v>
      </c>
      <c r="B119">
        <v>2027</v>
      </c>
      <c r="C119" t="s">
        <v>27</v>
      </c>
      <c r="D119" t="s">
        <v>73</v>
      </c>
      <c r="E119">
        <v>13</v>
      </c>
      <c r="F119">
        <v>17</v>
      </c>
      <c r="G119">
        <v>29</v>
      </c>
      <c r="H119">
        <v>4</v>
      </c>
      <c r="I119">
        <v>16</v>
      </c>
      <c r="J119" t="s">
        <v>1669</v>
      </c>
      <c r="K119">
        <v>45</v>
      </c>
      <c r="L119" t="s">
        <v>1678</v>
      </c>
      <c r="M119">
        <v>15.8</v>
      </c>
      <c r="N119" t="s">
        <v>1671</v>
      </c>
    </row>
    <row r="120" spans="1:14" ht="14.5" x14ac:dyDescent="0.35">
      <c r="A120" t="s">
        <v>1800</v>
      </c>
      <c r="B120">
        <v>2029</v>
      </c>
      <c r="C120" t="s">
        <v>21</v>
      </c>
      <c r="D120" t="s">
        <v>133</v>
      </c>
      <c r="E120">
        <v>43</v>
      </c>
      <c r="F120">
        <v>49</v>
      </c>
      <c r="G120">
        <v>62</v>
      </c>
      <c r="H120">
        <v>6</v>
      </c>
      <c r="I120">
        <v>19</v>
      </c>
      <c r="J120" t="s">
        <v>1693</v>
      </c>
      <c r="K120">
        <v>6</v>
      </c>
      <c r="L120" t="s">
        <v>1670</v>
      </c>
      <c r="M120">
        <v>13.8</v>
      </c>
      <c r="N120" t="s">
        <v>1671</v>
      </c>
    </row>
    <row r="121" spans="1:14" ht="14.5" x14ac:dyDescent="0.35">
      <c r="A121" t="s">
        <v>1801</v>
      </c>
      <c r="B121">
        <v>2030</v>
      </c>
      <c r="C121" t="s">
        <v>45</v>
      </c>
      <c r="D121" t="s">
        <v>46</v>
      </c>
      <c r="E121">
        <v>21</v>
      </c>
      <c r="F121">
        <v>22</v>
      </c>
      <c r="G121">
        <v>40</v>
      </c>
      <c r="H121">
        <v>1</v>
      </c>
      <c r="I121">
        <v>19</v>
      </c>
      <c r="J121" t="s">
        <v>1710</v>
      </c>
      <c r="K121">
        <v>20</v>
      </c>
      <c r="L121" t="s">
        <v>1670</v>
      </c>
      <c r="M121">
        <v>5</v>
      </c>
      <c r="N121" t="s">
        <v>1671</v>
      </c>
    </row>
    <row r="122" spans="1:14" ht="14.5" x14ac:dyDescent="0.35">
      <c r="A122" t="s">
        <v>1802</v>
      </c>
      <c r="B122">
        <v>2026</v>
      </c>
      <c r="C122" t="s">
        <v>21</v>
      </c>
      <c r="D122" t="s">
        <v>22</v>
      </c>
      <c r="E122">
        <v>44</v>
      </c>
      <c r="F122">
        <v>47</v>
      </c>
      <c r="G122">
        <v>54</v>
      </c>
      <c r="H122">
        <v>3</v>
      </c>
      <c r="I122">
        <v>10</v>
      </c>
      <c r="J122" t="s">
        <v>1710</v>
      </c>
      <c r="K122">
        <v>10</v>
      </c>
      <c r="L122" t="s">
        <v>1671</v>
      </c>
      <c r="M122">
        <v>10.199999999999999</v>
      </c>
      <c r="N122" t="s">
        <v>1674</v>
      </c>
    </row>
    <row r="123" spans="1:14" ht="14.5" x14ac:dyDescent="0.35">
      <c r="A123" t="s">
        <v>1803</v>
      </c>
      <c r="B123">
        <v>2026</v>
      </c>
      <c r="C123" t="s">
        <v>52</v>
      </c>
      <c r="D123" t="s">
        <v>498</v>
      </c>
      <c r="E123">
        <v>78</v>
      </c>
      <c r="F123">
        <v>93</v>
      </c>
      <c r="G123">
        <v>109</v>
      </c>
      <c r="H123">
        <v>15</v>
      </c>
      <c r="I123">
        <v>31</v>
      </c>
      <c r="J123" t="s">
        <v>1685</v>
      </c>
      <c r="K123">
        <v>19</v>
      </c>
      <c r="L123" t="s">
        <v>1670</v>
      </c>
      <c r="M123">
        <v>8.6999999999999993</v>
      </c>
      <c r="N123" t="s">
        <v>1678</v>
      </c>
    </row>
    <row r="124" spans="1:14" ht="14.5" x14ac:dyDescent="0.35">
      <c r="A124" t="s">
        <v>1804</v>
      </c>
      <c r="B124">
        <v>2027</v>
      </c>
      <c r="C124" t="s">
        <v>40</v>
      </c>
      <c r="D124" t="s">
        <v>90</v>
      </c>
      <c r="E124">
        <v>79</v>
      </c>
      <c r="F124">
        <v>87</v>
      </c>
      <c r="G124">
        <v>96</v>
      </c>
      <c r="H124">
        <v>8</v>
      </c>
      <c r="I124">
        <v>17</v>
      </c>
      <c r="J124" t="s">
        <v>1693</v>
      </c>
      <c r="K124">
        <v>20</v>
      </c>
      <c r="L124" t="s">
        <v>1671</v>
      </c>
      <c r="M124">
        <v>8.1999999999999993</v>
      </c>
      <c r="N124" t="s">
        <v>1678</v>
      </c>
    </row>
    <row r="125" spans="1:14" ht="14.5" x14ac:dyDescent="0.35">
      <c r="A125" t="s">
        <v>1805</v>
      </c>
      <c r="B125">
        <v>2030</v>
      </c>
      <c r="C125" t="s">
        <v>159</v>
      </c>
      <c r="D125" t="s">
        <v>187</v>
      </c>
      <c r="E125">
        <v>77</v>
      </c>
      <c r="F125">
        <v>81</v>
      </c>
      <c r="G125">
        <v>98</v>
      </c>
      <c r="H125">
        <v>4</v>
      </c>
      <c r="I125">
        <v>21</v>
      </c>
      <c r="J125" t="s">
        <v>1693</v>
      </c>
      <c r="K125">
        <v>34</v>
      </c>
      <c r="L125" t="s">
        <v>1671</v>
      </c>
      <c r="M125">
        <v>6</v>
      </c>
      <c r="N125" t="s">
        <v>1678</v>
      </c>
    </row>
    <row r="126" spans="1:14" ht="14.5" x14ac:dyDescent="0.35">
      <c r="A126" t="s">
        <v>1806</v>
      </c>
      <c r="B126">
        <v>2029</v>
      </c>
      <c r="C126" t="s">
        <v>108</v>
      </c>
      <c r="D126" t="s">
        <v>126</v>
      </c>
      <c r="E126">
        <v>78</v>
      </c>
      <c r="F126">
        <v>78</v>
      </c>
      <c r="G126">
        <v>86</v>
      </c>
      <c r="H126">
        <v>0</v>
      </c>
      <c r="I126">
        <v>8</v>
      </c>
      <c r="J126" t="s">
        <v>1669</v>
      </c>
      <c r="K126">
        <v>38</v>
      </c>
      <c r="L126" t="s">
        <v>1671</v>
      </c>
      <c r="M126">
        <v>5.7</v>
      </c>
      <c r="N126" t="s">
        <v>1671</v>
      </c>
    </row>
    <row r="127" spans="1:14" ht="14.5" x14ac:dyDescent="0.35">
      <c r="A127" t="s">
        <v>1807</v>
      </c>
      <c r="B127">
        <v>2030</v>
      </c>
      <c r="C127" t="s">
        <v>52</v>
      </c>
      <c r="D127" t="s">
        <v>176</v>
      </c>
      <c r="E127">
        <v>79</v>
      </c>
      <c r="F127">
        <v>82</v>
      </c>
      <c r="G127">
        <v>83</v>
      </c>
      <c r="H127">
        <v>3</v>
      </c>
      <c r="I127">
        <v>4</v>
      </c>
      <c r="J127" t="s">
        <v>1693</v>
      </c>
      <c r="K127">
        <v>11</v>
      </c>
      <c r="L127" t="s">
        <v>1671</v>
      </c>
      <c r="M127">
        <v>3.9</v>
      </c>
      <c r="N127" t="s">
        <v>1674</v>
      </c>
    </row>
    <row r="128" spans="1:14" ht="14.5" x14ac:dyDescent="0.35">
      <c r="A128" t="s">
        <v>1808</v>
      </c>
      <c r="B128">
        <v>2026</v>
      </c>
      <c r="C128" t="s">
        <v>45</v>
      </c>
      <c r="D128" t="s">
        <v>234</v>
      </c>
      <c r="E128">
        <v>23</v>
      </c>
      <c r="F128">
        <v>25</v>
      </c>
      <c r="G128">
        <v>33</v>
      </c>
      <c r="H128">
        <v>2</v>
      </c>
      <c r="I128">
        <v>10</v>
      </c>
      <c r="J128" t="s">
        <v>1673</v>
      </c>
      <c r="K128">
        <v>8</v>
      </c>
      <c r="L128" t="s">
        <v>1671</v>
      </c>
      <c r="M128">
        <v>5.6</v>
      </c>
      <c r="N128" t="s">
        <v>1678</v>
      </c>
    </row>
    <row r="129" spans="1:14" ht="14.5" x14ac:dyDescent="0.35">
      <c r="A129" t="s">
        <v>1809</v>
      </c>
      <c r="B129">
        <v>2027</v>
      </c>
      <c r="C129" t="s">
        <v>21</v>
      </c>
      <c r="D129" t="s">
        <v>153</v>
      </c>
      <c r="E129">
        <v>74</v>
      </c>
      <c r="F129">
        <v>73</v>
      </c>
      <c r="G129">
        <v>87</v>
      </c>
      <c r="H129">
        <v>-1</v>
      </c>
      <c r="I129">
        <v>13</v>
      </c>
      <c r="J129" t="s">
        <v>1693</v>
      </c>
      <c r="K129">
        <v>20</v>
      </c>
      <c r="L129" t="s">
        <v>1670</v>
      </c>
      <c r="M129">
        <v>15.2</v>
      </c>
      <c r="N129" t="s">
        <v>1674</v>
      </c>
    </row>
    <row r="130" spans="1:14" ht="14.5" x14ac:dyDescent="0.35">
      <c r="A130" t="s">
        <v>1810</v>
      </c>
      <c r="B130">
        <v>2030</v>
      </c>
      <c r="C130" t="s">
        <v>40</v>
      </c>
      <c r="D130" t="s">
        <v>41</v>
      </c>
      <c r="E130">
        <v>63</v>
      </c>
      <c r="F130">
        <v>76</v>
      </c>
      <c r="G130">
        <v>80</v>
      </c>
      <c r="H130">
        <v>13</v>
      </c>
      <c r="I130">
        <v>17</v>
      </c>
      <c r="J130" t="s">
        <v>1693</v>
      </c>
      <c r="K130">
        <v>9</v>
      </c>
      <c r="L130" t="s">
        <v>1678</v>
      </c>
      <c r="M130">
        <v>17.8</v>
      </c>
      <c r="N130" t="s">
        <v>1674</v>
      </c>
    </row>
    <row r="131" spans="1:14" ht="14.5" x14ac:dyDescent="0.35">
      <c r="A131" t="s">
        <v>1811</v>
      </c>
      <c r="B131">
        <v>2028</v>
      </c>
      <c r="C131" t="s">
        <v>56</v>
      </c>
      <c r="D131" t="s">
        <v>57</v>
      </c>
      <c r="E131">
        <v>12</v>
      </c>
      <c r="F131">
        <v>20</v>
      </c>
      <c r="G131">
        <v>33</v>
      </c>
      <c r="H131">
        <v>8</v>
      </c>
      <c r="I131">
        <v>21</v>
      </c>
      <c r="J131" t="s">
        <v>1718</v>
      </c>
      <c r="K131">
        <v>28</v>
      </c>
      <c r="L131" t="s">
        <v>1671</v>
      </c>
      <c r="M131">
        <v>17.600000000000001</v>
      </c>
      <c r="N131" t="s">
        <v>1678</v>
      </c>
    </row>
    <row r="132" spans="1:14" ht="14.5" x14ac:dyDescent="0.35">
      <c r="A132" t="s">
        <v>1812</v>
      </c>
      <c r="B132">
        <v>2026</v>
      </c>
      <c r="C132" t="s">
        <v>52</v>
      </c>
      <c r="D132" t="s">
        <v>195</v>
      </c>
      <c r="E132">
        <v>60</v>
      </c>
      <c r="F132">
        <v>73</v>
      </c>
      <c r="G132">
        <v>75</v>
      </c>
      <c r="H132">
        <v>13</v>
      </c>
      <c r="I132">
        <v>15</v>
      </c>
      <c r="J132" t="s">
        <v>1676</v>
      </c>
      <c r="K132">
        <v>31</v>
      </c>
      <c r="L132" t="s">
        <v>1670</v>
      </c>
      <c r="M132">
        <v>15</v>
      </c>
      <c r="N132" t="s">
        <v>1674</v>
      </c>
    </row>
    <row r="133" spans="1:14" ht="14.5" x14ac:dyDescent="0.35">
      <c r="A133" t="s">
        <v>1813</v>
      </c>
      <c r="B133">
        <v>2026</v>
      </c>
      <c r="C133" t="s">
        <v>40</v>
      </c>
      <c r="D133" t="s">
        <v>90</v>
      </c>
      <c r="E133">
        <v>77</v>
      </c>
      <c r="F133">
        <v>85</v>
      </c>
      <c r="G133">
        <v>93</v>
      </c>
      <c r="H133">
        <v>8</v>
      </c>
      <c r="I133">
        <v>16</v>
      </c>
      <c r="J133" t="s">
        <v>1669</v>
      </c>
      <c r="K133">
        <v>18</v>
      </c>
      <c r="L133" t="s">
        <v>1670</v>
      </c>
      <c r="M133">
        <v>15.5</v>
      </c>
      <c r="N133" t="s">
        <v>1674</v>
      </c>
    </row>
    <row r="134" spans="1:14" ht="14.5" x14ac:dyDescent="0.35">
      <c r="A134" t="s">
        <v>1814</v>
      </c>
      <c r="B134">
        <v>2030</v>
      </c>
      <c r="C134" t="s">
        <v>45</v>
      </c>
      <c r="D134" t="s">
        <v>296</v>
      </c>
      <c r="E134">
        <v>40</v>
      </c>
      <c r="F134">
        <v>43</v>
      </c>
      <c r="G134">
        <v>63</v>
      </c>
      <c r="H134">
        <v>3</v>
      </c>
      <c r="I134">
        <v>23</v>
      </c>
      <c r="J134" t="s">
        <v>1710</v>
      </c>
      <c r="K134">
        <v>12</v>
      </c>
      <c r="L134" t="s">
        <v>1678</v>
      </c>
      <c r="M134">
        <v>5.7</v>
      </c>
      <c r="N134" t="s">
        <v>1671</v>
      </c>
    </row>
    <row r="135" spans="1:14" ht="14.5" x14ac:dyDescent="0.35">
      <c r="A135" t="s">
        <v>1815</v>
      </c>
      <c r="B135">
        <v>2027</v>
      </c>
      <c r="C135" t="s">
        <v>52</v>
      </c>
      <c r="D135" t="s">
        <v>176</v>
      </c>
      <c r="E135">
        <v>42</v>
      </c>
      <c r="F135">
        <v>48</v>
      </c>
      <c r="G135">
        <v>67</v>
      </c>
      <c r="H135">
        <v>6</v>
      </c>
      <c r="I135">
        <v>25</v>
      </c>
      <c r="J135" t="s">
        <v>1688</v>
      </c>
      <c r="K135">
        <v>14</v>
      </c>
      <c r="L135" t="s">
        <v>1671</v>
      </c>
      <c r="M135">
        <v>9.1999999999999993</v>
      </c>
      <c r="N135" t="s">
        <v>1674</v>
      </c>
    </row>
    <row r="136" spans="1:14" ht="14.5" x14ac:dyDescent="0.35">
      <c r="A136" t="s">
        <v>1816</v>
      </c>
      <c r="B136">
        <v>2030</v>
      </c>
      <c r="C136" t="s">
        <v>56</v>
      </c>
      <c r="D136" t="s">
        <v>79</v>
      </c>
      <c r="E136">
        <v>57</v>
      </c>
      <c r="F136">
        <v>68</v>
      </c>
      <c r="G136">
        <v>71</v>
      </c>
      <c r="H136">
        <v>11</v>
      </c>
      <c r="I136">
        <v>14</v>
      </c>
      <c r="J136" t="s">
        <v>1710</v>
      </c>
      <c r="K136">
        <v>12</v>
      </c>
      <c r="L136" t="s">
        <v>1671</v>
      </c>
      <c r="M136">
        <v>3.5</v>
      </c>
      <c r="N136" t="s">
        <v>1678</v>
      </c>
    </row>
    <row r="137" spans="1:14" ht="14.5" x14ac:dyDescent="0.35">
      <c r="A137" t="s">
        <v>1817</v>
      </c>
      <c r="B137">
        <v>2027</v>
      </c>
      <c r="C137" t="s">
        <v>21</v>
      </c>
      <c r="D137" t="s">
        <v>22</v>
      </c>
      <c r="E137">
        <v>78</v>
      </c>
      <c r="F137">
        <v>81</v>
      </c>
      <c r="G137">
        <v>82</v>
      </c>
      <c r="H137">
        <v>3</v>
      </c>
      <c r="I137">
        <v>4</v>
      </c>
      <c r="J137" t="s">
        <v>1676</v>
      </c>
      <c r="K137">
        <v>35</v>
      </c>
      <c r="L137" t="s">
        <v>1678</v>
      </c>
      <c r="M137">
        <v>16.7</v>
      </c>
      <c r="N137" t="s">
        <v>1674</v>
      </c>
    </row>
    <row r="138" spans="1:14" ht="14.5" x14ac:dyDescent="0.35">
      <c r="A138" t="s">
        <v>1818</v>
      </c>
      <c r="B138">
        <v>2028</v>
      </c>
      <c r="C138" t="s">
        <v>56</v>
      </c>
      <c r="D138" t="s">
        <v>57</v>
      </c>
      <c r="E138">
        <v>50</v>
      </c>
      <c r="F138">
        <v>63</v>
      </c>
      <c r="G138">
        <v>66</v>
      </c>
      <c r="H138">
        <v>13</v>
      </c>
      <c r="I138">
        <v>16</v>
      </c>
      <c r="J138" t="s">
        <v>1710</v>
      </c>
      <c r="K138">
        <v>43</v>
      </c>
      <c r="L138" t="s">
        <v>1671</v>
      </c>
      <c r="M138">
        <v>5.5</v>
      </c>
      <c r="N138" t="s">
        <v>1678</v>
      </c>
    </row>
    <row r="139" spans="1:14" ht="14.5" x14ac:dyDescent="0.35">
      <c r="A139" t="s">
        <v>1819</v>
      </c>
      <c r="B139">
        <v>2028</v>
      </c>
      <c r="C139" t="s">
        <v>69</v>
      </c>
      <c r="D139" t="s">
        <v>150</v>
      </c>
      <c r="E139">
        <v>13</v>
      </c>
      <c r="F139">
        <v>18</v>
      </c>
      <c r="G139">
        <v>35</v>
      </c>
      <c r="H139">
        <v>5</v>
      </c>
      <c r="I139">
        <v>22</v>
      </c>
      <c r="J139" t="s">
        <v>1673</v>
      </c>
      <c r="K139">
        <v>31</v>
      </c>
      <c r="L139" t="s">
        <v>1671</v>
      </c>
      <c r="M139">
        <v>8.8000000000000007</v>
      </c>
      <c r="N139" t="s">
        <v>1674</v>
      </c>
    </row>
    <row r="140" spans="1:14" ht="14.5" x14ac:dyDescent="0.35">
      <c r="A140" t="s">
        <v>1820</v>
      </c>
      <c r="B140">
        <v>2030</v>
      </c>
      <c r="C140" t="s">
        <v>69</v>
      </c>
      <c r="D140" t="s">
        <v>70</v>
      </c>
      <c r="E140">
        <v>24</v>
      </c>
      <c r="F140">
        <v>37</v>
      </c>
      <c r="G140">
        <v>42</v>
      </c>
      <c r="H140">
        <v>13</v>
      </c>
      <c r="I140">
        <v>18</v>
      </c>
      <c r="J140" t="s">
        <v>1715</v>
      </c>
      <c r="K140">
        <v>27</v>
      </c>
      <c r="L140" t="s">
        <v>1671</v>
      </c>
      <c r="M140">
        <v>17.100000000000001</v>
      </c>
      <c r="N140" t="s">
        <v>1670</v>
      </c>
    </row>
    <row r="141" spans="1:14" ht="14.5" x14ac:dyDescent="0.35">
      <c r="A141" t="s">
        <v>1821</v>
      </c>
      <c r="B141">
        <v>2026</v>
      </c>
      <c r="C141" t="s">
        <v>45</v>
      </c>
      <c r="D141" t="s">
        <v>234</v>
      </c>
      <c r="E141">
        <v>20</v>
      </c>
      <c r="F141">
        <v>23</v>
      </c>
      <c r="G141">
        <v>26</v>
      </c>
      <c r="H141">
        <v>3</v>
      </c>
      <c r="I141">
        <v>6</v>
      </c>
      <c r="J141" t="s">
        <v>1715</v>
      </c>
      <c r="K141">
        <v>28</v>
      </c>
      <c r="L141" t="s">
        <v>1670</v>
      </c>
      <c r="M141">
        <v>12.1</v>
      </c>
      <c r="N141" t="s">
        <v>1678</v>
      </c>
    </row>
    <row r="142" spans="1:14" ht="14.5" x14ac:dyDescent="0.35">
      <c r="A142" t="s">
        <v>1822</v>
      </c>
      <c r="B142">
        <v>2030</v>
      </c>
      <c r="C142" t="s">
        <v>159</v>
      </c>
      <c r="D142" t="s">
        <v>187</v>
      </c>
      <c r="E142">
        <v>80</v>
      </c>
      <c r="F142">
        <v>94</v>
      </c>
      <c r="G142">
        <v>99</v>
      </c>
      <c r="H142">
        <v>14</v>
      </c>
      <c r="I142">
        <v>19</v>
      </c>
      <c r="J142" t="s">
        <v>1669</v>
      </c>
      <c r="K142">
        <v>22</v>
      </c>
      <c r="L142" t="s">
        <v>1670</v>
      </c>
      <c r="M142">
        <v>6.3</v>
      </c>
      <c r="N142" t="s">
        <v>1678</v>
      </c>
    </row>
    <row r="143" spans="1:14" ht="14.5" x14ac:dyDescent="0.35">
      <c r="A143" t="s">
        <v>1823</v>
      </c>
      <c r="B143">
        <v>2029</v>
      </c>
      <c r="C143" t="s">
        <v>21</v>
      </c>
      <c r="D143" t="s">
        <v>22</v>
      </c>
      <c r="E143">
        <v>29</v>
      </c>
      <c r="F143">
        <v>37</v>
      </c>
      <c r="G143">
        <v>53</v>
      </c>
      <c r="H143">
        <v>8</v>
      </c>
      <c r="I143">
        <v>24</v>
      </c>
      <c r="J143" t="s">
        <v>1676</v>
      </c>
      <c r="K143">
        <v>6</v>
      </c>
      <c r="L143" t="s">
        <v>1678</v>
      </c>
      <c r="M143">
        <v>4.3</v>
      </c>
      <c r="N143" t="s">
        <v>1678</v>
      </c>
    </row>
    <row r="144" spans="1:14" ht="14.5" x14ac:dyDescent="0.35">
      <c r="A144" t="s">
        <v>1824</v>
      </c>
      <c r="B144">
        <v>2030</v>
      </c>
      <c r="C144" t="s">
        <v>159</v>
      </c>
      <c r="D144" t="s">
        <v>160</v>
      </c>
      <c r="E144">
        <v>37</v>
      </c>
      <c r="F144">
        <v>45</v>
      </c>
      <c r="G144">
        <v>63</v>
      </c>
      <c r="H144">
        <v>8</v>
      </c>
      <c r="I144">
        <v>26</v>
      </c>
      <c r="J144" t="s">
        <v>1676</v>
      </c>
      <c r="K144">
        <v>19</v>
      </c>
      <c r="L144" t="s">
        <v>1678</v>
      </c>
      <c r="M144">
        <v>8.4</v>
      </c>
      <c r="N144" t="s">
        <v>1674</v>
      </c>
    </row>
    <row r="145" spans="1:14" ht="14.5" x14ac:dyDescent="0.35">
      <c r="A145" t="s">
        <v>1825</v>
      </c>
      <c r="B145">
        <v>2028</v>
      </c>
      <c r="C145" t="s">
        <v>69</v>
      </c>
      <c r="D145" t="s">
        <v>319</v>
      </c>
      <c r="E145">
        <v>43</v>
      </c>
      <c r="F145">
        <v>51</v>
      </c>
      <c r="G145">
        <v>58</v>
      </c>
      <c r="H145">
        <v>8</v>
      </c>
      <c r="I145">
        <v>15</v>
      </c>
      <c r="J145" t="s">
        <v>1669</v>
      </c>
      <c r="K145">
        <v>25</v>
      </c>
      <c r="L145" t="s">
        <v>1678</v>
      </c>
      <c r="M145">
        <v>16.899999999999999</v>
      </c>
      <c r="N145" t="s">
        <v>1674</v>
      </c>
    </row>
    <row r="146" spans="1:14" ht="14.5" x14ac:dyDescent="0.35">
      <c r="A146" t="s">
        <v>1826</v>
      </c>
      <c r="B146">
        <v>2029</v>
      </c>
      <c r="C146" t="s">
        <v>56</v>
      </c>
      <c r="D146" t="s">
        <v>112</v>
      </c>
      <c r="E146">
        <v>29</v>
      </c>
      <c r="F146">
        <v>28</v>
      </c>
      <c r="G146">
        <v>28</v>
      </c>
      <c r="H146">
        <v>-1</v>
      </c>
      <c r="I146">
        <v>-1</v>
      </c>
      <c r="J146" t="s">
        <v>1718</v>
      </c>
      <c r="K146">
        <v>17</v>
      </c>
      <c r="L146" t="s">
        <v>1671</v>
      </c>
      <c r="M146">
        <v>5.9</v>
      </c>
      <c r="N146" t="s">
        <v>1670</v>
      </c>
    </row>
    <row r="147" spans="1:14" ht="14.5" x14ac:dyDescent="0.35">
      <c r="A147" t="s">
        <v>1827</v>
      </c>
      <c r="B147">
        <v>2030</v>
      </c>
      <c r="C147" t="s">
        <v>108</v>
      </c>
      <c r="D147" t="s">
        <v>114</v>
      </c>
      <c r="E147">
        <v>71</v>
      </c>
      <c r="F147">
        <v>71</v>
      </c>
      <c r="G147">
        <v>81</v>
      </c>
      <c r="H147">
        <v>0</v>
      </c>
      <c r="I147">
        <v>10</v>
      </c>
      <c r="J147" t="s">
        <v>1715</v>
      </c>
      <c r="K147">
        <v>9</v>
      </c>
      <c r="L147" t="s">
        <v>1678</v>
      </c>
      <c r="M147">
        <v>14.8</v>
      </c>
      <c r="N147" t="s">
        <v>1674</v>
      </c>
    </row>
    <row r="148" spans="1:14" ht="14.5" x14ac:dyDescent="0.35">
      <c r="A148" t="s">
        <v>1828</v>
      </c>
      <c r="B148">
        <v>2029</v>
      </c>
      <c r="C148" t="s">
        <v>27</v>
      </c>
      <c r="D148" t="s">
        <v>87</v>
      </c>
      <c r="E148">
        <v>32</v>
      </c>
      <c r="F148">
        <v>43</v>
      </c>
      <c r="G148">
        <v>59</v>
      </c>
      <c r="H148">
        <v>11</v>
      </c>
      <c r="I148">
        <v>27</v>
      </c>
      <c r="J148" t="s">
        <v>1673</v>
      </c>
      <c r="K148">
        <v>16</v>
      </c>
      <c r="L148" t="s">
        <v>1671</v>
      </c>
      <c r="M148">
        <v>13.4</v>
      </c>
      <c r="N148" t="s">
        <v>1670</v>
      </c>
    </row>
    <row r="149" spans="1:14" ht="14.5" x14ac:dyDescent="0.35">
      <c r="A149" t="s">
        <v>1829</v>
      </c>
      <c r="B149">
        <v>2027</v>
      </c>
      <c r="C149" t="s">
        <v>56</v>
      </c>
      <c r="D149" t="s">
        <v>57</v>
      </c>
      <c r="E149">
        <v>50</v>
      </c>
      <c r="F149">
        <v>59</v>
      </c>
      <c r="G149">
        <v>73</v>
      </c>
      <c r="H149">
        <v>9</v>
      </c>
      <c r="I149">
        <v>23</v>
      </c>
      <c r="J149" t="s">
        <v>1673</v>
      </c>
      <c r="K149">
        <v>27</v>
      </c>
      <c r="L149" t="s">
        <v>1670</v>
      </c>
      <c r="M149">
        <v>16.399999999999999</v>
      </c>
      <c r="N149" t="s">
        <v>1671</v>
      </c>
    </row>
    <row r="150" spans="1:14" ht="14.5" x14ac:dyDescent="0.35">
      <c r="A150" t="s">
        <v>1830</v>
      </c>
      <c r="B150">
        <v>2029</v>
      </c>
      <c r="C150" t="s">
        <v>56</v>
      </c>
      <c r="D150" t="s">
        <v>217</v>
      </c>
      <c r="E150">
        <v>76</v>
      </c>
      <c r="F150">
        <v>88</v>
      </c>
      <c r="G150">
        <v>97</v>
      </c>
      <c r="H150">
        <v>12</v>
      </c>
      <c r="I150">
        <v>21</v>
      </c>
      <c r="J150" t="s">
        <v>1710</v>
      </c>
      <c r="K150">
        <v>16</v>
      </c>
      <c r="L150" t="s">
        <v>1671</v>
      </c>
      <c r="M150">
        <v>17</v>
      </c>
      <c r="N150" t="s">
        <v>1670</v>
      </c>
    </row>
    <row r="151" spans="1:14" ht="14.5" x14ac:dyDescent="0.35">
      <c r="A151" t="s">
        <v>1831</v>
      </c>
      <c r="B151">
        <v>2030</v>
      </c>
      <c r="C151" t="s">
        <v>27</v>
      </c>
      <c r="D151" t="s">
        <v>28</v>
      </c>
      <c r="E151">
        <v>27</v>
      </c>
      <c r="F151">
        <v>36</v>
      </c>
      <c r="G151">
        <v>47</v>
      </c>
      <c r="H151">
        <v>9</v>
      </c>
      <c r="I151">
        <v>20</v>
      </c>
      <c r="J151" t="s">
        <v>1673</v>
      </c>
      <c r="K151">
        <v>13</v>
      </c>
      <c r="L151" t="s">
        <v>1678</v>
      </c>
      <c r="M151">
        <v>9.1</v>
      </c>
      <c r="N151" t="s">
        <v>1671</v>
      </c>
    </row>
    <row r="152" spans="1:14" ht="14.5" x14ac:dyDescent="0.35">
      <c r="A152" t="s">
        <v>1832</v>
      </c>
      <c r="B152">
        <v>2028</v>
      </c>
      <c r="C152" t="s">
        <v>45</v>
      </c>
      <c r="D152" t="s">
        <v>239</v>
      </c>
      <c r="E152">
        <v>77</v>
      </c>
      <c r="F152">
        <v>83</v>
      </c>
      <c r="G152">
        <v>91</v>
      </c>
      <c r="H152">
        <v>6</v>
      </c>
      <c r="I152">
        <v>14</v>
      </c>
      <c r="J152" t="s">
        <v>1715</v>
      </c>
      <c r="K152">
        <v>33</v>
      </c>
      <c r="L152" t="s">
        <v>1670</v>
      </c>
      <c r="M152">
        <v>13</v>
      </c>
      <c r="N152" t="s">
        <v>1670</v>
      </c>
    </row>
    <row r="153" spans="1:14" ht="14.5" x14ac:dyDescent="0.35">
      <c r="A153" t="s">
        <v>1833</v>
      </c>
      <c r="B153">
        <v>2027</v>
      </c>
      <c r="C153" t="s">
        <v>27</v>
      </c>
      <c r="D153" t="s">
        <v>76</v>
      </c>
      <c r="E153">
        <v>58</v>
      </c>
      <c r="F153">
        <v>72</v>
      </c>
      <c r="G153">
        <v>81</v>
      </c>
      <c r="H153">
        <v>14</v>
      </c>
      <c r="I153">
        <v>23</v>
      </c>
      <c r="J153" t="s">
        <v>1676</v>
      </c>
      <c r="K153">
        <v>41</v>
      </c>
      <c r="L153" t="s">
        <v>1670</v>
      </c>
      <c r="M153">
        <v>8.4</v>
      </c>
      <c r="N153" t="s">
        <v>1670</v>
      </c>
    </row>
    <row r="154" spans="1:14" ht="14.5" x14ac:dyDescent="0.35">
      <c r="A154" t="s">
        <v>1834</v>
      </c>
      <c r="B154">
        <v>2027</v>
      </c>
      <c r="C154" t="s">
        <v>159</v>
      </c>
      <c r="D154" t="s">
        <v>187</v>
      </c>
      <c r="E154">
        <v>29</v>
      </c>
      <c r="F154">
        <v>31</v>
      </c>
      <c r="G154">
        <v>39</v>
      </c>
      <c r="H154">
        <v>2</v>
      </c>
      <c r="I154">
        <v>10</v>
      </c>
      <c r="J154" t="s">
        <v>1718</v>
      </c>
      <c r="K154">
        <v>6</v>
      </c>
      <c r="L154" t="s">
        <v>1670</v>
      </c>
      <c r="M154">
        <v>17.600000000000001</v>
      </c>
      <c r="N154" t="s">
        <v>1678</v>
      </c>
    </row>
    <row r="155" spans="1:14" ht="14.5" x14ac:dyDescent="0.35">
      <c r="A155" t="s">
        <v>1835</v>
      </c>
      <c r="B155">
        <v>2029</v>
      </c>
      <c r="C155" t="s">
        <v>159</v>
      </c>
      <c r="D155" t="s">
        <v>482</v>
      </c>
      <c r="E155">
        <v>79</v>
      </c>
      <c r="F155">
        <v>86</v>
      </c>
      <c r="G155">
        <v>92</v>
      </c>
      <c r="H155">
        <v>7</v>
      </c>
      <c r="I155">
        <v>13</v>
      </c>
      <c r="J155" t="s">
        <v>1673</v>
      </c>
      <c r="K155">
        <v>44</v>
      </c>
      <c r="L155" t="s">
        <v>1678</v>
      </c>
      <c r="M155">
        <v>17.899999999999999</v>
      </c>
      <c r="N155" t="s">
        <v>1678</v>
      </c>
    </row>
    <row r="156" spans="1:14" ht="14.5" x14ac:dyDescent="0.35">
      <c r="A156" t="s">
        <v>1836</v>
      </c>
      <c r="B156">
        <v>2026</v>
      </c>
      <c r="C156" t="s">
        <v>21</v>
      </c>
      <c r="D156" t="s">
        <v>22</v>
      </c>
      <c r="E156">
        <v>24</v>
      </c>
      <c r="F156">
        <v>29</v>
      </c>
      <c r="G156">
        <v>47</v>
      </c>
      <c r="H156">
        <v>5</v>
      </c>
      <c r="I156">
        <v>23</v>
      </c>
      <c r="J156" t="s">
        <v>1680</v>
      </c>
      <c r="K156">
        <v>24</v>
      </c>
      <c r="L156" t="s">
        <v>1678</v>
      </c>
      <c r="M156">
        <v>5</v>
      </c>
      <c r="N156" t="s">
        <v>1678</v>
      </c>
    </row>
    <row r="157" spans="1:14" ht="14.5" x14ac:dyDescent="0.35">
      <c r="A157" t="s">
        <v>1837</v>
      </c>
      <c r="B157">
        <v>2029</v>
      </c>
      <c r="C157" t="s">
        <v>52</v>
      </c>
      <c r="D157" t="s">
        <v>102</v>
      </c>
      <c r="E157">
        <v>43</v>
      </c>
      <c r="F157">
        <v>42</v>
      </c>
      <c r="G157">
        <v>45</v>
      </c>
      <c r="H157">
        <v>-1</v>
      </c>
      <c r="I157">
        <v>2</v>
      </c>
      <c r="J157" t="s">
        <v>1680</v>
      </c>
      <c r="K157">
        <v>33</v>
      </c>
      <c r="L157" t="s">
        <v>1678</v>
      </c>
      <c r="M157">
        <v>12.5</v>
      </c>
      <c r="N157" t="s">
        <v>1678</v>
      </c>
    </row>
    <row r="158" spans="1:14" ht="14.5" x14ac:dyDescent="0.35">
      <c r="A158" t="s">
        <v>1838</v>
      </c>
      <c r="B158">
        <v>2030</v>
      </c>
      <c r="C158" t="s">
        <v>45</v>
      </c>
      <c r="D158" t="s">
        <v>234</v>
      </c>
      <c r="E158">
        <v>70</v>
      </c>
      <c r="F158">
        <v>74</v>
      </c>
      <c r="G158">
        <v>78</v>
      </c>
      <c r="H158">
        <v>4</v>
      </c>
      <c r="I158">
        <v>8</v>
      </c>
      <c r="J158" t="s">
        <v>1710</v>
      </c>
      <c r="K158">
        <v>23</v>
      </c>
      <c r="L158" t="s">
        <v>1670</v>
      </c>
      <c r="M158">
        <v>4.7</v>
      </c>
      <c r="N158" t="s">
        <v>1674</v>
      </c>
    </row>
    <row r="159" spans="1:14" ht="14.5" x14ac:dyDescent="0.35">
      <c r="A159" t="s">
        <v>1839</v>
      </c>
      <c r="B159">
        <v>2026</v>
      </c>
      <c r="C159" t="s">
        <v>108</v>
      </c>
      <c r="D159" t="s">
        <v>114</v>
      </c>
      <c r="E159">
        <v>27</v>
      </c>
      <c r="F159">
        <v>34</v>
      </c>
      <c r="G159">
        <v>53</v>
      </c>
      <c r="H159">
        <v>7</v>
      </c>
      <c r="I159">
        <v>26</v>
      </c>
      <c r="J159" t="s">
        <v>1669</v>
      </c>
      <c r="K159">
        <v>9</v>
      </c>
      <c r="L159" t="s">
        <v>1678</v>
      </c>
      <c r="M159">
        <v>15.9</v>
      </c>
      <c r="N159" t="s">
        <v>1671</v>
      </c>
    </row>
    <row r="160" spans="1:14" ht="14.5" x14ac:dyDescent="0.35">
      <c r="A160" t="s">
        <v>1840</v>
      </c>
      <c r="B160">
        <v>2027</v>
      </c>
      <c r="C160" t="s">
        <v>36</v>
      </c>
      <c r="D160" t="s">
        <v>84</v>
      </c>
      <c r="E160">
        <v>76</v>
      </c>
      <c r="F160">
        <v>88</v>
      </c>
      <c r="G160">
        <v>102</v>
      </c>
      <c r="H160">
        <v>12</v>
      </c>
      <c r="I160">
        <v>26</v>
      </c>
      <c r="J160" t="s">
        <v>1688</v>
      </c>
      <c r="K160">
        <v>31</v>
      </c>
      <c r="L160" t="s">
        <v>1671</v>
      </c>
      <c r="M160">
        <v>7.1</v>
      </c>
      <c r="N160" t="s">
        <v>1674</v>
      </c>
    </row>
    <row r="161" spans="1:14" ht="14.5" x14ac:dyDescent="0.35">
      <c r="A161" t="s">
        <v>1841</v>
      </c>
      <c r="B161">
        <v>2029</v>
      </c>
      <c r="C161" t="s">
        <v>108</v>
      </c>
      <c r="D161" t="s">
        <v>109</v>
      </c>
      <c r="E161">
        <v>5</v>
      </c>
      <c r="F161">
        <v>17</v>
      </c>
      <c r="G161">
        <v>21</v>
      </c>
      <c r="H161">
        <v>12</v>
      </c>
      <c r="I161">
        <v>16</v>
      </c>
      <c r="J161" t="s">
        <v>1693</v>
      </c>
      <c r="K161">
        <v>12</v>
      </c>
      <c r="L161" t="s">
        <v>1670</v>
      </c>
      <c r="M161">
        <v>4.0999999999999996</v>
      </c>
      <c r="N161" t="s">
        <v>1671</v>
      </c>
    </row>
    <row r="162" spans="1:14" ht="14.5" x14ac:dyDescent="0.35">
      <c r="A162" t="s">
        <v>1842</v>
      </c>
      <c r="B162">
        <v>2029</v>
      </c>
      <c r="C162" t="s">
        <v>108</v>
      </c>
      <c r="D162" t="s">
        <v>114</v>
      </c>
      <c r="E162">
        <v>12</v>
      </c>
      <c r="F162">
        <v>22</v>
      </c>
      <c r="G162">
        <v>38</v>
      </c>
      <c r="H162">
        <v>10</v>
      </c>
      <c r="I162">
        <v>26</v>
      </c>
      <c r="J162" t="s">
        <v>1680</v>
      </c>
      <c r="K162">
        <v>21</v>
      </c>
      <c r="L162" t="s">
        <v>1670</v>
      </c>
      <c r="M162">
        <v>11</v>
      </c>
      <c r="N162" t="s">
        <v>1671</v>
      </c>
    </row>
    <row r="163" spans="1:14" ht="14.5" x14ac:dyDescent="0.35">
      <c r="A163" t="s">
        <v>1843</v>
      </c>
      <c r="B163">
        <v>2030</v>
      </c>
      <c r="C163" t="s">
        <v>36</v>
      </c>
      <c r="D163" t="s">
        <v>253</v>
      </c>
      <c r="E163">
        <v>61</v>
      </c>
      <c r="F163">
        <v>71</v>
      </c>
      <c r="G163">
        <v>77</v>
      </c>
      <c r="H163">
        <v>10</v>
      </c>
      <c r="I163">
        <v>16</v>
      </c>
      <c r="J163" t="s">
        <v>1676</v>
      </c>
      <c r="K163">
        <v>28</v>
      </c>
      <c r="L163" t="s">
        <v>1670</v>
      </c>
      <c r="M163">
        <v>4.5</v>
      </c>
      <c r="N163" t="s">
        <v>1678</v>
      </c>
    </row>
    <row r="164" spans="1:14" ht="14.5" x14ac:dyDescent="0.35">
      <c r="A164" t="s">
        <v>1844</v>
      </c>
      <c r="B164">
        <v>2029</v>
      </c>
      <c r="C164" t="s">
        <v>69</v>
      </c>
      <c r="D164" t="s">
        <v>150</v>
      </c>
      <c r="E164">
        <v>41</v>
      </c>
      <c r="F164">
        <v>44</v>
      </c>
      <c r="G164">
        <v>54</v>
      </c>
      <c r="H164">
        <v>3</v>
      </c>
      <c r="I164">
        <v>13</v>
      </c>
      <c r="J164" t="s">
        <v>1676</v>
      </c>
      <c r="K164">
        <v>40</v>
      </c>
      <c r="L164" t="s">
        <v>1671</v>
      </c>
      <c r="M164">
        <v>7.8</v>
      </c>
      <c r="N164" t="s">
        <v>1670</v>
      </c>
    </row>
    <row r="165" spans="1:14" ht="14.5" x14ac:dyDescent="0.35">
      <c r="A165" t="s">
        <v>1845</v>
      </c>
      <c r="B165">
        <v>2026</v>
      </c>
      <c r="C165" t="s">
        <v>36</v>
      </c>
      <c r="D165" t="s">
        <v>93</v>
      </c>
      <c r="E165">
        <v>20</v>
      </c>
      <c r="F165">
        <v>24</v>
      </c>
      <c r="G165">
        <v>29</v>
      </c>
      <c r="H165">
        <v>4</v>
      </c>
      <c r="I165">
        <v>9</v>
      </c>
      <c r="J165" t="s">
        <v>1710</v>
      </c>
      <c r="K165">
        <v>39</v>
      </c>
      <c r="L165" t="s">
        <v>1671</v>
      </c>
      <c r="M165">
        <v>4.2</v>
      </c>
      <c r="N165" t="s">
        <v>1674</v>
      </c>
    </row>
    <row r="166" spans="1:14" ht="14.5" x14ac:dyDescent="0.35">
      <c r="A166" t="s">
        <v>1846</v>
      </c>
      <c r="B166">
        <v>2026</v>
      </c>
      <c r="C166" t="s">
        <v>27</v>
      </c>
      <c r="D166" t="s">
        <v>87</v>
      </c>
      <c r="E166">
        <v>33</v>
      </c>
      <c r="F166">
        <v>38</v>
      </c>
      <c r="G166">
        <v>42</v>
      </c>
      <c r="H166">
        <v>5</v>
      </c>
      <c r="I166">
        <v>9</v>
      </c>
      <c r="J166" t="s">
        <v>1680</v>
      </c>
      <c r="K166">
        <v>44</v>
      </c>
      <c r="L166" t="s">
        <v>1671</v>
      </c>
      <c r="M166">
        <v>3.1</v>
      </c>
      <c r="N166" t="s">
        <v>1670</v>
      </c>
    </row>
    <row r="167" spans="1:14" ht="14.5" x14ac:dyDescent="0.35">
      <c r="A167" t="s">
        <v>1847</v>
      </c>
      <c r="B167">
        <v>2028</v>
      </c>
      <c r="C167" t="s">
        <v>56</v>
      </c>
      <c r="D167" t="s">
        <v>217</v>
      </c>
      <c r="E167">
        <v>43</v>
      </c>
      <c r="F167">
        <v>42</v>
      </c>
      <c r="G167">
        <v>57</v>
      </c>
      <c r="H167">
        <v>-1</v>
      </c>
      <c r="I167">
        <v>14</v>
      </c>
      <c r="J167" t="s">
        <v>1693</v>
      </c>
      <c r="K167">
        <v>13</v>
      </c>
      <c r="L167" t="s">
        <v>1670</v>
      </c>
      <c r="M167">
        <v>14.4</v>
      </c>
      <c r="N167" t="s">
        <v>1678</v>
      </c>
    </row>
    <row r="168" spans="1:14" ht="14.5" x14ac:dyDescent="0.35">
      <c r="A168" t="s">
        <v>1848</v>
      </c>
      <c r="B168">
        <v>2026</v>
      </c>
      <c r="C168" t="s">
        <v>27</v>
      </c>
      <c r="D168" t="s">
        <v>76</v>
      </c>
      <c r="E168">
        <v>66</v>
      </c>
      <c r="F168">
        <v>67</v>
      </c>
      <c r="G168">
        <v>82</v>
      </c>
      <c r="H168">
        <v>1</v>
      </c>
      <c r="I168">
        <v>16</v>
      </c>
      <c r="J168" t="s">
        <v>1693</v>
      </c>
      <c r="K168">
        <v>43</v>
      </c>
      <c r="L168" t="s">
        <v>1671</v>
      </c>
      <c r="M168">
        <v>11.4</v>
      </c>
      <c r="N168" t="s">
        <v>1670</v>
      </c>
    </row>
    <row r="169" spans="1:14" ht="14.5" x14ac:dyDescent="0.35">
      <c r="A169" t="s">
        <v>1849</v>
      </c>
      <c r="B169">
        <v>2027</v>
      </c>
      <c r="C169" t="s">
        <v>159</v>
      </c>
      <c r="D169" t="s">
        <v>324</v>
      </c>
      <c r="E169">
        <v>62</v>
      </c>
      <c r="F169">
        <v>63</v>
      </c>
      <c r="G169">
        <v>65</v>
      </c>
      <c r="H169">
        <v>1</v>
      </c>
      <c r="I169">
        <v>3</v>
      </c>
      <c r="J169" t="s">
        <v>1676</v>
      </c>
      <c r="K169">
        <v>27</v>
      </c>
      <c r="L169" t="s">
        <v>1671</v>
      </c>
      <c r="M169">
        <v>13.5</v>
      </c>
      <c r="N169" t="s">
        <v>1674</v>
      </c>
    </row>
    <row r="170" spans="1:14" ht="14.5" x14ac:dyDescent="0.35">
      <c r="A170" t="s">
        <v>1850</v>
      </c>
      <c r="B170">
        <v>2028</v>
      </c>
      <c r="C170" t="s">
        <v>69</v>
      </c>
      <c r="D170" t="s">
        <v>70</v>
      </c>
      <c r="E170">
        <v>15</v>
      </c>
      <c r="F170">
        <v>20</v>
      </c>
      <c r="G170">
        <v>25</v>
      </c>
      <c r="H170">
        <v>5</v>
      </c>
      <c r="I170">
        <v>10</v>
      </c>
      <c r="J170" t="s">
        <v>1715</v>
      </c>
      <c r="K170">
        <v>7</v>
      </c>
      <c r="L170" t="s">
        <v>1671</v>
      </c>
      <c r="M170">
        <v>15.6</v>
      </c>
      <c r="N170" t="s">
        <v>1671</v>
      </c>
    </row>
    <row r="171" spans="1:14" ht="14.5" x14ac:dyDescent="0.35">
      <c r="A171" t="s">
        <v>1851</v>
      </c>
      <c r="B171">
        <v>2026</v>
      </c>
      <c r="C171" t="s">
        <v>159</v>
      </c>
      <c r="D171" t="s">
        <v>482</v>
      </c>
      <c r="E171">
        <v>54</v>
      </c>
      <c r="F171">
        <v>57</v>
      </c>
      <c r="G171">
        <v>77</v>
      </c>
      <c r="H171">
        <v>3</v>
      </c>
      <c r="I171">
        <v>23</v>
      </c>
      <c r="J171" t="s">
        <v>1688</v>
      </c>
      <c r="K171">
        <v>37</v>
      </c>
      <c r="L171" t="s">
        <v>1671</v>
      </c>
      <c r="M171">
        <v>11.4</v>
      </c>
      <c r="N171" t="s">
        <v>1678</v>
      </c>
    </row>
    <row r="172" spans="1:14" ht="14.5" x14ac:dyDescent="0.35">
      <c r="A172" t="s">
        <v>1852</v>
      </c>
      <c r="B172">
        <v>2029</v>
      </c>
      <c r="C172" t="s">
        <v>21</v>
      </c>
      <c r="D172" t="s">
        <v>22</v>
      </c>
      <c r="E172">
        <v>32</v>
      </c>
      <c r="F172">
        <v>30</v>
      </c>
      <c r="G172">
        <v>45</v>
      </c>
      <c r="H172">
        <v>-2</v>
      </c>
      <c r="I172">
        <v>13</v>
      </c>
      <c r="J172" t="s">
        <v>1669</v>
      </c>
      <c r="K172">
        <v>19</v>
      </c>
      <c r="L172" t="s">
        <v>1670</v>
      </c>
      <c r="M172">
        <v>15</v>
      </c>
      <c r="N172" t="s">
        <v>1674</v>
      </c>
    </row>
    <row r="173" spans="1:14" ht="14.5" x14ac:dyDescent="0.35">
      <c r="A173" t="s">
        <v>1853</v>
      </c>
      <c r="B173">
        <v>2030</v>
      </c>
      <c r="C173" t="s">
        <v>108</v>
      </c>
      <c r="D173" t="s">
        <v>114</v>
      </c>
      <c r="E173">
        <v>79</v>
      </c>
      <c r="F173">
        <v>91</v>
      </c>
      <c r="G173">
        <v>109</v>
      </c>
      <c r="H173">
        <v>12</v>
      </c>
      <c r="I173">
        <v>30</v>
      </c>
      <c r="J173" t="s">
        <v>1676</v>
      </c>
      <c r="K173">
        <v>32</v>
      </c>
      <c r="L173" t="s">
        <v>1678</v>
      </c>
      <c r="M173">
        <v>4</v>
      </c>
      <c r="N173" t="s">
        <v>1671</v>
      </c>
    </row>
    <row r="174" spans="1:14" ht="14.5" x14ac:dyDescent="0.35">
      <c r="A174" t="s">
        <v>1854</v>
      </c>
      <c r="B174">
        <v>2029</v>
      </c>
      <c r="C174" t="s">
        <v>56</v>
      </c>
      <c r="D174" t="s">
        <v>217</v>
      </c>
      <c r="E174">
        <v>67</v>
      </c>
      <c r="F174">
        <v>68</v>
      </c>
      <c r="G174">
        <v>76</v>
      </c>
      <c r="H174">
        <v>1</v>
      </c>
      <c r="I174">
        <v>9</v>
      </c>
      <c r="J174" t="s">
        <v>1693</v>
      </c>
      <c r="K174">
        <v>9</v>
      </c>
      <c r="L174" t="s">
        <v>1670</v>
      </c>
      <c r="M174">
        <v>9.1</v>
      </c>
      <c r="N174" t="s">
        <v>1670</v>
      </c>
    </row>
    <row r="175" spans="1:14" ht="14.5" x14ac:dyDescent="0.35">
      <c r="A175" t="s">
        <v>1855</v>
      </c>
      <c r="B175">
        <v>2027</v>
      </c>
      <c r="C175" t="s">
        <v>45</v>
      </c>
      <c r="D175" t="s">
        <v>239</v>
      </c>
      <c r="E175">
        <v>10</v>
      </c>
      <c r="F175">
        <v>9</v>
      </c>
      <c r="G175">
        <v>23</v>
      </c>
      <c r="H175">
        <v>-1</v>
      </c>
      <c r="I175">
        <v>13</v>
      </c>
      <c r="J175" t="s">
        <v>1673</v>
      </c>
      <c r="K175">
        <v>18</v>
      </c>
      <c r="L175" t="s">
        <v>1670</v>
      </c>
      <c r="M175">
        <v>9.8000000000000007</v>
      </c>
      <c r="N175" t="s">
        <v>1671</v>
      </c>
    </row>
    <row r="176" spans="1:14" ht="14.5" x14ac:dyDescent="0.35">
      <c r="A176" t="s">
        <v>1856</v>
      </c>
      <c r="B176">
        <v>2030</v>
      </c>
      <c r="C176" t="s">
        <v>21</v>
      </c>
      <c r="D176" t="s">
        <v>163</v>
      </c>
      <c r="E176">
        <v>20</v>
      </c>
      <c r="F176">
        <v>32</v>
      </c>
      <c r="G176">
        <v>52</v>
      </c>
      <c r="H176">
        <v>12</v>
      </c>
      <c r="I176">
        <v>32</v>
      </c>
      <c r="J176" t="s">
        <v>1669</v>
      </c>
      <c r="K176">
        <v>6</v>
      </c>
      <c r="L176" t="s">
        <v>1670</v>
      </c>
      <c r="M176">
        <v>9.9</v>
      </c>
      <c r="N176" t="s">
        <v>1678</v>
      </c>
    </row>
    <row r="177" spans="1:14" ht="14.5" x14ac:dyDescent="0.35">
      <c r="A177" t="s">
        <v>1857</v>
      </c>
      <c r="B177">
        <v>2027</v>
      </c>
      <c r="C177" t="s">
        <v>56</v>
      </c>
      <c r="D177" t="s">
        <v>217</v>
      </c>
      <c r="E177">
        <v>31</v>
      </c>
      <c r="F177">
        <v>37</v>
      </c>
      <c r="G177">
        <v>55</v>
      </c>
      <c r="H177">
        <v>6</v>
      </c>
      <c r="I177">
        <v>24</v>
      </c>
      <c r="J177" t="s">
        <v>1693</v>
      </c>
      <c r="K177">
        <v>44</v>
      </c>
      <c r="L177" t="s">
        <v>1671</v>
      </c>
      <c r="M177">
        <v>5.2</v>
      </c>
      <c r="N177" t="s">
        <v>1674</v>
      </c>
    </row>
    <row r="178" spans="1:14" ht="14.5" x14ac:dyDescent="0.35">
      <c r="A178" t="s">
        <v>1858</v>
      </c>
      <c r="B178">
        <v>2026</v>
      </c>
      <c r="C178" t="s">
        <v>27</v>
      </c>
      <c r="D178" t="s">
        <v>76</v>
      </c>
      <c r="E178">
        <v>16</v>
      </c>
      <c r="F178">
        <v>28</v>
      </c>
      <c r="G178">
        <v>44</v>
      </c>
      <c r="H178">
        <v>12</v>
      </c>
      <c r="I178">
        <v>28</v>
      </c>
      <c r="J178" t="s">
        <v>1710</v>
      </c>
      <c r="K178">
        <v>22</v>
      </c>
      <c r="L178" t="s">
        <v>1671</v>
      </c>
      <c r="M178">
        <v>11.1</v>
      </c>
      <c r="N178" t="s">
        <v>1678</v>
      </c>
    </row>
    <row r="179" spans="1:14" ht="14.5" x14ac:dyDescent="0.35">
      <c r="A179" t="s">
        <v>1859</v>
      </c>
      <c r="B179">
        <v>2030</v>
      </c>
      <c r="C179" t="s">
        <v>159</v>
      </c>
      <c r="D179" t="s">
        <v>160</v>
      </c>
      <c r="E179">
        <v>57</v>
      </c>
      <c r="F179">
        <v>58</v>
      </c>
      <c r="G179">
        <v>62</v>
      </c>
      <c r="H179">
        <v>1</v>
      </c>
      <c r="I179">
        <v>5</v>
      </c>
      <c r="J179" t="s">
        <v>1676</v>
      </c>
      <c r="K179">
        <v>29</v>
      </c>
      <c r="L179" t="s">
        <v>1670</v>
      </c>
      <c r="M179">
        <v>10</v>
      </c>
      <c r="N179" t="s">
        <v>1678</v>
      </c>
    </row>
    <row r="180" spans="1:14" ht="14.5" x14ac:dyDescent="0.35">
      <c r="A180" t="s">
        <v>1860</v>
      </c>
      <c r="B180">
        <v>2028</v>
      </c>
      <c r="C180" t="s">
        <v>36</v>
      </c>
      <c r="D180" t="s">
        <v>253</v>
      </c>
      <c r="E180">
        <v>69</v>
      </c>
      <c r="F180">
        <v>81</v>
      </c>
      <c r="G180">
        <v>96</v>
      </c>
      <c r="H180">
        <v>12</v>
      </c>
      <c r="I180">
        <v>27</v>
      </c>
      <c r="J180" t="s">
        <v>1693</v>
      </c>
      <c r="K180">
        <v>11</v>
      </c>
      <c r="L180" t="s">
        <v>1678</v>
      </c>
      <c r="M180">
        <v>15.9</v>
      </c>
      <c r="N180" t="s">
        <v>1671</v>
      </c>
    </row>
    <row r="181" spans="1:14" ht="14.5" x14ac:dyDescent="0.35">
      <c r="A181" t="s">
        <v>1861</v>
      </c>
      <c r="B181">
        <v>2027</v>
      </c>
      <c r="C181" t="s">
        <v>108</v>
      </c>
      <c r="D181" t="s">
        <v>114</v>
      </c>
      <c r="E181">
        <v>23</v>
      </c>
      <c r="F181">
        <v>32</v>
      </c>
      <c r="G181">
        <v>51</v>
      </c>
      <c r="H181">
        <v>9</v>
      </c>
      <c r="I181">
        <v>28</v>
      </c>
      <c r="J181" t="s">
        <v>1718</v>
      </c>
      <c r="K181">
        <v>37</v>
      </c>
      <c r="L181" t="s">
        <v>1678</v>
      </c>
      <c r="M181">
        <v>17.8</v>
      </c>
      <c r="N181" t="s">
        <v>1678</v>
      </c>
    </row>
    <row r="182" spans="1:14" ht="14.5" x14ac:dyDescent="0.35">
      <c r="A182" t="s">
        <v>1862</v>
      </c>
      <c r="B182">
        <v>2029</v>
      </c>
      <c r="C182" t="s">
        <v>45</v>
      </c>
      <c r="D182" t="s">
        <v>239</v>
      </c>
      <c r="E182">
        <v>79</v>
      </c>
      <c r="F182">
        <v>83</v>
      </c>
      <c r="G182">
        <v>96</v>
      </c>
      <c r="H182">
        <v>4</v>
      </c>
      <c r="I182">
        <v>17</v>
      </c>
      <c r="J182" t="s">
        <v>1680</v>
      </c>
      <c r="K182">
        <v>37</v>
      </c>
      <c r="L182" t="s">
        <v>1670</v>
      </c>
      <c r="M182">
        <v>4.8</v>
      </c>
      <c r="N182" t="s">
        <v>1678</v>
      </c>
    </row>
    <row r="183" spans="1:14" ht="14.5" x14ac:dyDescent="0.35">
      <c r="A183" t="s">
        <v>1863</v>
      </c>
      <c r="B183">
        <v>2026</v>
      </c>
      <c r="C183" t="s">
        <v>21</v>
      </c>
      <c r="D183" t="s">
        <v>133</v>
      </c>
      <c r="E183">
        <v>55</v>
      </c>
      <c r="F183">
        <v>55</v>
      </c>
      <c r="G183">
        <v>55</v>
      </c>
      <c r="H183">
        <v>0</v>
      </c>
      <c r="I183">
        <v>0</v>
      </c>
      <c r="J183" t="s">
        <v>1685</v>
      </c>
      <c r="K183">
        <v>42</v>
      </c>
      <c r="L183" t="s">
        <v>1678</v>
      </c>
      <c r="M183">
        <v>13.7</v>
      </c>
      <c r="N183" t="s">
        <v>1674</v>
      </c>
    </row>
    <row r="184" spans="1:14" ht="14.5" x14ac:dyDescent="0.35">
      <c r="A184" t="s">
        <v>1864</v>
      </c>
      <c r="B184">
        <v>2030</v>
      </c>
      <c r="C184" t="s">
        <v>108</v>
      </c>
      <c r="D184" t="s">
        <v>126</v>
      </c>
      <c r="E184">
        <v>53</v>
      </c>
      <c r="F184">
        <v>62</v>
      </c>
      <c r="G184">
        <v>68</v>
      </c>
      <c r="H184">
        <v>9</v>
      </c>
      <c r="I184">
        <v>15</v>
      </c>
      <c r="J184" t="s">
        <v>1693</v>
      </c>
      <c r="K184">
        <v>43</v>
      </c>
      <c r="L184" t="s">
        <v>1678</v>
      </c>
      <c r="M184">
        <v>6.2</v>
      </c>
      <c r="N184" t="s">
        <v>1674</v>
      </c>
    </row>
    <row r="185" spans="1:14" ht="14.5" x14ac:dyDescent="0.35">
      <c r="A185" t="s">
        <v>1865</v>
      </c>
      <c r="B185">
        <v>2027</v>
      </c>
      <c r="C185" t="s">
        <v>56</v>
      </c>
      <c r="D185" t="s">
        <v>217</v>
      </c>
      <c r="E185">
        <v>34</v>
      </c>
      <c r="F185">
        <v>37</v>
      </c>
      <c r="G185">
        <v>50</v>
      </c>
      <c r="H185">
        <v>3</v>
      </c>
      <c r="I185">
        <v>16</v>
      </c>
      <c r="J185" t="s">
        <v>1669</v>
      </c>
      <c r="K185">
        <v>24</v>
      </c>
      <c r="L185" t="s">
        <v>1678</v>
      </c>
      <c r="M185">
        <v>9.1999999999999993</v>
      </c>
      <c r="N185" t="s">
        <v>1674</v>
      </c>
    </row>
    <row r="186" spans="1:14" ht="14.5" x14ac:dyDescent="0.35">
      <c r="A186" t="s">
        <v>1866</v>
      </c>
      <c r="B186">
        <v>2027</v>
      </c>
      <c r="C186" t="s">
        <v>108</v>
      </c>
      <c r="D186" t="s">
        <v>109</v>
      </c>
      <c r="E186">
        <v>8</v>
      </c>
      <c r="F186">
        <v>8</v>
      </c>
      <c r="G186">
        <v>16</v>
      </c>
      <c r="H186">
        <v>0</v>
      </c>
      <c r="I186">
        <v>8</v>
      </c>
      <c r="J186" t="s">
        <v>1710</v>
      </c>
      <c r="K186">
        <v>13</v>
      </c>
      <c r="L186" t="s">
        <v>1678</v>
      </c>
      <c r="M186">
        <v>5.0999999999999996</v>
      </c>
      <c r="N186" t="s">
        <v>1670</v>
      </c>
    </row>
    <row r="187" spans="1:14" ht="14.5" x14ac:dyDescent="0.35">
      <c r="A187" t="s">
        <v>1867</v>
      </c>
      <c r="B187">
        <v>2027</v>
      </c>
      <c r="C187" t="s">
        <v>69</v>
      </c>
      <c r="D187" t="s">
        <v>150</v>
      </c>
      <c r="E187">
        <v>9</v>
      </c>
      <c r="F187">
        <v>21</v>
      </c>
      <c r="G187">
        <v>23</v>
      </c>
      <c r="H187">
        <v>12</v>
      </c>
      <c r="I187">
        <v>14</v>
      </c>
      <c r="J187" t="s">
        <v>1676</v>
      </c>
      <c r="K187">
        <v>30</v>
      </c>
      <c r="L187" t="s">
        <v>1671</v>
      </c>
      <c r="M187">
        <v>9.5</v>
      </c>
      <c r="N187" t="s">
        <v>1674</v>
      </c>
    </row>
    <row r="188" spans="1:14" ht="14.5" x14ac:dyDescent="0.35">
      <c r="A188" t="s">
        <v>1868</v>
      </c>
      <c r="B188">
        <v>2029</v>
      </c>
      <c r="C188" t="s">
        <v>27</v>
      </c>
      <c r="D188" t="s">
        <v>73</v>
      </c>
      <c r="E188">
        <v>71</v>
      </c>
      <c r="F188">
        <v>82</v>
      </c>
      <c r="G188">
        <v>82</v>
      </c>
      <c r="H188">
        <v>11</v>
      </c>
      <c r="I188">
        <v>11</v>
      </c>
      <c r="J188" t="s">
        <v>1680</v>
      </c>
      <c r="K188">
        <v>25</v>
      </c>
      <c r="L188" t="s">
        <v>1670</v>
      </c>
      <c r="M188">
        <v>6.4</v>
      </c>
      <c r="N188" t="s">
        <v>1678</v>
      </c>
    </row>
    <row r="189" spans="1:14" ht="14.5" x14ac:dyDescent="0.35">
      <c r="A189" t="s">
        <v>1869</v>
      </c>
      <c r="B189">
        <v>2029</v>
      </c>
      <c r="C189" t="s">
        <v>56</v>
      </c>
      <c r="D189" t="s">
        <v>217</v>
      </c>
      <c r="E189">
        <v>55</v>
      </c>
      <c r="F189">
        <v>54</v>
      </c>
      <c r="G189">
        <v>58</v>
      </c>
      <c r="H189">
        <v>-1</v>
      </c>
      <c r="I189">
        <v>3</v>
      </c>
      <c r="J189" t="s">
        <v>1685</v>
      </c>
      <c r="K189">
        <v>44</v>
      </c>
      <c r="L189" t="s">
        <v>1678</v>
      </c>
      <c r="M189">
        <v>7.6</v>
      </c>
      <c r="N189" t="s">
        <v>1678</v>
      </c>
    </row>
    <row r="190" spans="1:14" ht="14.5" x14ac:dyDescent="0.35">
      <c r="A190" t="s">
        <v>1870</v>
      </c>
      <c r="B190">
        <v>2026</v>
      </c>
      <c r="C190" t="s">
        <v>69</v>
      </c>
      <c r="D190" t="s">
        <v>150</v>
      </c>
      <c r="E190">
        <v>57</v>
      </c>
      <c r="F190">
        <v>55</v>
      </c>
      <c r="G190">
        <v>74</v>
      </c>
      <c r="H190">
        <v>-2</v>
      </c>
      <c r="I190">
        <v>17</v>
      </c>
      <c r="J190" t="s">
        <v>1673</v>
      </c>
      <c r="K190">
        <v>42</v>
      </c>
      <c r="L190" t="s">
        <v>1678</v>
      </c>
      <c r="M190">
        <v>6.9</v>
      </c>
      <c r="N190" t="s">
        <v>1678</v>
      </c>
    </row>
    <row r="191" spans="1:14" ht="14.5" x14ac:dyDescent="0.35">
      <c r="A191" t="s">
        <v>1871</v>
      </c>
      <c r="B191">
        <v>2030</v>
      </c>
      <c r="C191" t="s">
        <v>56</v>
      </c>
      <c r="D191" t="s">
        <v>79</v>
      </c>
      <c r="E191">
        <v>12</v>
      </c>
      <c r="F191">
        <v>23</v>
      </c>
      <c r="G191">
        <v>43</v>
      </c>
      <c r="H191">
        <v>11</v>
      </c>
      <c r="I191">
        <v>31</v>
      </c>
      <c r="J191" t="s">
        <v>1710</v>
      </c>
      <c r="K191">
        <v>26</v>
      </c>
      <c r="L191" t="s">
        <v>1678</v>
      </c>
      <c r="M191">
        <v>3</v>
      </c>
      <c r="N191" t="s">
        <v>1671</v>
      </c>
    </row>
    <row r="192" spans="1:14" ht="14.5" x14ac:dyDescent="0.35">
      <c r="A192" t="s">
        <v>1872</v>
      </c>
      <c r="B192">
        <v>2029</v>
      </c>
      <c r="C192" t="s">
        <v>56</v>
      </c>
      <c r="D192" t="s">
        <v>112</v>
      </c>
      <c r="E192">
        <v>23</v>
      </c>
      <c r="F192">
        <v>34</v>
      </c>
      <c r="G192">
        <v>39</v>
      </c>
      <c r="H192">
        <v>11</v>
      </c>
      <c r="I192">
        <v>16</v>
      </c>
      <c r="J192" t="s">
        <v>1710</v>
      </c>
      <c r="K192">
        <v>19</v>
      </c>
      <c r="L192" t="s">
        <v>1670</v>
      </c>
      <c r="M192">
        <v>8</v>
      </c>
      <c r="N192" t="s">
        <v>1670</v>
      </c>
    </row>
    <row r="193" spans="1:14" ht="14.5" x14ac:dyDescent="0.35">
      <c r="A193" t="s">
        <v>1873</v>
      </c>
      <c r="B193">
        <v>2029</v>
      </c>
      <c r="C193" t="s">
        <v>69</v>
      </c>
      <c r="D193" t="s">
        <v>117</v>
      </c>
      <c r="E193">
        <v>28</v>
      </c>
      <c r="F193">
        <v>39</v>
      </c>
      <c r="G193">
        <v>39</v>
      </c>
      <c r="H193">
        <v>11</v>
      </c>
      <c r="I193">
        <v>11</v>
      </c>
      <c r="J193" t="s">
        <v>1693</v>
      </c>
      <c r="K193">
        <v>15</v>
      </c>
      <c r="L193" t="s">
        <v>1671</v>
      </c>
      <c r="M193">
        <v>16.5</v>
      </c>
      <c r="N193" t="s">
        <v>1671</v>
      </c>
    </row>
    <row r="194" spans="1:14" ht="14.5" x14ac:dyDescent="0.35">
      <c r="A194" t="s">
        <v>1874</v>
      </c>
      <c r="B194">
        <v>2028</v>
      </c>
      <c r="C194" t="s">
        <v>36</v>
      </c>
      <c r="D194" t="s">
        <v>37</v>
      </c>
      <c r="E194">
        <v>53</v>
      </c>
      <c r="F194">
        <v>67</v>
      </c>
      <c r="G194">
        <v>73</v>
      </c>
      <c r="H194">
        <v>14</v>
      </c>
      <c r="I194">
        <v>20</v>
      </c>
      <c r="J194" t="s">
        <v>1688</v>
      </c>
      <c r="K194">
        <v>33</v>
      </c>
      <c r="L194" t="s">
        <v>1678</v>
      </c>
      <c r="M194">
        <v>17.8</v>
      </c>
      <c r="N194" t="s">
        <v>1670</v>
      </c>
    </row>
    <row r="195" spans="1:14" ht="14.5" x14ac:dyDescent="0.35">
      <c r="A195" t="s">
        <v>1875</v>
      </c>
      <c r="B195">
        <v>2029</v>
      </c>
      <c r="C195" t="s">
        <v>27</v>
      </c>
      <c r="D195" t="s">
        <v>76</v>
      </c>
      <c r="E195">
        <v>11</v>
      </c>
      <c r="F195">
        <v>13</v>
      </c>
      <c r="G195">
        <v>19</v>
      </c>
      <c r="H195">
        <v>2</v>
      </c>
      <c r="I195">
        <v>8</v>
      </c>
      <c r="J195" t="s">
        <v>1673</v>
      </c>
      <c r="K195">
        <v>6</v>
      </c>
      <c r="L195" t="s">
        <v>1670</v>
      </c>
      <c r="M195">
        <v>14.2</v>
      </c>
      <c r="N195" t="s">
        <v>1674</v>
      </c>
    </row>
    <row r="196" spans="1:14" ht="14.5" x14ac:dyDescent="0.35">
      <c r="A196" t="s">
        <v>1876</v>
      </c>
      <c r="B196">
        <v>2026</v>
      </c>
      <c r="C196" t="s">
        <v>36</v>
      </c>
      <c r="D196" t="s">
        <v>37</v>
      </c>
      <c r="E196">
        <v>7</v>
      </c>
      <c r="F196">
        <v>18</v>
      </c>
      <c r="G196">
        <v>32</v>
      </c>
      <c r="H196">
        <v>11</v>
      </c>
      <c r="I196">
        <v>25</v>
      </c>
      <c r="J196" t="s">
        <v>1710</v>
      </c>
      <c r="K196">
        <v>24</v>
      </c>
      <c r="L196" t="s">
        <v>1678</v>
      </c>
      <c r="M196">
        <v>8.8000000000000007</v>
      </c>
      <c r="N196" t="s">
        <v>1670</v>
      </c>
    </row>
    <row r="197" spans="1:14" ht="14.5" x14ac:dyDescent="0.35">
      <c r="A197" t="s">
        <v>1877</v>
      </c>
      <c r="B197">
        <v>2026</v>
      </c>
      <c r="C197" t="s">
        <v>159</v>
      </c>
      <c r="D197" t="s">
        <v>269</v>
      </c>
      <c r="E197">
        <v>7</v>
      </c>
      <c r="F197">
        <v>22</v>
      </c>
      <c r="G197">
        <v>37</v>
      </c>
      <c r="H197">
        <v>15</v>
      </c>
      <c r="I197">
        <v>30</v>
      </c>
      <c r="J197" t="s">
        <v>1710</v>
      </c>
      <c r="K197">
        <v>22</v>
      </c>
      <c r="L197" t="s">
        <v>1678</v>
      </c>
      <c r="M197">
        <v>17.600000000000001</v>
      </c>
      <c r="N197" t="s">
        <v>1670</v>
      </c>
    </row>
    <row r="198" spans="1:14" ht="14.5" x14ac:dyDescent="0.35">
      <c r="A198" t="s">
        <v>1878</v>
      </c>
      <c r="B198">
        <v>2028</v>
      </c>
      <c r="C198" t="s">
        <v>52</v>
      </c>
      <c r="D198" t="s">
        <v>224</v>
      </c>
      <c r="E198">
        <v>47</v>
      </c>
      <c r="F198">
        <v>60</v>
      </c>
      <c r="G198">
        <v>73</v>
      </c>
      <c r="H198">
        <v>13</v>
      </c>
      <c r="I198">
        <v>26</v>
      </c>
      <c r="J198" t="s">
        <v>1688</v>
      </c>
      <c r="K198">
        <v>21</v>
      </c>
      <c r="L198" t="s">
        <v>1671</v>
      </c>
      <c r="M198">
        <v>12.4</v>
      </c>
      <c r="N198" t="s">
        <v>1671</v>
      </c>
    </row>
    <row r="199" spans="1:14" ht="14.5" x14ac:dyDescent="0.35">
      <c r="A199" t="s">
        <v>1879</v>
      </c>
      <c r="B199">
        <v>2028</v>
      </c>
      <c r="C199" t="s">
        <v>21</v>
      </c>
      <c r="D199" t="s">
        <v>163</v>
      </c>
      <c r="E199">
        <v>76</v>
      </c>
      <c r="F199">
        <v>77</v>
      </c>
      <c r="G199">
        <v>95</v>
      </c>
      <c r="H199">
        <v>1</v>
      </c>
      <c r="I199">
        <v>19</v>
      </c>
      <c r="J199" t="s">
        <v>1685</v>
      </c>
      <c r="K199">
        <v>30</v>
      </c>
      <c r="L199" t="s">
        <v>1671</v>
      </c>
      <c r="M199">
        <v>13.7</v>
      </c>
      <c r="N199" t="s">
        <v>1678</v>
      </c>
    </row>
    <row r="200" spans="1:14" ht="14.5" x14ac:dyDescent="0.35">
      <c r="A200" t="s">
        <v>1880</v>
      </c>
      <c r="B200">
        <v>2026</v>
      </c>
      <c r="C200" t="s">
        <v>36</v>
      </c>
      <c r="D200" t="s">
        <v>93</v>
      </c>
      <c r="E200">
        <v>56</v>
      </c>
      <c r="F200">
        <v>65</v>
      </c>
      <c r="G200">
        <v>74</v>
      </c>
      <c r="H200">
        <v>9</v>
      </c>
      <c r="I200">
        <v>18</v>
      </c>
      <c r="J200" t="s">
        <v>1688</v>
      </c>
      <c r="K200">
        <v>25</v>
      </c>
      <c r="L200" t="s">
        <v>1670</v>
      </c>
      <c r="M200">
        <v>13.7</v>
      </c>
      <c r="N200" t="s">
        <v>1674</v>
      </c>
    </row>
    <row r="201" spans="1:14" ht="14.5" x14ac:dyDescent="0.35">
      <c r="A201" t="s">
        <v>1881</v>
      </c>
      <c r="B201">
        <v>2028</v>
      </c>
      <c r="C201" t="s">
        <v>52</v>
      </c>
      <c r="D201" t="s">
        <v>176</v>
      </c>
      <c r="E201">
        <v>27</v>
      </c>
      <c r="F201">
        <v>29</v>
      </c>
      <c r="G201">
        <v>33</v>
      </c>
      <c r="H201">
        <v>2</v>
      </c>
      <c r="I201">
        <v>6</v>
      </c>
      <c r="J201" t="s">
        <v>1669</v>
      </c>
      <c r="K201">
        <v>32</v>
      </c>
      <c r="L201" t="s">
        <v>1671</v>
      </c>
      <c r="M201">
        <v>16.100000000000001</v>
      </c>
      <c r="N201" t="s">
        <v>1671</v>
      </c>
    </row>
    <row r="202" spans="1:14" ht="14.5" x14ac:dyDescent="0.35">
      <c r="A202" t="s">
        <v>1882</v>
      </c>
      <c r="B202">
        <v>2026</v>
      </c>
      <c r="C202" t="s">
        <v>56</v>
      </c>
      <c r="D202" t="s">
        <v>217</v>
      </c>
      <c r="E202">
        <v>22</v>
      </c>
      <c r="F202">
        <v>29</v>
      </c>
      <c r="G202">
        <v>36</v>
      </c>
      <c r="H202">
        <v>7</v>
      </c>
      <c r="I202">
        <v>14</v>
      </c>
      <c r="J202" t="s">
        <v>1676</v>
      </c>
      <c r="K202">
        <v>22</v>
      </c>
      <c r="L202" t="s">
        <v>1678</v>
      </c>
      <c r="M202">
        <v>17.899999999999999</v>
      </c>
      <c r="N202" t="s">
        <v>1678</v>
      </c>
    </row>
    <row r="203" spans="1:14" ht="14.5" x14ac:dyDescent="0.35">
      <c r="A203" t="s">
        <v>1883</v>
      </c>
      <c r="B203">
        <v>2028</v>
      </c>
      <c r="C203" t="s">
        <v>36</v>
      </c>
      <c r="D203" t="s">
        <v>62</v>
      </c>
      <c r="E203">
        <v>10</v>
      </c>
      <c r="F203">
        <v>25</v>
      </c>
      <c r="G203">
        <v>44</v>
      </c>
      <c r="H203">
        <v>15</v>
      </c>
      <c r="I203">
        <v>34</v>
      </c>
      <c r="J203" t="s">
        <v>1693</v>
      </c>
      <c r="K203">
        <v>29</v>
      </c>
      <c r="L203" t="s">
        <v>1671</v>
      </c>
      <c r="M203">
        <v>4.5999999999999996</v>
      </c>
      <c r="N203" t="s">
        <v>1674</v>
      </c>
    </row>
    <row r="204" spans="1:14" ht="14.5" x14ac:dyDescent="0.35">
      <c r="A204" t="s">
        <v>1884</v>
      </c>
      <c r="B204">
        <v>2029</v>
      </c>
      <c r="C204" t="s">
        <v>45</v>
      </c>
      <c r="D204" t="s">
        <v>234</v>
      </c>
      <c r="E204">
        <v>19</v>
      </c>
      <c r="F204">
        <v>19</v>
      </c>
      <c r="G204">
        <v>37</v>
      </c>
      <c r="H204">
        <v>0</v>
      </c>
      <c r="I204">
        <v>18</v>
      </c>
      <c r="J204" t="s">
        <v>1693</v>
      </c>
      <c r="K204">
        <v>19</v>
      </c>
      <c r="L204" t="s">
        <v>1671</v>
      </c>
      <c r="M204">
        <v>14.3</v>
      </c>
      <c r="N204" t="s">
        <v>1674</v>
      </c>
    </row>
    <row r="205" spans="1:14" ht="14.5" x14ac:dyDescent="0.35">
      <c r="A205" t="s">
        <v>1885</v>
      </c>
      <c r="B205">
        <v>2029</v>
      </c>
      <c r="C205" t="s">
        <v>36</v>
      </c>
      <c r="D205" t="s">
        <v>37</v>
      </c>
      <c r="E205">
        <v>26</v>
      </c>
      <c r="F205">
        <v>29</v>
      </c>
      <c r="G205">
        <v>45</v>
      </c>
      <c r="H205">
        <v>3</v>
      </c>
      <c r="I205">
        <v>19</v>
      </c>
      <c r="J205" t="s">
        <v>1676</v>
      </c>
      <c r="K205">
        <v>35</v>
      </c>
      <c r="L205" t="s">
        <v>1670</v>
      </c>
      <c r="M205">
        <v>13.2</v>
      </c>
      <c r="N205" t="s">
        <v>1670</v>
      </c>
    </row>
    <row r="206" spans="1:14" ht="14.5" x14ac:dyDescent="0.35">
      <c r="A206" t="s">
        <v>1886</v>
      </c>
      <c r="B206">
        <v>2028</v>
      </c>
      <c r="C206" t="s">
        <v>36</v>
      </c>
      <c r="D206" t="s">
        <v>84</v>
      </c>
      <c r="E206">
        <v>14</v>
      </c>
      <c r="F206">
        <v>29</v>
      </c>
      <c r="G206">
        <v>41</v>
      </c>
      <c r="H206">
        <v>15</v>
      </c>
      <c r="I206">
        <v>27</v>
      </c>
      <c r="J206" t="s">
        <v>1673</v>
      </c>
      <c r="K206">
        <v>41</v>
      </c>
      <c r="L206" t="s">
        <v>1670</v>
      </c>
      <c r="M206">
        <v>16.399999999999999</v>
      </c>
      <c r="N206" t="s">
        <v>1678</v>
      </c>
    </row>
    <row r="207" spans="1:14" ht="14.5" x14ac:dyDescent="0.35">
      <c r="A207" t="s">
        <v>1887</v>
      </c>
      <c r="B207">
        <v>2027</v>
      </c>
      <c r="C207" t="s">
        <v>36</v>
      </c>
      <c r="D207" t="s">
        <v>37</v>
      </c>
      <c r="E207">
        <v>74</v>
      </c>
      <c r="F207">
        <v>73</v>
      </c>
      <c r="G207">
        <v>89</v>
      </c>
      <c r="H207">
        <v>-1</v>
      </c>
      <c r="I207">
        <v>15</v>
      </c>
      <c r="J207" t="s">
        <v>1693</v>
      </c>
      <c r="K207">
        <v>31</v>
      </c>
      <c r="L207" t="s">
        <v>1678</v>
      </c>
      <c r="M207">
        <v>6.5</v>
      </c>
      <c r="N207" t="s">
        <v>1670</v>
      </c>
    </row>
    <row r="208" spans="1:14" ht="14.5" x14ac:dyDescent="0.35">
      <c r="A208" t="s">
        <v>1888</v>
      </c>
      <c r="B208">
        <v>2030</v>
      </c>
      <c r="C208" t="s">
        <v>108</v>
      </c>
      <c r="D208" t="s">
        <v>114</v>
      </c>
      <c r="E208">
        <v>41</v>
      </c>
      <c r="F208">
        <v>44</v>
      </c>
      <c r="G208">
        <v>58</v>
      </c>
      <c r="H208">
        <v>3</v>
      </c>
      <c r="I208">
        <v>17</v>
      </c>
      <c r="J208" t="s">
        <v>1718</v>
      </c>
      <c r="K208">
        <v>7</v>
      </c>
      <c r="L208" t="s">
        <v>1670</v>
      </c>
      <c r="M208">
        <v>11.9</v>
      </c>
      <c r="N208" t="s">
        <v>1671</v>
      </c>
    </row>
    <row r="209" spans="1:14" ht="14.5" x14ac:dyDescent="0.35">
      <c r="A209" t="s">
        <v>1889</v>
      </c>
      <c r="B209">
        <v>2027</v>
      </c>
      <c r="C209" t="s">
        <v>21</v>
      </c>
      <c r="D209" t="s">
        <v>133</v>
      </c>
      <c r="E209">
        <v>47</v>
      </c>
      <c r="F209">
        <v>55</v>
      </c>
      <c r="G209">
        <v>62</v>
      </c>
      <c r="H209">
        <v>8</v>
      </c>
      <c r="I209">
        <v>15</v>
      </c>
      <c r="J209" t="s">
        <v>1685</v>
      </c>
      <c r="K209">
        <v>26</v>
      </c>
      <c r="L209" t="s">
        <v>1678</v>
      </c>
      <c r="M209">
        <v>17.7</v>
      </c>
      <c r="N209" t="s">
        <v>1678</v>
      </c>
    </row>
    <row r="210" spans="1:14" ht="14.5" x14ac:dyDescent="0.35">
      <c r="A210" t="s">
        <v>1890</v>
      </c>
      <c r="B210">
        <v>2029</v>
      </c>
      <c r="C210" t="s">
        <v>159</v>
      </c>
      <c r="D210" t="s">
        <v>324</v>
      </c>
      <c r="E210">
        <v>58</v>
      </c>
      <c r="F210">
        <v>68</v>
      </c>
      <c r="G210">
        <v>73</v>
      </c>
      <c r="H210">
        <v>10</v>
      </c>
      <c r="I210">
        <v>15</v>
      </c>
      <c r="J210" t="s">
        <v>1693</v>
      </c>
      <c r="K210">
        <v>7</v>
      </c>
      <c r="L210" t="s">
        <v>1671</v>
      </c>
      <c r="M210">
        <v>8.9</v>
      </c>
      <c r="N210" t="s">
        <v>1678</v>
      </c>
    </row>
    <row r="211" spans="1:14" ht="14.5" x14ac:dyDescent="0.35">
      <c r="A211" t="s">
        <v>1891</v>
      </c>
      <c r="B211">
        <v>2028</v>
      </c>
      <c r="C211" t="s">
        <v>45</v>
      </c>
      <c r="D211" t="s">
        <v>296</v>
      </c>
      <c r="E211">
        <v>24</v>
      </c>
      <c r="F211">
        <v>38</v>
      </c>
      <c r="G211">
        <v>55</v>
      </c>
      <c r="H211">
        <v>14</v>
      </c>
      <c r="I211">
        <v>31</v>
      </c>
      <c r="J211" t="s">
        <v>1673</v>
      </c>
      <c r="K211">
        <v>26</v>
      </c>
      <c r="L211" t="s">
        <v>1670</v>
      </c>
      <c r="M211">
        <v>15.5</v>
      </c>
      <c r="N211" t="s">
        <v>1678</v>
      </c>
    </row>
    <row r="212" spans="1:14" ht="14.5" x14ac:dyDescent="0.35">
      <c r="A212" t="s">
        <v>1892</v>
      </c>
      <c r="B212">
        <v>2029</v>
      </c>
      <c r="C212" t="s">
        <v>159</v>
      </c>
      <c r="D212" t="s">
        <v>160</v>
      </c>
      <c r="E212">
        <v>16</v>
      </c>
      <c r="F212">
        <v>25</v>
      </c>
      <c r="G212">
        <v>26</v>
      </c>
      <c r="H212">
        <v>9</v>
      </c>
      <c r="I212">
        <v>10</v>
      </c>
      <c r="J212" t="s">
        <v>1673</v>
      </c>
      <c r="K212">
        <v>14</v>
      </c>
      <c r="L212" t="s">
        <v>1671</v>
      </c>
      <c r="M212">
        <v>8.5</v>
      </c>
      <c r="N212" t="s">
        <v>1670</v>
      </c>
    </row>
    <row r="213" spans="1:14" ht="14.5" x14ac:dyDescent="0.35">
      <c r="A213" t="s">
        <v>1893</v>
      </c>
      <c r="B213">
        <v>2026</v>
      </c>
      <c r="C213" t="s">
        <v>159</v>
      </c>
      <c r="D213" t="s">
        <v>324</v>
      </c>
      <c r="E213">
        <v>62</v>
      </c>
      <c r="F213">
        <v>62</v>
      </c>
      <c r="G213">
        <v>82</v>
      </c>
      <c r="H213">
        <v>0</v>
      </c>
      <c r="I213">
        <v>20</v>
      </c>
      <c r="J213" t="s">
        <v>1715</v>
      </c>
      <c r="K213">
        <v>22</v>
      </c>
      <c r="L213" t="s">
        <v>1671</v>
      </c>
      <c r="M213">
        <v>16.8</v>
      </c>
      <c r="N213" t="s">
        <v>1671</v>
      </c>
    </row>
    <row r="214" spans="1:14" ht="14.5" x14ac:dyDescent="0.35">
      <c r="A214" t="s">
        <v>1894</v>
      </c>
      <c r="B214">
        <v>2030</v>
      </c>
      <c r="C214" t="s">
        <v>27</v>
      </c>
      <c r="D214" t="s">
        <v>76</v>
      </c>
      <c r="E214">
        <v>57</v>
      </c>
      <c r="F214">
        <v>64</v>
      </c>
      <c r="G214">
        <v>77</v>
      </c>
      <c r="H214">
        <v>7</v>
      </c>
      <c r="I214">
        <v>20</v>
      </c>
      <c r="J214" t="s">
        <v>1715</v>
      </c>
      <c r="K214">
        <v>37</v>
      </c>
      <c r="L214" t="s">
        <v>1678</v>
      </c>
      <c r="M214">
        <v>3.4</v>
      </c>
      <c r="N214" t="s">
        <v>1670</v>
      </c>
    </row>
    <row r="215" spans="1:14" ht="14.5" x14ac:dyDescent="0.35">
      <c r="A215" t="s">
        <v>1895</v>
      </c>
      <c r="B215">
        <v>2026</v>
      </c>
      <c r="C215" t="s">
        <v>45</v>
      </c>
      <c r="D215" t="s">
        <v>46</v>
      </c>
      <c r="E215">
        <v>24</v>
      </c>
      <c r="F215">
        <v>34</v>
      </c>
      <c r="G215">
        <v>34</v>
      </c>
      <c r="H215">
        <v>10</v>
      </c>
      <c r="I215">
        <v>10</v>
      </c>
      <c r="J215" t="s">
        <v>1693</v>
      </c>
      <c r="K215">
        <v>26</v>
      </c>
      <c r="L215" t="s">
        <v>1671</v>
      </c>
      <c r="M215">
        <v>15.5</v>
      </c>
      <c r="N215" t="s">
        <v>1674</v>
      </c>
    </row>
    <row r="216" spans="1:14" ht="14.5" x14ac:dyDescent="0.35">
      <c r="A216" t="s">
        <v>1896</v>
      </c>
      <c r="B216">
        <v>2026</v>
      </c>
      <c r="C216" t="s">
        <v>36</v>
      </c>
      <c r="D216" t="s">
        <v>37</v>
      </c>
      <c r="E216">
        <v>30</v>
      </c>
      <c r="F216">
        <v>43</v>
      </c>
      <c r="G216">
        <v>47</v>
      </c>
      <c r="H216">
        <v>13</v>
      </c>
      <c r="I216">
        <v>17</v>
      </c>
      <c r="J216" t="s">
        <v>1673</v>
      </c>
      <c r="K216">
        <v>40</v>
      </c>
      <c r="L216" t="s">
        <v>1670</v>
      </c>
      <c r="M216">
        <v>5.5</v>
      </c>
      <c r="N216" t="s">
        <v>1678</v>
      </c>
    </row>
    <row r="217" spans="1:14" ht="14.5" x14ac:dyDescent="0.35">
      <c r="A217" t="s">
        <v>1897</v>
      </c>
      <c r="B217">
        <v>2029</v>
      </c>
      <c r="C217" t="s">
        <v>36</v>
      </c>
      <c r="D217" t="s">
        <v>253</v>
      </c>
      <c r="E217">
        <v>76</v>
      </c>
      <c r="F217">
        <v>91</v>
      </c>
      <c r="G217">
        <v>103</v>
      </c>
      <c r="H217">
        <v>15</v>
      </c>
      <c r="I217">
        <v>27</v>
      </c>
      <c r="J217" t="s">
        <v>1669</v>
      </c>
      <c r="K217">
        <v>19</v>
      </c>
      <c r="L217" t="s">
        <v>1678</v>
      </c>
      <c r="M217">
        <v>3.5</v>
      </c>
      <c r="N217" t="s">
        <v>1670</v>
      </c>
    </row>
    <row r="218" spans="1:14" ht="14.5" x14ac:dyDescent="0.35">
      <c r="A218" t="s">
        <v>1898</v>
      </c>
      <c r="B218">
        <v>2030</v>
      </c>
      <c r="C218" t="s">
        <v>40</v>
      </c>
      <c r="D218" t="s">
        <v>293</v>
      </c>
      <c r="E218">
        <v>74</v>
      </c>
      <c r="F218">
        <v>82</v>
      </c>
      <c r="G218">
        <v>100</v>
      </c>
      <c r="H218">
        <v>8</v>
      </c>
      <c r="I218">
        <v>26</v>
      </c>
      <c r="J218" t="s">
        <v>1676</v>
      </c>
      <c r="K218">
        <v>45</v>
      </c>
      <c r="L218" t="s">
        <v>1671</v>
      </c>
      <c r="M218">
        <v>15.3</v>
      </c>
      <c r="N218" t="s">
        <v>1671</v>
      </c>
    </row>
    <row r="219" spans="1:14" ht="14.5" x14ac:dyDescent="0.35">
      <c r="A219" t="s">
        <v>1899</v>
      </c>
      <c r="B219">
        <v>2029</v>
      </c>
      <c r="C219" t="s">
        <v>56</v>
      </c>
      <c r="D219" t="s">
        <v>57</v>
      </c>
      <c r="E219">
        <v>67</v>
      </c>
      <c r="F219">
        <v>66</v>
      </c>
      <c r="G219">
        <v>67</v>
      </c>
      <c r="H219">
        <v>-1</v>
      </c>
      <c r="I219">
        <v>0</v>
      </c>
      <c r="J219" t="s">
        <v>1685</v>
      </c>
      <c r="K219">
        <v>27</v>
      </c>
      <c r="L219" t="s">
        <v>1678</v>
      </c>
      <c r="M219">
        <v>13.5</v>
      </c>
      <c r="N219" t="s">
        <v>1670</v>
      </c>
    </row>
    <row r="220" spans="1:14" ht="14.5" x14ac:dyDescent="0.35">
      <c r="A220" t="s">
        <v>1900</v>
      </c>
      <c r="B220">
        <v>2029</v>
      </c>
      <c r="C220" t="s">
        <v>69</v>
      </c>
      <c r="D220" t="s">
        <v>117</v>
      </c>
      <c r="E220">
        <v>9</v>
      </c>
      <c r="F220">
        <v>24</v>
      </c>
      <c r="G220">
        <v>26</v>
      </c>
      <c r="H220">
        <v>15</v>
      </c>
      <c r="I220">
        <v>17</v>
      </c>
      <c r="J220" t="s">
        <v>1715</v>
      </c>
      <c r="K220">
        <v>10</v>
      </c>
      <c r="L220" t="s">
        <v>1678</v>
      </c>
      <c r="M220">
        <v>15.5</v>
      </c>
      <c r="N220" t="s">
        <v>1674</v>
      </c>
    </row>
    <row r="221" spans="1:14" ht="14.5" x14ac:dyDescent="0.35">
      <c r="A221" t="s">
        <v>1901</v>
      </c>
      <c r="B221">
        <v>2026</v>
      </c>
      <c r="C221" t="s">
        <v>159</v>
      </c>
      <c r="D221" t="s">
        <v>187</v>
      </c>
      <c r="E221">
        <v>36</v>
      </c>
      <c r="F221">
        <v>44</v>
      </c>
      <c r="G221">
        <v>64</v>
      </c>
      <c r="H221">
        <v>8</v>
      </c>
      <c r="I221">
        <v>28</v>
      </c>
      <c r="J221" t="s">
        <v>1718</v>
      </c>
      <c r="K221">
        <v>32</v>
      </c>
      <c r="L221" t="s">
        <v>1671</v>
      </c>
      <c r="M221">
        <v>4.4000000000000004</v>
      </c>
      <c r="N221" t="s">
        <v>1678</v>
      </c>
    </row>
    <row r="222" spans="1:14" ht="14.5" x14ac:dyDescent="0.35">
      <c r="A222" t="s">
        <v>1902</v>
      </c>
      <c r="B222">
        <v>2030</v>
      </c>
      <c r="C222" t="s">
        <v>52</v>
      </c>
      <c r="D222" t="s">
        <v>176</v>
      </c>
      <c r="E222">
        <v>31</v>
      </c>
      <c r="F222">
        <v>44</v>
      </c>
      <c r="G222">
        <v>52</v>
      </c>
      <c r="H222">
        <v>13</v>
      </c>
      <c r="I222">
        <v>21</v>
      </c>
      <c r="J222" t="s">
        <v>1685</v>
      </c>
      <c r="K222">
        <v>45</v>
      </c>
      <c r="L222" t="s">
        <v>1670</v>
      </c>
      <c r="M222">
        <v>15</v>
      </c>
      <c r="N222" t="s">
        <v>1678</v>
      </c>
    </row>
    <row r="223" spans="1:14" ht="14.5" x14ac:dyDescent="0.35">
      <c r="A223" t="s">
        <v>1903</v>
      </c>
      <c r="B223">
        <v>2029</v>
      </c>
      <c r="C223" t="s">
        <v>45</v>
      </c>
      <c r="D223" t="s">
        <v>239</v>
      </c>
      <c r="E223">
        <v>70</v>
      </c>
      <c r="F223">
        <v>80</v>
      </c>
      <c r="G223">
        <v>81</v>
      </c>
      <c r="H223">
        <v>10</v>
      </c>
      <c r="I223">
        <v>11</v>
      </c>
      <c r="J223" t="s">
        <v>1676</v>
      </c>
      <c r="K223">
        <v>8</v>
      </c>
      <c r="L223" t="s">
        <v>1678</v>
      </c>
      <c r="M223">
        <v>7.9</v>
      </c>
      <c r="N223" t="s">
        <v>1678</v>
      </c>
    </row>
    <row r="224" spans="1:14" ht="14.5" x14ac:dyDescent="0.35">
      <c r="A224" t="s">
        <v>1904</v>
      </c>
      <c r="B224">
        <v>2030</v>
      </c>
      <c r="C224" t="s">
        <v>40</v>
      </c>
      <c r="D224" t="s">
        <v>293</v>
      </c>
      <c r="E224">
        <v>47</v>
      </c>
      <c r="F224">
        <v>57</v>
      </c>
      <c r="G224">
        <v>61</v>
      </c>
      <c r="H224">
        <v>10</v>
      </c>
      <c r="I224">
        <v>14</v>
      </c>
      <c r="J224" t="s">
        <v>1680</v>
      </c>
      <c r="K224">
        <v>17</v>
      </c>
      <c r="L224" t="s">
        <v>1671</v>
      </c>
      <c r="M224">
        <v>9.1999999999999993</v>
      </c>
      <c r="N224" t="s">
        <v>1674</v>
      </c>
    </row>
    <row r="225" spans="1:14" ht="14.5" x14ac:dyDescent="0.35">
      <c r="A225" t="s">
        <v>1905</v>
      </c>
      <c r="B225">
        <v>2028</v>
      </c>
      <c r="C225" t="s">
        <v>45</v>
      </c>
      <c r="D225" t="s">
        <v>296</v>
      </c>
      <c r="E225">
        <v>41</v>
      </c>
      <c r="F225">
        <v>49</v>
      </c>
      <c r="G225">
        <v>63</v>
      </c>
      <c r="H225">
        <v>8</v>
      </c>
      <c r="I225">
        <v>22</v>
      </c>
      <c r="J225" t="s">
        <v>1688</v>
      </c>
      <c r="K225">
        <v>37</v>
      </c>
      <c r="L225" t="s">
        <v>1678</v>
      </c>
      <c r="M225">
        <v>16</v>
      </c>
      <c r="N225" t="s">
        <v>1678</v>
      </c>
    </row>
    <row r="226" spans="1:14" ht="14.5" x14ac:dyDescent="0.35">
      <c r="A226" t="s">
        <v>1906</v>
      </c>
      <c r="B226">
        <v>2028</v>
      </c>
      <c r="C226" t="s">
        <v>45</v>
      </c>
      <c r="D226" t="s">
        <v>46</v>
      </c>
      <c r="E226">
        <v>20</v>
      </c>
      <c r="F226">
        <v>35</v>
      </c>
      <c r="G226">
        <v>35</v>
      </c>
      <c r="H226">
        <v>15</v>
      </c>
      <c r="I226">
        <v>15</v>
      </c>
      <c r="J226" t="s">
        <v>1688</v>
      </c>
      <c r="K226">
        <v>42</v>
      </c>
      <c r="L226" t="s">
        <v>1678</v>
      </c>
      <c r="M226">
        <v>14.6</v>
      </c>
      <c r="N226" t="s">
        <v>1678</v>
      </c>
    </row>
    <row r="227" spans="1:14" ht="14.5" x14ac:dyDescent="0.35">
      <c r="A227" t="s">
        <v>1907</v>
      </c>
      <c r="B227">
        <v>2029</v>
      </c>
      <c r="C227" t="s">
        <v>40</v>
      </c>
      <c r="D227" t="s">
        <v>65</v>
      </c>
      <c r="E227">
        <v>7</v>
      </c>
      <c r="F227">
        <v>11</v>
      </c>
      <c r="G227">
        <v>15</v>
      </c>
      <c r="H227">
        <v>4</v>
      </c>
      <c r="I227">
        <v>8</v>
      </c>
      <c r="J227" t="s">
        <v>1685</v>
      </c>
      <c r="K227">
        <v>29</v>
      </c>
      <c r="L227" t="s">
        <v>1678</v>
      </c>
      <c r="M227">
        <v>13.4</v>
      </c>
      <c r="N227" t="s">
        <v>1678</v>
      </c>
    </row>
    <row r="228" spans="1:14" ht="14.5" x14ac:dyDescent="0.35">
      <c r="A228" t="s">
        <v>1908</v>
      </c>
      <c r="B228">
        <v>2030</v>
      </c>
      <c r="C228" t="s">
        <v>52</v>
      </c>
      <c r="D228" t="s">
        <v>195</v>
      </c>
      <c r="E228">
        <v>17</v>
      </c>
      <c r="F228">
        <v>26</v>
      </c>
      <c r="G228">
        <v>33</v>
      </c>
      <c r="H228">
        <v>9</v>
      </c>
      <c r="I228">
        <v>16</v>
      </c>
      <c r="J228" t="s">
        <v>1676</v>
      </c>
      <c r="K228">
        <v>6</v>
      </c>
      <c r="L228" t="s">
        <v>1670</v>
      </c>
      <c r="M228">
        <v>6.6</v>
      </c>
      <c r="N228" t="s">
        <v>1678</v>
      </c>
    </row>
    <row r="229" spans="1:14" ht="14.5" x14ac:dyDescent="0.35">
      <c r="A229" t="s">
        <v>1909</v>
      </c>
      <c r="B229">
        <v>2030</v>
      </c>
      <c r="C229" t="s">
        <v>159</v>
      </c>
      <c r="D229" t="s">
        <v>269</v>
      </c>
      <c r="E229">
        <v>57</v>
      </c>
      <c r="F229">
        <v>70</v>
      </c>
      <c r="G229">
        <v>85</v>
      </c>
      <c r="H229">
        <v>13</v>
      </c>
      <c r="I229">
        <v>28</v>
      </c>
      <c r="J229" t="s">
        <v>1669</v>
      </c>
      <c r="K229">
        <v>31</v>
      </c>
      <c r="L229" t="s">
        <v>1678</v>
      </c>
      <c r="M229">
        <v>12.8</v>
      </c>
      <c r="N229" t="s">
        <v>1674</v>
      </c>
    </row>
    <row r="230" spans="1:14" ht="14.5" x14ac:dyDescent="0.35">
      <c r="A230" t="s">
        <v>1910</v>
      </c>
      <c r="B230">
        <v>2026</v>
      </c>
      <c r="C230" t="s">
        <v>52</v>
      </c>
      <c r="D230" t="s">
        <v>224</v>
      </c>
      <c r="E230">
        <v>42</v>
      </c>
      <c r="F230">
        <v>42</v>
      </c>
      <c r="G230">
        <v>43</v>
      </c>
      <c r="H230">
        <v>0</v>
      </c>
      <c r="I230">
        <v>1</v>
      </c>
      <c r="J230" t="s">
        <v>1688</v>
      </c>
      <c r="K230">
        <v>37</v>
      </c>
      <c r="L230" t="s">
        <v>1678</v>
      </c>
      <c r="M230">
        <v>17.2</v>
      </c>
      <c r="N230" t="s">
        <v>1678</v>
      </c>
    </row>
    <row r="231" spans="1:14" ht="14.5" x14ac:dyDescent="0.35">
      <c r="A231" t="s">
        <v>1911</v>
      </c>
      <c r="B231">
        <v>2027</v>
      </c>
      <c r="C231" t="s">
        <v>108</v>
      </c>
      <c r="D231" t="s">
        <v>109</v>
      </c>
      <c r="E231">
        <v>77</v>
      </c>
      <c r="F231">
        <v>88</v>
      </c>
      <c r="G231">
        <v>103</v>
      </c>
      <c r="H231">
        <v>11</v>
      </c>
      <c r="I231">
        <v>26</v>
      </c>
      <c r="J231" t="s">
        <v>1680</v>
      </c>
      <c r="K231">
        <v>15</v>
      </c>
      <c r="L231" t="s">
        <v>1678</v>
      </c>
      <c r="M231">
        <v>8.1</v>
      </c>
      <c r="N231" t="s">
        <v>1678</v>
      </c>
    </row>
    <row r="232" spans="1:14" ht="14.5" x14ac:dyDescent="0.35">
      <c r="A232" t="s">
        <v>1912</v>
      </c>
      <c r="B232">
        <v>2028</v>
      </c>
      <c r="C232" t="s">
        <v>40</v>
      </c>
      <c r="D232" t="s">
        <v>65</v>
      </c>
      <c r="E232">
        <v>9</v>
      </c>
      <c r="F232">
        <v>13</v>
      </c>
      <c r="G232">
        <v>21</v>
      </c>
      <c r="H232">
        <v>4</v>
      </c>
      <c r="I232">
        <v>12</v>
      </c>
      <c r="J232" t="s">
        <v>1688</v>
      </c>
      <c r="K232">
        <v>17</v>
      </c>
      <c r="L232" t="s">
        <v>1670</v>
      </c>
      <c r="M232">
        <v>9.6</v>
      </c>
      <c r="N232" t="s">
        <v>1678</v>
      </c>
    </row>
    <row r="233" spans="1:14" ht="14.5" x14ac:dyDescent="0.35">
      <c r="A233" t="s">
        <v>1913</v>
      </c>
      <c r="B233">
        <v>2026</v>
      </c>
      <c r="C233" t="s">
        <v>52</v>
      </c>
      <c r="D233" t="s">
        <v>176</v>
      </c>
      <c r="E233">
        <v>34</v>
      </c>
      <c r="F233">
        <v>42</v>
      </c>
      <c r="G233">
        <v>57</v>
      </c>
      <c r="H233">
        <v>8</v>
      </c>
      <c r="I233">
        <v>23</v>
      </c>
      <c r="J233" t="s">
        <v>1710</v>
      </c>
      <c r="K233">
        <v>45</v>
      </c>
      <c r="L233" t="s">
        <v>1678</v>
      </c>
      <c r="M233">
        <v>6.4</v>
      </c>
      <c r="N233" t="s">
        <v>1671</v>
      </c>
    </row>
    <row r="234" spans="1:14" ht="14.5" x14ac:dyDescent="0.35">
      <c r="A234" t="s">
        <v>1914</v>
      </c>
      <c r="B234">
        <v>2028</v>
      </c>
      <c r="C234" t="s">
        <v>36</v>
      </c>
      <c r="D234" t="s">
        <v>62</v>
      </c>
      <c r="E234">
        <v>40</v>
      </c>
      <c r="F234">
        <v>45</v>
      </c>
      <c r="G234">
        <v>65</v>
      </c>
      <c r="H234">
        <v>5</v>
      </c>
      <c r="I234">
        <v>25</v>
      </c>
      <c r="J234" t="s">
        <v>1676</v>
      </c>
      <c r="K234">
        <v>36</v>
      </c>
      <c r="L234" t="s">
        <v>1671</v>
      </c>
      <c r="M234">
        <v>3.9</v>
      </c>
      <c r="N234" t="s">
        <v>1671</v>
      </c>
    </row>
    <row r="235" spans="1:14" ht="14.5" x14ac:dyDescent="0.35">
      <c r="A235" t="s">
        <v>1915</v>
      </c>
      <c r="B235">
        <v>2027</v>
      </c>
      <c r="C235" t="s">
        <v>56</v>
      </c>
      <c r="D235" t="s">
        <v>57</v>
      </c>
      <c r="E235">
        <v>31</v>
      </c>
      <c r="F235">
        <v>34</v>
      </c>
      <c r="G235">
        <v>50</v>
      </c>
      <c r="H235">
        <v>3</v>
      </c>
      <c r="I235">
        <v>19</v>
      </c>
      <c r="J235" t="s">
        <v>1669</v>
      </c>
      <c r="K235">
        <v>30</v>
      </c>
      <c r="L235" t="s">
        <v>1678</v>
      </c>
      <c r="M235">
        <v>12.8</v>
      </c>
      <c r="N235" t="s">
        <v>1671</v>
      </c>
    </row>
    <row r="236" spans="1:14" ht="14.5" x14ac:dyDescent="0.35">
      <c r="A236" t="s">
        <v>1916</v>
      </c>
      <c r="B236">
        <v>2029</v>
      </c>
      <c r="C236" t="s">
        <v>36</v>
      </c>
      <c r="D236" t="s">
        <v>37</v>
      </c>
      <c r="E236">
        <v>13</v>
      </c>
      <c r="F236">
        <v>22</v>
      </c>
      <c r="G236">
        <v>26</v>
      </c>
      <c r="H236">
        <v>9</v>
      </c>
      <c r="I236">
        <v>13</v>
      </c>
      <c r="J236" t="s">
        <v>1680</v>
      </c>
      <c r="K236">
        <v>27</v>
      </c>
      <c r="L236" t="s">
        <v>1670</v>
      </c>
      <c r="M236">
        <v>12.7</v>
      </c>
      <c r="N236" t="s">
        <v>1670</v>
      </c>
    </row>
    <row r="237" spans="1:14" ht="14.5" x14ac:dyDescent="0.35">
      <c r="A237" t="s">
        <v>1917</v>
      </c>
      <c r="B237">
        <v>2028</v>
      </c>
      <c r="C237" t="s">
        <v>52</v>
      </c>
      <c r="D237" t="s">
        <v>224</v>
      </c>
      <c r="E237">
        <v>42</v>
      </c>
      <c r="F237">
        <v>46</v>
      </c>
      <c r="G237">
        <v>53</v>
      </c>
      <c r="H237">
        <v>4</v>
      </c>
      <c r="I237">
        <v>11</v>
      </c>
      <c r="J237" t="s">
        <v>1680</v>
      </c>
      <c r="K237">
        <v>6</v>
      </c>
      <c r="L237" t="s">
        <v>1670</v>
      </c>
      <c r="M237">
        <v>14.3</v>
      </c>
      <c r="N237" t="s">
        <v>1674</v>
      </c>
    </row>
    <row r="238" spans="1:14" ht="14.5" x14ac:dyDescent="0.35">
      <c r="A238" t="s">
        <v>1918</v>
      </c>
      <c r="B238">
        <v>2027</v>
      </c>
      <c r="C238" t="s">
        <v>45</v>
      </c>
      <c r="D238" t="s">
        <v>239</v>
      </c>
      <c r="E238">
        <v>52</v>
      </c>
      <c r="F238">
        <v>53</v>
      </c>
      <c r="G238">
        <v>61</v>
      </c>
      <c r="H238">
        <v>1</v>
      </c>
      <c r="I238">
        <v>9</v>
      </c>
      <c r="J238" t="s">
        <v>1669</v>
      </c>
      <c r="K238">
        <v>37</v>
      </c>
      <c r="L238" t="s">
        <v>1678</v>
      </c>
      <c r="M238">
        <v>5.6</v>
      </c>
      <c r="N238" t="s">
        <v>1671</v>
      </c>
    </row>
    <row r="239" spans="1:14" ht="14.5" x14ac:dyDescent="0.35">
      <c r="A239" t="s">
        <v>1919</v>
      </c>
      <c r="B239">
        <v>2030</v>
      </c>
      <c r="C239" t="s">
        <v>40</v>
      </c>
      <c r="D239" t="s">
        <v>65</v>
      </c>
      <c r="E239">
        <v>36</v>
      </c>
      <c r="F239">
        <v>41</v>
      </c>
      <c r="G239">
        <v>42</v>
      </c>
      <c r="H239">
        <v>5</v>
      </c>
      <c r="I239">
        <v>6</v>
      </c>
      <c r="J239" t="s">
        <v>1685</v>
      </c>
      <c r="K239">
        <v>8</v>
      </c>
      <c r="L239" t="s">
        <v>1678</v>
      </c>
      <c r="M239">
        <v>5.3</v>
      </c>
      <c r="N239" t="s">
        <v>1678</v>
      </c>
    </row>
    <row r="240" spans="1:14" ht="14.5" x14ac:dyDescent="0.35">
      <c r="A240" t="s">
        <v>1920</v>
      </c>
      <c r="B240">
        <v>2027</v>
      </c>
      <c r="C240" t="s">
        <v>21</v>
      </c>
      <c r="D240" t="s">
        <v>153</v>
      </c>
      <c r="E240">
        <v>65</v>
      </c>
      <c r="F240">
        <v>66</v>
      </c>
      <c r="G240">
        <v>77</v>
      </c>
      <c r="H240">
        <v>1</v>
      </c>
      <c r="I240">
        <v>12</v>
      </c>
      <c r="J240" t="s">
        <v>1669</v>
      </c>
      <c r="K240">
        <v>27</v>
      </c>
      <c r="L240" t="s">
        <v>1671</v>
      </c>
      <c r="M240">
        <v>6.6</v>
      </c>
      <c r="N240" t="s">
        <v>1674</v>
      </c>
    </row>
    <row r="241" spans="1:14" ht="14.5" x14ac:dyDescent="0.35">
      <c r="A241" t="s">
        <v>1921</v>
      </c>
      <c r="B241">
        <v>2026</v>
      </c>
      <c r="C241" t="s">
        <v>36</v>
      </c>
      <c r="D241" t="s">
        <v>93</v>
      </c>
      <c r="E241">
        <v>13</v>
      </c>
      <c r="F241">
        <v>14</v>
      </c>
      <c r="G241">
        <v>24</v>
      </c>
      <c r="H241">
        <v>1</v>
      </c>
      <c r="I241">
        <v>11</v>
      </c>
      <c r="J241" t="s">
        <v>1688</v>
      </c>
      <c r="K241">
        <v>13</v>
      </c>
      <c r="L241" t="s">
        <v>1678</v>
      </c>
      <c r="M241">
        <v>5.4</v>
      </c>
      <c r="N241" t="s">
        <v>1674</v>
      </c>
    </row>
    <row r="242" spans="1:14" ht="14.5" x14ac:dyDescent="0.35">
      <c r="A242" t="s">
        <v>1922</v>
      </c>
      <c r="B242">
        <v>2029</v>
      </c>
      <c r="C242" t="s">
        <v>45</v>
      </c>
      <c r="D242" t="s">
        <v>234</v>
      </c>
      <c r="E242">
        <v>58</v>
      </c>
      <c r="F242">
        <v>56</v>
      </c>
      <c r="G242">
        <v>74</v>
      </c>
      <c r="H242">
        <v>-2</v>
      </c>
      <c r="I242">
        <v>16</v>
      </c>
      <c r="J242" t="s">
        <v>1715</v>
      </c>
      <c r="K242">
        <v>42</v>
      </c>
      <c r="L242" t="s">
        <v>1671</v>
      </c>
      <c r="M242">
        <v>5.9</v>
      </c>
      <c r="N242" t="s">
        <v>1670</v>
      </c>
    </row>
    <row r="243" spans="1:14" ht="14.5" x14ac:dyDescent="0.35">
      <c r="A243" t="s">
        <v>1923</v>
      </c>
      <c r="B243">
        <v>2030</v>
      </c>
      <c r="C243" t="s">
        <v>40</v>
      </c>
      <c r="D243" t="s">
        <v>41</v>
      </c>
      <c r="E243">
        <v>34</v>
      </c>
      <c r="F243">
        <v>34</v>
      </c>
      <c r="G243">
        <v>34</v>
      </c>
      <c r="H243">
        <v>0</v>
      </c>
      <c r="I243">
        <v>0</v>
      </c>
      <c r="J243" t="s">
        <v>1693</v>
      </c>
      <c r="K243">
        <v>20</v>
      </c>
      <c r="L243" t="s">
        <v>1671</v>
      </c>
      <c r="M243">
        <v>14.5</v>
      </c>
      <c r="N243" t="s">
        <v>1674</v>
      </c>
    </row>
    <row r="244" spans="1:14" ht="14.5" x14ac:dyDescent="0.35">
      <c r="A244" t="s">
        <v>1924</v>
      </c>
      <c r="B244">
        <v>2026</v>
      </c>
      <c r="C244" t="s">
        <v>69</v>
      </c>
      <c r="D244" t="s">
        <v>150</v>
      </c>
      <c r="E244">
        <v>42</v>
      </c>
      <c r="F244">
        <v>43</v>
      </c>
      <c r="G244">
        <v>47</v>
      </c>
      <c r="H244">
        <v>1</v>
      </c>
      <c r="I244">
        <v>5</v>
      </c>
      <c r="J244" t="s">
        <v>1676</v>
      </c>
      <c r="K244">
        <v>19</v>
      </c>
      <c r="L244" t="s">
        <v>1671</v>
      </c>
      <c r="M244">
        <v>8.6999999999999993</v>
      </c>
      <c r="N244" t="s">
        <v>1674</v>
      </c>
    </row>
    <row r="245" spans="1:14" ht="14.5" x14ac:dyDescent="0.35">
      <c r="A245" t="s">
        <v>1925</v>
      </c>
      <c r="B245">
        <v>2030</v>
      </c>
      <c r="C245" t="s">
        <v>36</v>
      </c>
      <c r="D245" t="s">
        <v>253</v>
      </c>
      <c r="E245">
        <v>36</v>
      </c>
      <c r="F245">
        <v>48</v>
      </c>
      <c r="G245">
        <v>63</v>
      </c>
      <c r="H245">
        <v>12</v>
      </c>
      <c r="I245">
        <v>27</v>
      </c>
      <c r="J245" t="s">
        <v>1669</v>
      </c>
      <c r="K245">
        <v>7</v>
      </c>
      <c r="L245" t="s">
        <v>1671</v>
      </c>
      <c r="M245">
        <v>17.899999999999999</v>
      </c>
      <c r="N245" t="s">
        <v>1671</v>
      </c>
    </row>
    <row r="246" spans="1:14" ht="14.5" x14ac:dyDescent="0.35">
      <c r="A246" t="s">
        <v>1926</v>
      </c>
      <c r="B246">
        <v>2029</v>
      </c>
      <c r="C246" t="s">
        <v>40</v>
      </c>
      <c r="D246" t="s">
        <v>65</v>
      </c>
      <c r="E246">
        <v>31</v>
      </c>
      <c r="F246">
        <v>45</v>
      </c>
      <c r="G246">
        <v>56</v>
      </c>
      <c r="H246">
        <v>14</v>
      </c>
      <c r="I246">
        <v>25</v>
      </c>
      <c r="J246" t="s">
        <v>1715</v>
      </c>
      <c r="K246">
        <v>9</v>
      </c>
      <c r="L246" t="s">
        <v>1670</v>
      </c>
      <c r="M246">
        <v>4.5999999999999996</v>
      </c>
      <c r="N246" t="s">
        <v>1678</v>
      </c>
    </row>
    <row r="247" spans="1:14" ht="14.5" x14ac:dyDescent="0.35">
      <c r="A247" t="s">
        <v>1927</v>
      </c>
      <c r="B247">
        <v>2030</v>
      </c>
      <c r="C247" t="s">
        <v>45</v>
      </c>
      <c r="D247" t="s">
        <v>296</v>
      </c>
      <c r="E247">
        <v>43</v>
      </c>
      <c r="F247">
        <v>49</v>
      </c>
      <c r="G247">
        <v>53</v>
      </c>
      <c r="H247">
        <v>6</v>
      </c>
      <c r="I247">
        <v>10</v>
      </c>
      <c r="J247" t="s">
        <v>1673</v>
      </c>
      <c r="K247">
        <v>17</v>
      </c>
      <c r="L247" t="s">
        <v>1671</v>
      </c>
      <c r="M247">
        <v>8</v>
      </c>
      <c r="N247" t="s">
        <v>1670</v>
      </c>
    </row>
    <row r="248" spans="1:14" ht="14.5" x14ac:dyDescent="0.35">
      <c r="A248" t="s">
        <v>1928</v>
      </c>
      <c r="B248">
        <v>2028</v>
      </c>
      <c r="C248" t="s">
        <v>52</v>
      </c>
      <c r="D248" t="s">
        <v>195</v>
      </c>
      <c r="E248">
        <v>22</v>
      </c>
      <c r="F248">
        <v>35</v>
      </c>
      <c r="G248">
        <v>43</v>
      </c>
      <c r="H248">
        <v>13</v>
      </c>
      <c r="I248">
        <v>21</v>
      </c>
      <c r="J248" t="s">
        <v>1680</v>
      </c>
      <c r="K248">
        <v>11</v>
      </c>
      <c r="L248" t="s">
        <v>1671</v>
      </c>
      <c r="M248">
        <v>6.8</v>
      </c>
      <c r="N248" t="s">
        <v>1671</v>
      </c>
    </row>
    <row r="249" spans="1:14" ht="14.5" x14ac:dyDescent="0.35">
      <c r="A249" t="s">
        <v>1929</v>
      </c>
      <c r="B249">
        <v>2026</v>
      </c>
      <c r="C249" t="s">
        <v>40</v>
      </c>
      <c r="D249" t="s">
        <v>293</v>
      </c>
      <c r="E249">
        <v>77</v>
      </c>
      <c r="F249">
        <v>79</v>
      </c>
      <c r="G249">
        <v>83</v>
      </c>
      <c r="H249">
        <v>2</v>
      </c>
      <c r="I249">
        <v>6</v>
      </c>
      <c r="J249" t="s">
        <v>1688</v>
      </c>
      <c r="K249">
        <v>36</v>
      </c>
      <c r="L249" t="s">
        <v>1670</v>
      </c>
      <c r="M249">
        <v>17.600000000000001</v>
      </c>
      <c r="N249" t="s">
        <v>1678</v>
      </c>
    </row>
    <row r="250" spans="1:14" ht="14.5" x14ac:dyDescent="0.35">
      <c r="A250" t="s">
        <v>1930</v>
      </c>
      <c r="B250">
        <v>2030</v>
      </c>
      <c r="C250" t="s">
        <v>108</v>
      </c>
      <c r="D250" t="s">
        <v>126</v>
      </c>
      <c r="E250">
        <v>40</v>
      </c>
      <c r="F250">
        <v>40</v>
      </c>
      <c r="G250">
        <v>43</v>
      </c>
      <c r="H250">
        <v>0</v>
      </c>
      <c r="I250">
        <v>3</v>
      </c>
      <c r="J250" t="s">
        <v>1669</v>
      </c>
      <c r="K250">
        <v>23</v>
      </c>
      <c r="L250" t="s">
        <v>1670</v>
      </c>
      <c r="M250">
        <v>12.1</v>
      </c>
      <c r="N250" t="s">
        <v>1674</v>
      </c>
    </row>
    <row r="251" spans="1:14" ht="14.5" x14ac:dyDescent="0.35">
      <c r="A251" t="s">
        <v>1931</v>
      </c>
      <c r="B251">
        <v>2027</v>
      </c>
      <c r="C251" t="s">
        <v>27</v>
      </c>
      <c r="D251" t="s">
        <v>87</v>
      </c>
      <c r="E251">
        <v>21</v>
      </c>
      <c r="F251">
        <v>35</v>
      </c>
      <c r="G251">
        <v>44</v>
      </c>
      <c r="H251">
        <v>14</v>
      </c>
      <c r="I251">
        <v>23</v>
      </c>
      <c r="J251" t="s">
        <v>1693</v>
      </c>
      <c r="K251">
        <v>25</v>
      </c>
      <c r="L251" t="s">
        <v>1670</v>
      </c>
      <c r="M251">
        <v>14.4</v>
      </c>
      <c r="N251" t="s">
        <v>1678</v>
      </c>
    </row>
    <row r="252" spans="1:14" ht="14.5" x14ac:dyDescent="0.35">
      <c r="A252" t="s">
        <v>1932</v>
      </c>
      <c r="B252">
        <v>2030</v>
      </c>
      <c r="C252" t="s">
        <v>56</v>
      </c>
      <c r="D252" t="s">
        <v>217</v>
      </c>
      <c r="E252">
        <v>12</v>
      </c>
      <c r="F252">
        <v>18</v>
      </c>
      <c r="G252">
        <v>18</v>
      </c>
      <c r="H252">
        <v>6</v>
      </c>
      <c r="I252">
        <v>6</v>
      </c>
      <c r="J252" t="s">
        <v>1693</v>
      </c>
      <c r="K252">
        <v>6</v>
      </c>
      <c r="L252" t="s">
        <v>1678</v>
      </c>
      <c r="M252">
        <v>16.600000000000001</v>
      </c>
      <c r="N252" t="s">
        <v>1674</v>
      </c>
    </row>
    <row r="253" spans="1:14" ht="14.5" x14ac:dyDescent="0.35">
      <c r="A253" t="s">
        <v>1933</v>
      </c>
      <c r="B253">
        <v>2026</v>
      </c>
      <c r="C253" t="s">
        <v>27</v>
      </c>
      <c r="D253" t="s">
        <v>76</v>
      </c>
      <c r="E253">
        <v>10</v>
      </c>
      <c r="F253">
        <v>10</v>
      </c>
      <c r="G253">
        <v>25</v>
      </c>
      <c r="H253">
        <v>0</v>
      </c>
      <c r="I253">
        <v>15</v>
      </c>
      <c r="J253" t="s">
        <v>1710</v>
      </c>
      <c r="K253">
        <v>14</v>
      </c>
      <c r="L253" t="s">
        <v>1678</v>
      </c>
      <c r="M253">
        <v>4.3</v>
      </c>
      <c r="N253" t="s">
        <v>1670</v>
      </c>
    </row>
    <row r="254" spans="1:14" ht="14.5" x14ac:dyDescent="0.35">
      <c r="A254" t="s">
        <v>1934</v>
      </c>
      <c r="B254">
        <v>2028</v>
      </c>
      <c r="C254" t="s">
        <v>108</v>
      </c>
      <c r="D254" t="s">
        <v>126</v>
      </c>
      <c r="E254">
        <v>38</v>
      </c>
      <c r="F254">
        <v>37</v>
      </c>
      <c r="G254">
        <v>38</v>
      </c>
      <c r="H254">
        <v>-1</v>
      </c>
      <c r="I254">
        <v>0</v>
      </c>
      <c r="J254" t="s">
        <v>1680</v>
      </c>
      <c r="K254">
        <v>8</v>
      </c>
      <c r="L254" t="s">
        <v>1678</v>
      </c>
      <c r="M254">
        <v>17.7</v>
      </c>
      <c r="N254" t="s">
        <v>1678</v>
      </c>
    </row>
    <row r="255" spans="1:14" ht="14.5" x14ac:dyDescent="0.35">
      <c r="A255" t="s">
        <v>1935</v>
      </c>
      <c r="B255">
        <v>2027</v>
      </c>
      <c r="C255" t="s">
        <v>159</v>
      </c>
      <c r="D255" t="s">
        <v>482</v>
      </c>
      <c r="E255">
        <v>25</v>
      </c>
      <c r="F255">
        <v>36</v>
      </c>
      <c r="G255">
        <v>45</v>
      </c>
      <c r="H255">
        <v>11</v>
      </c>
      <c r="I255">
        <v>20</v>
      </c>
      <c r="J255" t="s">
        <v>1718</v>
      </c>
      <c r="K255">
        <v>42</v>
      </c>
      <c r="L255" t="s">
        <v>1670</v>
      </c>
      <c r="M255">
        <v>9.6</v>
      </c>
      <c r="N255" t="s">
        <v>1670</v>
      </c>
    </row>
    <row r="256" spans="1:14" ht="14.5" x14ac:dyDescent="0.35">
      <c r="A256" t="s">
        <v>1936</v>
      </c>
      <c r="B256">
        <v>2027</v>
      </c>
      <c r="C256" t="s">
        <v>36</v>
      </c>
      <c r="D256" t="s">
        <v>253</v>
      </c>
      <c r="E256">
        <v>9</v>
      </c>
      <c r="F256">
        <v>14</v>
      </c>
      <c r="G256">
        <v>30</v>
      </c>
      <c r="H256">
        <v>5</v>
      </c>
      <c r="I256">
        <v>21</v>
      </c>
      <c r="J256" t="s">
        <v>1680</v>
      </c>
      <c r="K256">
        <v>41</v>
      </c>
      <c r="L256" t="s">
        <v>1671</v>
      </c>
      <c r="M256">
        <v>9.4</v>
      </c>
      <c r="N256" t="s">
        <v>1670</v>
      </c>
    </row>
    <row r="257" spans="1:14" ht="14.5" x14ac:dyDescent="0.35">
      <c r="A257" t="s">
        <v>1937</v>
      </c>
      <c r="B257">
        <v>2027</v>
      </c>
      <c r="C257" t="s">
        <v>45</v>
      </c>
      <c r="D257" t="s">
        <v>46</v>
      </c>
      <c r="E257">
        <v>28</v>
      </c>
      <c r="F257">
        <v>32</v>
      </c>
      <c r="G257">
        <v>36</v>
      </c>
      <c r="H257">
        <v>4</v>
      </c>
      <c r="I257">
        <v>8</v>
      </c>
      <c r="J257" t="s">
        <v>1676</v>
      </c>
      <c r="K257">
        <v>25</v>
      </c>
      <c r="L257" t="s">
        <v>1671</v>
      </c>
      <c r="M257">
        <v>12.7</v>
      </c>
      <c r="N257" t="s">
        <v>1671</v>
      </c>
    </row>
    <row r="258" spans="1:14" ht="14.5" x14ac:dyDescent="0.35">
      <c r="A258" t="s">
        <v>1938</v>
      </c>
      <c r="B258">
        <v>2030</v>
      </c>
      <c r="C258" t="s">
        <v>159</v>
      </c>
      <c r="D258" t="s">
        <v>324</v>
      </c>
      <c r="E258">
        <v>61</v>
      </c>
      <c r="F258">
        <v>61</v>
      </c>
      <c r="G258">
        <v>73</v>
      </c>
      <c r="H258">
        <v>0</v>
      </c>
      <c r="I258">
        <v>12</v>
      </c>
      <c r="J258" t="s">
        <v>1680</v>
      </c>
      <c r="K258">
        <v>23</v>
      </c>
      <c r="L258" t="s">
        <v>1670</v>
      </c>
      <c r="M258">
        <v>14.4</v>
      </c>
      <c r="N258" t="s">
        <v>1678</v>
      </c>
    </row>
    <row r="259" spans="1:14" ht="14.5" x14ac:dyDescent="0.35">
      <c r="A259" t="s">
        <v>1939</v>
      </c>
      <c r="B259">
        <v>2026</v>
      </c>
      <c r="C259" t="s">
        <v>36</v>
      </c>
      <c r="D259" t="s">
        <v>253</v>
      </c>
      <c r="E259">
        <v>41</v>
      </c>
      <c r="F259">
        <v>51</v>
      </c>
      <c r="G259">
        <v>55</v>
      </c>
      <c r="H259">
        <v>10</v>
      </c>
      <c r="I259">
        <v>14</v>
      </c>
      <c r="J259" t="s">
        <v>1710</v>
      </c>
      <c r="K259">
        <v>29</v>
      </c>
      <c r="L259" t="s">
        <v>1671</v>
      </c>
      <c r="M259">
        <v>6.4</v>
      </c>
      <c r="N259" t="s">
        <v>1670</v>
      </c>
    </row>
    <row r="260" spans="1:14" ht="14.5" x14ac:dyDescent="0.35">
      <c r="A260" t="s">
        <v>1940</v>
      </c>
      <c r="B260">
        <v>2030</v>
      </c>
      <c r="C260" t="s">
        <v>40</v>
      </c>
      <c r="D260" t="s">
        <v>293</v>
      </c>
      <c r="E260">
        <v>74</v>
      </c>
      <c r="F260">
        <v>88</v>
      </c>
      <c r="G260">
        <v>98</v>
      </c>
      <c r="H260">
        <v>14</v>
      </c>
      <c r="I260">
        <v>24</v>
      </c>
      <c r="J260" t="s">
        <v>1673</v>
      </c>
      <c r="K260">
        <v>41</v>
      </c>
      <c r="L260" t="s">
        <v>1678</v>
      </c>
      <c r="M260">
        <v>16.5</v>
      </c>
      <c r="N260" t="s">
        <v>1678</v>
      </c>
    </row>
    <row r="261" spans="1:14" ht="14.5" x14ac:dyDescent="0.35">
      <c r="A261" t="s">
        <v>1941</v>
      </c>
      <c r="B261">
        <v>2030</v>
      </c>
      <c r="C261" t="s">
        <v>69</v>
      </c>
      <c r="D261" t="s">
        <v>150</v>
      </c>
      <c r="E261">
        <v>65</v>
      </c>
      <c r="F261">
        <v>77</v>
      </c>
      <c r="G261">
        <v>85</v>
      </c>
      <c r="H261">
        <v>12</v>
      </c>
      <c r="I261">
        <v>20</v>
      </c>
      <c r="J261" t="s">
        <v>1688</v>
      </c>
      <c r="K261">
        <v>22</v>
      </c>
      <c r="L261" t="s">
        <v>1671</v>
      </c>
      <c r="M261">
        <v>14.8</v>
      </c>
      <c r="N261" t="s">
        <v>1670</v>
      </c>
    </row>
    <row r="262" spans="1:14" ht="14.5" x14ac:dyDescent="0.35">
      <c r="A262" t="s">
        <v>1942</v>
      </c>
      <c r="B262">
        <v>2026</v>
      </c>
      <c r="C262" t="s">
        <v>69</v>
      </c>
      <c r="D262" t="s">
        <v>319</v>
      </c>
      <c r="E262">
        <v>18</v>
      </c>
      <c r="F262">
        <v>19</v>
      </c>
      <c r="G262">
        <v>21</v>
      </c>
      <c r="H262">
        <v>1</v>
      </c>
      <c r="I262">
        <v>3</v>
      </c>
      <c r="J262" t="s">
        <v>1693</v>
      </c>
      <c r="K262">
        <v>19</v>
      </c>
      <c r="L262" t="s">
        <v>1670</v>
      </c>
      <c r="M262">
        <v>5.2</v>
      </c>
      <c r="N262" t="s">
        <v>1678</v>
      </c>
    </row>
    <row r="263" spans="1:14" ht="14.5" x14ac:dyDescent="0.35">
      <c r="A263" t="s">
        <v>1943</v>
      </c>
      <c r="B263">
        <v>2029</v>
      </c>
      <c r="C263" t="s">
        <v>159</v>
      </c>
      <c r="D263" t="s">
        <v>160</v>
      </c>
      <c r="E263">
        <v>59</v>
      </c>
      <c r="F263">
        <v>60</v>
      </c>
      <c r="G263">
        <v>80</v>
      </c>
      <c r="H263">
        <v>1</v>
      </c>
      <c r="I263">
        <v>21</v>
      </c>
      <c r="J263" t="s">
        <v>1685</v>
      </c>
      <c r="K263">
        <v>33</v>
      </c>
      <c r="L263" t="s">
        <v>1671</v>
      </c>
      <c r="M263">
        <v>17.2</v>
      </c>
      <c r="N263" t="s">
        <v>1674</v>
      </c>
    </row>
    <row r="264" spans="1:14" ht="14.5" x14ac:dyDescent="0.35">
      <c r="A264" t="s">
        <v>1944</v>
      </c>
      <c r="B264">
        <v>2030</v>
      </c>
      <c r="C264" t="s">
        <v>69</v>
      </c>
      <c r="D264" t="s">
        <v>105</v>
      </c>
      <c r="E264">
        <v>8</v>
      </c>
      <c r="F264">
        <v>10</v>
      </c>
      <c r="G264">
        <v>30</v>
      </c>
      <c r="H264">
        <v>2</v>
      </c>
      <c r="I264">
        <v>22</v>
      </c>
      <c r="J264" t="s">
        <v>1718</v>
      </c>
      <c r="K264">
        <v>43</v>
      </c>
      <c r="L264" t="s">
        <v>1670</v>
      </c>
      <c r="M264">
        <v>17.8</v>
      </c>
      <c r="N264" t="s">
        <v>1671</v>
      </c>
    </row>
    <row r="265" spans="1:14" ht="14.5" x14ac:dyDescent="0.35">
      <c r="A265" t="s">
        <v>1945</v>
      </c>
      <c r="B265">
        <v>2026</v>
      </c>
      <c r="C265" t="s">
        <v>56</v>
      </c>
      <c r="D265" t="s">
        <v>57</v>
      </c>
      <c r="E265">
        <v>23</v>
      </c>
      <c r="F265">
        <v>37</v>
      </c>
      <c r="G265">
        <v>40</v>
      </c>
      <c r="H265">
        <v>14</v>
      </c>
      <c r="I265">
        <v>17</v>
      </c>
      <c r="J265" t="s">
        <v>1676</v>
      </c>
      <c r="K265">
        <v>5</v>
      </c>
      <c r="L265" t="s">
        <v>1671</v>
      </c>
      <c r="M265">
        <v>15</v>
      </c>
      <c r="N265" t="s">
        <v>1674</v>
      </c>
    </row>
    <row r="266" spans="1:14" ht="14.5" x14ac:dyDescent="0.35">
      <c r="A266" t="s">
        <v>1946</v>
      </c>
      <c r="B266">
        <v>2026</v>
      </c>
      <c r="C266" t="s">
        <v>21</v>
      </c>
      <c r="D266" t="s">
        <v>22</v>
      </c>
      <c r="E266">
        <v>50</v>
      </c>
      <c r="F266">
        <v>56</v>
      </c>
      <c r="G266">
        <v>72</v>
      </c>
      <c r="H266">
        <v>6</v>
      </c>
      <c r="I266">
        <v>22</v>
      </c>
      <c r="J266" t="s">
        <v>1680</v>
      </c>
      <c r="K266">
        <v>23</v>
      </c>
      <c r="L266" t="s">
        <v>1670</v>
      </c>
      <c r="M266">
        <v>16.100000000000001</v>
      </c>
      <c r="N266" t="s">
        <v>1678</v>
      </c>
    </row>
    <row r="267" spans="1:14" ht="14.5" x14ac:dyDescent="0.35">
      <c r="A267" t="s">
        <v>1947</v>
      </c>
      <c r="B267">
        <v>2030</v>
      </c>
      <c r="C267" t="s">
        <v>52</v>
      </c>
      <c r="D267" t="s">
        <v>102</v>
      </c>
      <c r="E267">
        <v>53</v>
      </c>
      <c r="F267">
        <v>64</v>
      </c>
      <c r="G267">
        <v>77</v>
      </c>
      <c r="H267">
        <v>11</v>
      </c>
      <c r="I267">
        <v>24</v>
      </c>
      <c r="J267" t="s">
        <v>1673</v>
      </c>
      <c r="K267">
        <v>26</v>
      </c>
      <c r="L267" t="s">
        <v>1671</v>
      </c>
      <c r="M267">
        <v>15.7</v>
      </c>
      <c r="N267" t="s">
        <v>1671</v>
      </c>
    </row>
    <row r="268" spans="1:14" ht="14.5" x14ac:dyDescent="0.35">
      <c r="A268" t="s">
        <v>1948</v>
      </c>
      <c r="B268">
        <v>2027</v>
      </c>
      <c r="C268" t="s">
        <v>56</v>
      </c>
      <c r="D268" t="s">
        <v>112</v>
      </c>
      <c r="E268">
        <v>23</v>
      </c>
      <c r="F268">
        <v>28</v>
      </c>
      <c r="G268">
        <v>35</v>
      </c>
      <c r="H268">
        <v>5</v>
      </c>
      <c r="I268">
        <v>12</v>
      </c>
      <c r="J268" t="s">
        <v>1669</v>
      </c>
      <c r="K268">
        <v>44</v>
      </c>
      <c r="L268" t="s">
        <v>1671</v>
      </c>
      <c r="M268">
        <v>14.6</v>
      </c>
      <c r="N268" t="s">
        <v>1670</v>
      </c>
    </row>
    <row r="269" spans="1:14" ht="14.5" x14ac:dyDescent="0.35">
      <c r="A269" t="s">
        <v>1949</v>
      </c>
      <c r="B269">
        <v>2027</v>
      </c>
      <c r="C269" t="s">
        <v>36</v>
      </c>
      <c r="D269" t="s">
        <v>62</v>
      </c>
      <c r="E269">
        <v>44</v>
      </c>
      <c r="F269">
        <v>55</v>
      </c>
      <c r="G269">
        <v>66</v>
      </c>
      <c r="H269">
        <v>11</v>
      </c>
      <c r="I269">
        <v>22</v>
      </c>
      <c r="J269" t="s">
        <v>1715</v>
      </c>
      <c r="K269">
        <v>41</v>
      </c>
      <c r="L269" t="s">
        <v>1671</v>
      </c>
      <c r="M269">
        <v>7.5</v>
      </c>
      <c r="N269" t="s">
        <v>1670</v>
      </c>
    </row>
    <row r="270" spans="1:14" ht="14.5" x14ac:dyDescent="0.35">
      <c r="A270" t="s">
        <v>1950</v>
      </c>
      <c r="B270">
        <v>2030</v>
      </c>
      <c r="C270" t="s">
        <v>52</v>
      </c>
      <c r="D270" t="s">
        <v>224</v>
      </c>
      <c r="E270">
        <v>32</v>
      </c>
      <c r="F270">
        <v>34</v>
      </c>
      <c r="G270">
        <v>45</v>
      </c>
      <c r="H270">
        <v>2</v>
      </c>
      <c r="I270">
        <v>13</v>
      </c>
      <c r="J270" t="s">
        <v>1673</v>
      </c>
      <c r="K270">
        <v>34</v>
      </c>
      <c r="L270" t="s">
        <v>1671</v>
      </c>
      <c r="M270">
        <v>5.8</v>
      </c>
      <c r="N270" t="s">
        <v>1678</v>
      </c>
    </row>
    <row r="271" spans="1:14" ht="14.5" x14ac:dyDescent="0.35">
      <c r="A271" t="s">
        <v>1951</v>
      </c>
      <c r="B271">
        <v>2028</v>
      </c>
      <c r="C271" t="s">
        <v>108</v>
      </c>
      <c r="D271" t="s">
        <v>206</v>
      </c>
      <c r="E271">
        <v>26</v>
      </c>
      <c r="F271">
        <v>37</v>
      </c>
      <c r="G271">
        <v>56</v>
      </c>
      <c r="H271">
        <v>11</v>
      </c>
      <c r="I271">
        <v>30</v>
      </c>
      <c r="J271" t="s">
        <v>1685</v>
      </c>
      <c r="K271">
        <v>13</v>
      </c>
      <c r="L271" t="s">
        <v>1670</v>
      </c>
      <c r="M271">
        <v>16.8</v>
      </c>
      <c r="N271" t="s">
        <v>1678</v>
      </c>
    </row>
    <row r="272" spans="1:14" ht="14.5" x14ac:dyDescent="0.35">
      <c r="A272" t="s">
        <v>1952</v>
      </c>
      <c r="B272">
        <v>2028</v>
      </c>
      <c r="C272" t="s">
        <v>45</v>
      </c>
      <c r="D272" t="s">
        <v>239</v>
      </c>
      <c r="E272">
        <v>58</v>
      </c>
      <c r="F272">
        <v>60</v>
      </c>
      <c r="G272">
        <v>74</v>
      </c>
      <c r="H272">
        <v>2</v>
      </c>
      <c r="I272">
        <v>16</v>
      </c>
      <c r="J272" t="s">
        <v>1715</v>
      </c>
      <c r="K272">
        <v>13</v>
      </c>
      <c r="L272" t="s">
        <v>1671</v>
      </c>
      <c r="M272">
        <v>3.2</v>
      </c>
      <c r="N272" t="s">
        <v>1671</v>
      </c>
    </row>
    <row r="273" spans="1:14" ht="14.5" x14ac:dyDescent="0.35">
      <c r="A273" t="s">
        <v>1953</v>
      </c>
      <c r="B273">
        <v>2028</v>
      </c>
      <c r="C273" t="s">
        <v>52</v>
      </c>
      <c r="D273" t="s">
        <v>176</v>
      </c>
      <c r="E273">
        <v>75</v>
      </c>
      <c r="F273">
        <v>82</v>
      </c>
      <c r="G273">
        <v>83</v>
      </c>
      <c r="H273">
        <v>7</v>
      </c>
      <c r="I273">
        <v>8</v>
      </c>
      <c r="J273" t="s">
        <v>1693</v>
      </c>
      <c r="K273">
        <v>35</v>
      </c>
      <c r="L273" t="s">
        <v>1678</v>
      </c>
      <c r="M273">
        <v>5.4</v>
      </c>
      <c r="N273" t="s">
        <v>1671</v>
      </c>
    </row>
    <row r="274" spans="1:14" ht="14.5" x14ac:dyDescent="0.35">
      <c r="A274" t="s">
        <v>1954</v>
      </c>
      <c r="B274">
        <v>2030</v>
      </c>
      <c r="C274" t="s">
        <v>108</v>
      </c>
      <c r="D274" t="s">
        <v>109</v>
      </c>
      <c r="E274">
        <v>44</v>
      </c>
      <c r="F274">
        <v>58</v>
      </c>
      <c r="G274">
        <v>68</v>
      </c>
      <c r="H274">
        <v>14</v>
      </c>
      <c r="I274">
        <v>24</v>
      </c>
      <c r="J274" t="s">
        <v>1718</v>
      </c>
      <c r="K274">
        <v>42</v>
      </c>
      <c r="L274" t="s">
        <v>1670</v>
      </c>
      <c r="M274">
        <v>10.4</v>
      </c>
      <c r="N274" t="s">
        <v>1670</v>
      </c>
    </row>
    <row r="275" spans="1:14" ht="14.5" x14ac:dyDescent="0.35">
      <c r="A275" t="s">
        <v>1955</v>
      </c>
      <c r="B275">
        <v>2026</v>
      </c>
      <c r="C275" t="s">
        <v>27</v>
      </c>
      <c r="D275" t="s">
        <v>76</v>
      </c>
      <c r="E275">
        <v>69</v>
      </c>
      <c r="F275">
        <v>82</v>
      </c>
      <c r="G275">
        <v>88</v>
      </c>
      <c r="H275">
        <v>13</v>
      </c>
      <c r="I275">
        <v>19</v>
      </c>
      <c r="J275" t="s">
        <v>1710</v>
      </c>
      <c r="K275">
        <v>22</v>
      </c>
      <c r="L275" t="s">
        <v>1670</v>
      </c>
      <c r="M275">
        <v>11.1</v>
      </c>
      <c r="N275" t="s">
        <v>1674</v>
      </c>
    </row>
    <row r="276" spans="1:14" ht="14.5" x14ac:dyDescent="0.35">
      <c r="A276" t="s">
        <v>1956</v>
      </c>
      <c r="B276">
        <v>2027</v>
      </c>
      <c r="C276" t="s">
        <v>56</v>
      </c>
      <c r="D276" t="s">
        <v>217</v>
      </c>
      <c r="E276">
        <v>63</v>
      </c>
      <c r="F276">
        <v>61</v>
      </c>
      <c r="G276">
        <v>67</v>
      </c>
      <c r="H276">
        <v>-2</v>
      </c>
      <c r="I276">
        <v>4</v>
      </c>
      <c r="J276" t="s">
        <v>1676</v>
      </c>
      <c r="K276">
        <v>35</v>
      </c>
      <c r="L276" t="s">
        <v>1678</v>
      </c>
      <c r="M276">
        <v>15.3</v>
      </c>
      <c r="N276" t="s">
        <v>1674</v>
      </c>
    </row>
    <row r="277" spans="1:14" ht="14.5" x14ac:dyDescent="0.35">
      <c r="A277" t="s">
        <v>1957</v>
      </c>
      <c r="B277">
        <v>2026</v>
      </c>
      <c r="C277" t="s">
        <v>159</v>
      </c>
      <c r="D277" t="s">
        <v>187</v>
      </c>
      <c r="E277">
        <v>10</v>
      </c>
      <c r="F277">
        <v>14</v>
      </c>
      <c r="G277">
        <v>27</v>
      </c>
      <c r="H277">
        <v>4</v>
      </c>
      <c r="I277">
        <v>17</v>
      </c>
      <c r="J277" t="s">
        <v>1688</v>
      </c>
      <c r="K277">
        <v>33</v>
      </c>
      <c r="L277" t="s">
        <v>1678</v>
      </c>
      <c r="M277">
        <v>11.6</v>
      </c>
      <c r="N277" t="s">
        <v>1674</v>
      </c>
    </row>
    <row r="278" spans="1:14" ht="14.5" x14ac:dyDescent="0.35">
      <c r="A278" t="s">
        <v>1958</v>
      </c>
      <c r="B278">
        <v>2029</v>
      </c>
      <c r="C278" t="s">
        <v>40</v>
      </c>
      <c r="D278" t="s">
        <v>41</v>
      </c>
      <c r="E278">
        <v>16</v>
      </c>
      <c r="F278">
        <v>19</v>
      </c>
      <c r="G278">
        <v>25</v>
      </c>
      <c r="H278">
        <v>3</v>
      </c>
      <c r="I278">
        <v>9</v>
      </c>
      <c r="J278" t="s">
        <v>1693</v>
      </c>
      <c r="K278">
        <v>26</v>
      </c>
      <c r="L278" t="s">
        <v>1670</v>
      </c>
      <c r="M278">
        <v>17.399999999999999</v>
      </c>
      <c r="N278" t="s">
        <v>1671</v>
      </c>
    </row>
    <row r="279" spans="1:14" ht="14.5" x14ac:dyDescent="0.35">
      <c r="A279" t="s">
        <v>1959</v>
      </c>
      <c r="B279">
        <v>2028</v>
      </c>
      <c r="C279" t="s">
        <v>45</v>
      </c>
      <c r="D279" t="s">
        <v>46</v>
      </c>
      <c r="E279">
        <v>64</v>
      </c>
      <c r="F279">
        <v>63</v>
      </c>
      <c r="G279">
        <v>80</v>
      </c>
      <c r="H279">
        <v>-1</v>
      </c>
      <c r="I279">
        <v>16</v>
      </c>
      <c r="J279" t="s">
        <v>1715</v>
      </c>
      <c r="K279">
        <v>19</v>
      </c>
      <c r="L279" t="s">
        <v>1671</v>
      </c>
      <c r="M279">
        <v>5.3</v>
      </c>
      <c r="N279" t="s">
        <v>1671</v>
      </c>
    </row>
    <row r="280" spans="1:14" ht="14.5" x14ac:dyDescent="0.35">
      <c r="A280" t="s">
        <v>1960</v>
      </c>
      <c r="B280">
        <v>2026</v>
      </c>
      <c r="C280" t="s">
        <v>45</v>
      </c>
      <c r="D280" t="s">
        <v>46</v>
      </c>
      <c r="E280">
        <v>34</v>
      </c>
      <c r="F280">
        <v>44</v>
      </c>
      <c r="G280">
        <v>53</v>
      </c>
      <c r="H280">
        <v>10</v>
      </c>
      <c r="I280">
        <v>19</v>
      </c>
      <c r="J280" t="s">
        <v>1680</v>
      </c>
      <c r="K280">
        <v>24</v>
      </c>
      <c r="L280" t="s">
        <v>1678</v>
      </c>
      <c r="M280">
        <v>15.8</v>
      </c>
      <c r="N280" t="s">
        <v>1674</v>
      </c>
    </row>
    <row r="281" spans="1:14" ht="14.5" x14ac:dyDescent="0.35">
      <c r="A281" t="s">
        <v>1961</v>
      </c>
      <c r="B281">
        <v>2030</v>
      </c>
      <c r="C281" t="s">
        <v>108</v>
      </c>
      <c r="D281" t="s">
        <v>126</v>
      </c>
      <c r="E281">
        <v>48</v>
      </c>
      <c r="F281">
        <v>54</v>
      </c>
      <c r="G281">
        <v>57</v>
      </c>
      <c r="H281">
        <v>6</v>
      </c>
      <c r="I281">
        <v>9</v>
      </c>
      <c r="J281" t="s">
        <v>1718</v>
      </c>
      <c r="K281">
        <v>37</v>
      </c>
      <c r="L281" t="s">
        <v>1671</v>
      </c>
      <c r="M281">
        <v>10.7</v>
      </c>
      <c r="N281" t="s">
        <v>1678</v>
      </c>
    </row>
    <row r="282" spans="1:14" ht="14.5" x14ac:dyDescent="0.35">
      <c r="A282" t="s">
        <v>1962</v>
      </c>
      <c r="B282">
        <v>2029</v>
      </c>
      <c r="C282" t="s">
        <v>27</v>
      </c>
      <c r="D282" t="s">
        <v>28</v>
      </c>
      <c r="E282">
        <v>80</v>
      </c>
      <c r="F282">
        <v>84</v>
      </c>
      <c r="G282">
        <v>89</v>
      </c>
      <c r="H282">
        <v>4</v>
      </c>
      <c r="I282">
        <v>9</v>
      </c>
      <c r="J282" t="s">
        <v>1688</v>
      </c>
      <c r="K282">
        <v>6</v>
      </c>
      <c r="L282" t="s">
        <v>1671</v>
      </c>
      <c r="M282">
        <v>7.3</v>
      </c>
      <c r="N282" t="s">
        <v>1678</v>
      </c>
    </row>
    <row r="283" spans="1:14" ht="14.5" x14ac:dyDescent="0.35">
      <c r="A283" t="s">
        <v>1963</v>
      </c>
      <c r="B283">
        <v>2030</v>
      </c>
      <c r="C283" t="s">
        <v>108</v>
      </c>
      <c r="D283" t="s">
        <v>126</v>
      </c>
      <c r="E283">
        <v>50</v>
      </c>
      <c r="F283">
        <v>52</v>
      </c>
      <c r="G283">
        <v>62</v>
      </c>
      <c r="H283">
        <v>2</v>
      </c>
      <c r="I283">
        <v>12</v>
      </c>
      <c r="J283" t="s">
        <v>1673</v>
      </c>
      <c r="K283">
        <v>19</v>
      </c>
      <c r="L283" t="s">
        <v>1678</v>
      </c>
      <c r="M283">
        <v>5.7</v>
      </c>
      <c r="N283" t="s">
        <v>1670</v>
      </c>
    </row>
    <row r="284" spans="1:14" ht="14.5" x14ac:dyDescent="0.35">
      <c r="A284" t="s">
        <v>1964</v>
      </c>
      <c r="B284">
        <v>2026</v>
      </c>
      <c r="C284" t="s">
        <v>40</v>
      </c>
      <c r="D284" t="s">
        <v>90</v>
      </c>
      <c r="E284">
        <v>46</v>
      </c>
      <c r="F284">
        <v>44</v>
      </c>
      <c r="G284">
        <v>44</v>
      </c>
      <c r="H284">
        <v>-2</v>
      </c>
      <c r="I284">
        <v>-2</v>
      </c>
      <c r="J284" t="s">
        <v>1693</v>
      </c>
      <c r="K284">
        <v>17</v>
      </c>
      <c r="L284" t="s">
        <v>1678</v>
      </c>
      <c r="M284">
        <v>13.3</v>
      </c>
      <c r="N284" t="s">
        <v>1674</v>
      </c>
    </row>
    <row r="285" spans="1:14" ht="14.5" x14ac:dyDescent="0.35">
      <c r="A285" t="s">
        <v>1965</v>
      </c>
      <c r="B285">
        <v>2030</v>
      </c>
      <c r="C285" t="s">
        <v>69</v>
      </c>
      <c r="D285" t="s">
        <v>70</v>
      </c>
      <c r="E285">
        <v>57</v>
      </c>
      <c r="F285">
        <v>56</v>
      </c>
      <c r="G285">
        <v>61</v>
      </c>
      <c r="H285">
        <v>-1</v>
      </c>
      <c r="I285">
        <v>4</v>
      </c>
      <c r="J285" t="s">
        <v>1676</v>
      </c>
      <c r="K285">
        <v>35</v>
      </c>
      <c r="L285" t="s">
        <v>1670</v>
      </c>
      <c r="M285">
        <v>17.3</v>
      </c>
      <c r="N285" t="s">
        <v>1671</v>
      </c>
    </row>
    <row r="286" spans="1:14" ht="14.5" x14ac:dyDescent="0.35">
      <c r="A286" t="s">
        <v>1966</v>
      </c>
      <c r="B286">
        <v>2029</v>
      </c>
      <c r="C286" t="s">
        <v>159</v>
      </c>
      <c r="D286" t="s">
        <v>160</v>
      </c>
      <c r="E286">
        <v>48</v>
      </c>
      <c r="F286">
        <v>62</v>
      </c>
      <c r="G286">
        <v>68</v>
      </c>
      <c r="H286">
        <v>14</v>
      </c>
      <c r="I286">
        <v>20</v>
      </c>
      <c r="J286" t="s">
        <v>1718</v>
      </c>
      <c r="K286">
        <v>45</v>
      </c>
      <c r="L286" t="s">
        <v>1670</v>
      </c>
      <c r="M286">
        <v>6</v>
      </c>
      <c r="N286" t="s">
        <v>1671</v>
      </c>
    </row>
    <row r="287" spans="1:14" ht="14.5" x14ac:dyDescent="0.35">
      <c r="A287" t="s">
        <v>1967</v>
      </c>
      <c r="B287">
        <v>2027</v>
      </c>
      <c r="C287" t="s">
        <v>27</v>
      </c>
      <c r="D287" t="s">
        <v>73</v>
      </c>
      <c r="E287">
        <v>72</v>
      </c>
      <c r="F287">
        <v>83</v>
      </c>
      <c r="G287">
        <v>97</v>
      </c>
      <c r="H287">
        <v>11</v>
      </c>
      <c r="I287">
        <v>25</v>
      </c>
      <c r="J287" t="s">
        <v>1669</v>
      </c>
      <c r="K287">
        <v>22</v>
      </c>
      <c r="L287" t="s">
        <v>1670</v>
      </c>
      <c r="M287">
        <v>7.4</v>
      </c>
      <c r="N287" t="s">
        <v>1671</v>
      </c>
    </row>
    <row r="288" spans="1:14" ht="14.5" x14ac:dyDescent="0.35">
      <c r="A288" t="s">
        <v>1968</v>
      </c>
      <c r="B288">
        <v>2029</v>
      </c>
      <c r="C288" t="s">
        <v>69</v>
      </c>
      <c r="D288" t="s">
        <v>70</v>
      </c>
      <c r="E288">
        <v>22</v>
      </c>
      <c r="F288">
        <v>37</v>
      </c>
      <c r="G288">
        <v>57</v>
      </c>
      <c r="H288">
        <v>15</v>
      </c>
      <c r="I288">
        <v>35</v>
      </c>
      <c r="J288" t="s">
        <v>1710</v>
      </c>
      <c r="K288">
        <v>12</v>
      </c>
      <c r="L288" t="s">
        <v>1670</v>
      </c>
      <c r="M288">
        <v>9.5</v>
      </c>
      <c r="N288" t="s">
        <v>1678</v>
      </c>
    </row>
    <row r="289" spans="1:14" ht="14.5" x14ac:dyDescent="0.35">
      <c r="A289" t="s">
        <v>1969</v>
      </c>
      <c r="B289">
        <v>2030</v>
      </c>
      <c r="C289" t="s">
        <v>45</v>
      </c>
      <c r="D289" t="s">
        <v>46</v>
      </c>
      <c r="E289">
        <v>64</v>
      </c>
      <c r="F289">
        <v>64</v>
      </c>
      <c r="G289">
        <v>81</v>
      </c>
      <c r="H289">
        <v>0</v>
      </c>
      <c r="I289">
        <v>17</v>
      </c>
      <c r="J289" t="s">
        <v>1715</v>
      </c>
      <c r="K289">
        <v>37</v>
      </c>
      <c r="L289" t="s">
        <v>1678</v>
      </c>
      <c r="M289">
        <v>13</v>
      </c>
      <c r="N289" t="s">
        <v>1670</v>
      </c>
    </row>
    <row r="290" spans="1:14" ht="14.5" x14ac:dyDescent="0.35">
      <c r="A290" t="s">
        <v>1970</v>
      </c>
      <c r="B290">
        <v>2030</v>
      </c>
      <c r="C290" t="s">
        <v>21</v>
      </c>
      <c r="D290" t="s">
        <v>133</v>
      </c>
      <c r="E290">
        <v>15</v>
      </c>
      <c r="F290">
        <v>16</v>
      </c>
      <c r="G290">
        <v>24</v>
      </c>
      <c r="H290">
        <v>1</v>
      </c>
      <c r="I290">
        <v>9</v>
      </c>
      <c r="J290" t="s">
        <v>1669</v>
      </c>
      <c r="K290">
        <v>15</v>
      </c>
      <c r="L290" t="s">
        <v>1671</v>
      </c>
      <c r="M290">
        <v>18</v>
      </c>
      <c r="N290" t="s">
        <v>1678</v>
      </c>
    </row>
    <row r="291" spans="1:14" ht="14.5" x14ac:dyDescent="0.35">
      <c r="A291" t="s">
        <v>1971</v>
      </c>
      <c r="B291">
        <v>2030</v>
      </c>
      <c r="C291" t="s">
        <v>108</v>
      </c>
      <c r="D291" t="s">
        <v>126</v>
      </c>
      <c r="E291">
        <v>55</v>
      </c>
      <c r="F291">
        <v>70</v>
      </c>
      <c r="G291">
        <v>82</v>
      </c>
      <c r="H291">
        <v>15</v>
      </c>
      <c r="I291">
        <v>27</v>
      </c>
      <c r="J291" t="s">
        <v>1669</v>
      </c>
      <c r="K291">
        <v>18</v>
      </c>
      <c r="L291" t="s">
        <v>1671</v>
      </c>
      <c r="M291">
        <v>8.8000000000000007</v>
      </c>
      <c r="N291" t="s">
        <v>1678</v>
      </c>
    </row>
    <row r="292" spans="1:14" ht="14.5" x14ac:dyDescent="0.35">
      <c r="A292" t="s">
        <v>1972</v>
      </c>
      <c r="B292">
        <v>2029</v>
      </c>
      <c r="C292" t="s">
        <v>52</v>
      </c>
      <c r="D292" t="s">
        <v>53</v>
      </c>
      <c r="E292">
        <v>63</v>
      </c>
      <c r="F292">
        <v>78</v>
      </c>
      <c r="G292">
        <v>81</v>
      </c>
      <c r="H292">
        <v>15</v>
      </c>
      <c r="I292">
        <v>18</v>
      </c>
      <c r="J292" t="s">
        <v>1676</v>
      </c>
      <c r="K292">
        <v>15</v>
      </c>
      <c r="L292" t="s">
        <v>1678</v>
      </c>
      <c r="M292">
        <v>6.9</v>
      </c>
      <c r="N292" t="s">
        <v>1678</v>
      </c>
    </row>
    <row r="293" spans="1:14" ht="14.5" x14ac:dyDescent="0.35">
      <c r="A293" t="s">
        <v>1973</v>
      </c>
      <c r="B293">
        <v>2030</v>
      </c>
      <c r="C293" t="s">
        <v>108</v>
      </c>
      <c r="D293" t="s">
        <v>206</v>
      </c>
      <c r="E293">
        <v>46</v>
      </c>
      <c r="F293">
        <v>54</v>
      </c>
      <c r="G293">
        <v>70</v>
      </c>
      <c r="H293">
        <v>8</v>
      </c>
      <c r="I293">
        <v>24</v>
      </c>
      <c r="J293" t="s">
        <v>1693</v>
      </c>
      <c r="K293">
        <v>44</v>
      </c>
      <c r="L293" t="s">
        <v>1670</v>
      </c>
      <c r="M293">
        <v>6.3</v>
      </c>
      <c r="N293" t="s">
        <v>1678</v>
      </c>
    </row>
    <row r="294" spans="1:14" ht="14.5" x14ac:dyDescent="0.35">
      <c r="A294" t="s">
        <v>1974</v>
      </c>
      <c r="B294">
        <v>2026</v>
      </c>
      <c r="C294" t="s">
        <v>56</v>
      </c>
      <c r="D294" t="s">
        <v>112</v>
      </c>
      <c r="E294">
        <v>66</v>
      </c>
      <c r="F294">
        <v>65</v>
      </c>
      <c r="G294">
        <v>74</v>
      </c>
      <c r="H294">
        <v>-1</v>
      </c>
      <c r="I294">
        <v>8</v>
      </c>
      <c r="J294" t="s">
        <v>1680</v>
      </c>
      <c r="K294">
        <v>44</v>
      </c>
      <c r="L294" t="s">
        <v>1678</v>
      </c>
      <c r="M294">
        <v>4.8</v>
      </c>
      <c r="N294" t="s">
        <v>1670</v>
      </c>
    </row>
    <row r="295" spans="1:14" ht="14.5" x14ac:dyDescent="0.35">
      <c r="A295" t="s">
        <v>1975</v>
      </c>
      <c r="B295">
        <v>2027</v>
      </c>
      <c r="C295" t="s">
        <v>56</v>
      </c>
      <c r="D295" t="s">
        <v>112</v>
      </c>
      <c r="E295">
        <v>35</v>
      </c>
      <c r="F295">
        <v>40</v>
      </c>
      <c r="G295">
        <v>46</v>
      </c>
      <c r="H295">
        <v>5</v>
      </c>
      <c r="I295">
        <v>11</v>
      </c>
      <c r="J295" t="s">
        <v>1673</v>
      </c>
      <c r="K295">
        <v>39</v>
      </c>
      <c r="L295" t="s">
        <v>1671</v>
      </c>
      <c r="M295">
        <v>10.5</v>
      </c>
      <c r="N295" t="s">
        <v>1678</v>
      </c>
    </row>
    <row r="296" spans="1:14" ht="14.5" x14ac:dyDescent="0.35">
      <c r="A296" t="s">
        <v>1976</v>
      </c>
      <c r="B296">
        <v>2026</v>
      </c>
      <c r="C296" t="s">
        <v>52</v>
      </c>
      <c r="D296" t="s">
        <v>195</v>
      </c>
      <c r="E296">
        <v>62</v>
      </c>
      <c r="F296">
        <v>64</v>
      </c>
      <c r="G296">
        <v>73</v>
      </c>
      <c r="H296">
        <v>2</v>
      </c>
      <c r="I296">
        <v>11</v>
      </c>
      <c r="J296" t="s">
        <v>1688</v>
      </c>
      <c r="K296">
        <v>36</v>
      </c>
      <c r="L296" t="s">
        <v>1678</v>
      </c>
      <c r="M296">
        <v>6.8</v>
      </c>
      <c r="N296" t="s">
        <v>1670</v>
      </c>
    </row>
    <row r="297" spans="1:14" ht="14.5" x14ac:dyDescent="0.35">
      <c r="A297" t="s">
        <v>1977</v>
      </c>
      <c r="B297">
        <v>2028</v>
      </c>
      <c r="C297" t="s">
        <v>21</v>
      </c>
      <c r="D297" t="s">
        <v>133</v>
      </c>
      <c r="E297">
        <v>11</v>
      </c>
      <c r="F297">
        <v>24</v>
      </c>
      <c r="G297">
        <v>33</v>
      </c>
      <c r="H297">
        <v>13</v>
      </c>
      <c r="I297">
        <v>22</v>
      </c>
      <c r="J297" t="s">
        <v>1685</v>
      </c>
      <c r="K297">
        <v>25</v>
      </c>
      <c r="L297" t="s">
        <v>1678</v>
      </c>
      <c r="M297">
        <v>3.5</v>
      </c>
      <c r="N297" t="s">
        <v>1678</v>
      </c>
    </row>
    <row r="298" spans="1:14" ht="14.5" x14ac:dyDescent="0.35">
      <c r="A298" t="s">
        <v>1978</v>
      </c>
      <c r="B298">
        <v>2026</v>
      </c>
      <c r="C298" t="s">
        <v>69</v>
      </c>
      <c r="D298" t="s">
        <v>150</v>
      </c>
      <c r="E298">
        <v>26</v>
      </c>
      <c r="F298">
        <v>24</v>
      </c>
      <c r="G298">
        <v>35</v>
      </c>
      <c r="H298">
        <v>-2</v>
      </c>
      <c r="I298">
        <v>9</v>
      </c>
      <c r="J298" t="s">
        <v>1693</v>
      </c>
      <c r="K298">
        <v>35</v>
      </c>
      <c r="L298" t="s">
        <v>1670</v>
      </c>
      <c r="M298">
        <v>11.7</v>
      </c>
      <c r="N298" t="s">
        <v>1671</v>
      </c>
    </row>
    <row r="299" spans="1:14" ht="14.5" x14ac:dyDescent="0.35">
      <c r="A299" t="s">
        <v>1979</v>
      </c>
      <c r="B299">
        <v>2029</v>
      </c>
      <c r="C299" t="s">
        <v>159</v>
      </c>
      <c r="D299" t="s">
        <v>324</v>
      </c>
      <c r="E299">
        <v>35</v>
      </c>
      <c r="F299">
        <v>33</v>
      </c>
      <c r="G299">
        <v>39</v>
      </c>
      <c r="H299">
        <v>-2</v>
      </c>
      <c r="I299">
        <v>4</v>
      </c>
      <c r="J299" t="s">
        <v>1693</v>
      </c>
      <c r="K299">
        <v>8</v>
      </c>
      <c r="L299" t="s">
        <v>1670</v>
      </c>
      <c r="M299">
        <v>12.4</v>
      </c>
      <c r="N299" t="s">
        <v>1678</v>
      </c>
    </row>
    <row r="300" spans="1:14" ht="14.5" x14ac:dyDescent="0.35">
      <c r="A300" t="s">
        <v>1980</v>
      </c>
      <c r="B300">
        <v>2027</v>
      </c>
      <c r="C300" t="s">
        <v>56</v>
      </c>
      <c r="D300" t="s">
        <v>57</v>
      </c>
      <c r="E300">
        <v>23</v>
      </c>
      <c r="F300">
        <v>29</v>
      </c>
      <c r="G300">
        <v>41</v>
      </c>
      <c r="H300">
        <v>6</v>
      </c>
      <c r="I300">
        <v>18</v>
      </c>
      <c r="J300" t="s">
        <v>1710</v>
      </c>
      <c r="K300">
        <v>11</v>
      </c>
      <c r="L300" t="s">
        <v>1678</v>
      </c>
      <c r="M300">
        <v>15.1</v>
      </c>
      <c r="N300" t="s">
        <v>1678</v>
      </c>
    </row>
    <row r="301" spans="1:14" ht="14.5" x14ac:dyDescent="0.35">
      <c r="A301" t="s">
        <v>1981</v>
      </c>
      <c r="B301">
        <v>2027</v>
      </c>
      <c r="C301" t="s">
        <v>159</v>
      </c>
      <c r="D301" t="s">
        <v>482</v>
      </c>
      <c r="E301">
        <v>29</v>
      </c>
      <c r="F301">
        <v>30</v>
      </c>
      <c r="G301">
        <v>43</v>
      </c>
      <c r="H301">
        <v>1</v>
      </c>
      <c r="I301">
        <v>14</v>
      </c>
      <c r="J301" t="s">
        <v>1715</v>
      </c>
      <c r="K301">
        <v>6</v>
      </c>
      <c r="L301" t="s">
        <v>1678</v>
      </c>
      <c r="M301">
        <v>13.7</v>
      </c>
      <c r="N301" t="s">
        <v>1671</v>
      </c>
    </row>
    <row r="302" spans="1:14" ht="14.5" x14ac:dyDescent="0.35"/>
    <row r="303" spans="1:14" ht="14.5" x14ac:dyDescent="0.35"/>
    <row r="304" spans="1:1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row r="501" ht="14.5" x14ac:dyDescent="0.35"/>
  </sheetData>
  <pageMargins left="0.75" right="0.75" top="1" bottom="1"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8"/>
  <sheetViews>
    <sheetView showGridLines="0" zoomScaleNormal="100" workbookViewId="0"/>
  </sheetViews>
  <sheetFormatPr defaultColWidth="8.6328125" defaultRowHeight="15" customHeight="1" x14ac:dyDescent="0.35"/>
  <sheetData>
    <row r="1" spans="1:10" x14ac:dyDescent="0.35">
      <c r="A1" s="3" t="s">
        <v>1982</v>
      </c>
    </row>
    <row r="3" spans="1:10" x14ac:dyDescent="0.35">
      <c r="A3" s="3" t="s">
        <v>0</v>
      </c>
      <c r="B3" s="3" t="s">
        <v>1983</v>
      </c>
      <c r="D3" s="3" t="s">
        <v>1984</v>
      </c>
      <c r="E3" s="3" t="s">
        <v>1985</v>
      </c>
      <c r="G3" s="3" t="s">
        <v>1986</v>
      </c>
      <c r="H3" s="3" t="s">
        <v>0</v>
      </c>
      <c r="I3" s="3" t="s">
        <v>1</v>
      </c>
    </row>
    <row r="4" spans="1:10" x14ac:dyDescent="0.35">
      <c r="A4" t="s">
        <v>52</v>
      </c>
      <c r="B4">
        <f>IFERROR(AVERAGEIF(M1_Performance!C:C,A4,M1_Performance!G:G),0)</f>
        <v>3.7144999999999988</v>
      </c>
      <c r="D4" t="s">
        <v>66</v>
      </c>
      <c r="E4">
        <f>COUNTIF(M1_Performance!L:L,D4)</f>
        <v>98</v>
      </c>
      <c r="G4" t="str">
        <f>INDEX(M1_Performance!B:B,MATCH(I4,M1_Performance!G:G,0))</f>
        <v>Divyansh Joshi</v>
      </c>
      <c r="H4" t="str">
        <f>INDEX(M1_Performance!C:C,MATCH(I4,M1_Performance!G:G,0))</f>
        <v>Administration</v>
      </c>
      <c r="I4">
        <f>LARGE(M1_Performance!G:G,1)</f>
        <v>5</v>
      </c>
    </row>
    <row r="5" spans="1:10" x14ac:dyDescent="0.35">
      <c r="A5" t="s">
        <v>21</v>
      </c>
      <c r="B5">
        <f>IFERROR(AVERAGEIF(M1_Performance!C:C,A5,M1_Performance!G:G),0)</f>
        <v>3.6378333333333344</v>
      </c>
      <c r="D5" t="s">
        <v>24</v>
      </c>
      <c r="E5">
        <f>COUNTIF(M1_Performance!L:L,D5)</f>
        <v>103</v>
      </c>
      <c r="G5" t="str">
        <f>INDEX(M1_Performance!B:B,MATCH(I5,M1_Performance!G:G,0))</f>
        <v>Ananya Singh</v>
      </c>
      <c r="H5" t="str">
        <f>INDEX(M1_Performance!C:C,MATCH(I5,M1_Performance!G:G,0))</f>
        <v>Sales</v>
      </c>
      <c r="I5">
        <f>LARGE(M1_Performance!G:G,2)</f>
        <v>4.99</v>
      </c>
    </row>
    <row r="6" spans="1:10" x14ac:dyDescent="0.35">
      <c r="A6" t="s">
        <v>159</v>
      </c>
      <c r="B6">
        <f>IFERROR(AVERAGEIF(M1_Performance!C:C,A6,M1_Performance!G:G),0)</f>
        <v>3.5989361702127667</v>
      </c>
      <c r="D6" t="s">
        <v>42</v>
      </c>
      <c r="E6">
        <f>COUNTIF(M1_Performance!L:L,D6)</f>
        <v>109</v>
      </c>
      <c r="G6" t="str">
        <f>INDEX(M1_Performance!B:B,MATCH(I6,M1_Performance!G:G,0))</f>
        <v>Ananya Singh</v>
      </c>
      <c r="H6" t="str">
        <f>INDEX(M1_Performance!C:C,MATCH(I6,M1_Performance!G:G,0))</f>
        <v>Sales</v>
      </c>
      <c r="I6">
        <f>LARGE(M1_Performance!G:G,3)</f>
        <v>4.99</v>
      </c>
    </row>
    <row r="7" spans="1:10" x14ac:dyDescent="0.35">
      <c r="A7" t="s">
        <v>36</v>
      </c>
      <c r="B7">
        <f>IFERROR(AVERAGEIF(M1_Performance!C:C,A7,M1_Performance!G:G),0)</f>
        <v>3.4242000000000004</v>
      </c>
      <c r="D7" t="s">
        <v>29</v>
      </c>
      <c r="E7">
        <f>COUNTIF(M1_Performance!L:L,D7)</f>
        <v>99</v>
      </c>
      <c r="G7" t="str">
        <f>INDEX(M1_Performance!B:B,MATCH(I7,M1_Performance!G:G,0))</f>
        <v>Ananya Singh</v>
      </c>
      <c r="H7" t="str">
        <f>INDEX(M1_Performance!C:C,MATCH(I7,M1_Performance!G:G,0))</f>
        <v>Sales</v>
      </c>
      <c r="I7">
        <f>LARGE(M1_Performance!G:G,4)</f>
        <v>4.99</v>
      </c>
    </row>
    <row r="8" spans="1:10" x14ac:dyDescent="0.35">
      <c r="A8" t="s">
        <v>69</v>
      </c>
      <c r="B8">
        <f>IFERROR(AVERAGEIF(M1_Performance!C:C,A8,M1_Performance!G:G),0)</f>
        <v>3.4623913043478249</v>
      </c>
      <c r="D8" t="s">
        <v>33</v>
      </c>
      <c r="E8">
        <f>COUNTIF(M1_Performance!L:L,D8)</f>
        <v>91</v>
      </c>
      <c r="G8" t="str">
        <f>INDEX(M1_Performance!B:B,MATCH(I8,M1_Performance!G:G,0))</f>
        <v>Aarav Gupta</v>
      </c>
      <c r="H8" t="str">
        <f>INDEX(M1_Performance!C:C,MATCH(I8,M1_Performance!G:G,0))</f>
        <v>Sales</v>
      </c>
      <c r="I8">
        <f>LARGE(M1_Performance!G:G,5)</f>
        <v>4.97</v>
      </c>
    </row>
    <row r="9" spans="1:10" x14ac:dyDescent="0.35">
      <c r="A9" t="s">
        <v>40</v>
      </c>
      <c r="B9">
        <f>IFERROR(AVERAGEIF(M1_Performance!C:C,A9,M1_Performance!G:G),0)</f>
        <v>3.695510204081633</v>
      </c>
    </row>
    <row r="10" spans="1:10" x14ac:dyDescent="0.35">
      <c r="A10" t="s">
        <v>27</v>
      </c>
      <c r="B10">
        <f>IFERROR(AVERAGEIF(M1_Performance!C:C,A10,M1_Performance!G:G),0)</f>
        <v>3.6291803278688524</v>
      </c>
    </row>
    <row r="11" spans="1:10" x14ac:dyDescent="0.35">
      <c r="A11" t="s">
        <v>108</v>
      </c>
      <c r="B11">
        <f>IFERROR(AVERAGEIF(M1_Performance!C:C,A11,M1_Performance!G:G),0)</f>
        <v>3.5964150943396223</v>
      </c>
    </row>
    <row r="12" spans="1:10" x14ac:dyDescent="0.35">
      <c r="A12" t="s">
        <v>45</v>
      </c>
      <c r="B12">
        <f>IFERROR(AVERAGEIF(M1_Performance!C:C,A12,M1_Performance!G:G),0)</f>
        <v>3.6370212765957448</v>
      </c>
    </row>
    <row r="13" spans="1:10" x14ac:dyDescent="0.35">
      <c r="A13" s="3" t="s">
        <v>0</v>
      </c>
      <c r="B13" s="3" t="s">
        <v>1987</v>
      </c>
      <c r="D13" s="3" t="s">
        <v>1988</v>
      </c>
      <c r="E13" s="3" t="s">
        <v>1985</v>
      </c>
      <c r="G13" s="3" t="s">
        <v>1989</v>
      </c>
      <c r="H13" s="3" t="s">
        <v>0</v>
      </c>
      <c r="I13" s="3" t="s">
        <v>2</v>
      </c>
    </row>
    <row r="14" spans="1:10" x14ac:dyDescent="0.35">
      <c r="A14" t="s">
        <v>52</v>
      </c>
      <c r="B14">
        <f>IFERROR(COUNTIFS(M2_Attrition!C:C,A14,M2_Attrition!L:L,"Exited")/COUNTIF(M2_Attrition!C:C,A14),0)</f>
        <v>0.125</v>
      </c>
      <c r="D14" t="s">
        <v>934</v>
      </c>
      <c r="E14">
        <f>COUNTIF(M2_Attrition!L:L,D14)</f>
        <v>451</v>
      </c>
      <c r="G14" t="str">
        <f>INDEX(M2_Attrition!B:B,MATCH(J14,M2_Attrition!I:I,0))</f>
        <v>Ishita Kumar</v>
      </c>
      <c r="H14" t="str">
        <f>INDEX(M2_Attrition!C:C,MATCH(J14,M2_Attrition!I:I,0))</f>
        <v>R&amp;D</v>
      </c>
      <c r="I14" t="str">
        <f>IF(J14&lt;=2,"High",IF(J14&lt;=3,"Medium","Low"))</f>
        <v>High</v>
      </c>
      <c r="J14">
        <f>SMALL(M2_Attrition!I:I,1)</f>
        <v>1</v>
      </c>
    </row>
    <row r="15" spans="1:10" x14ac:dyDescent="0.35">
      <c r="A15" t="s">
        <v>21</v>
      </c>
      <c r="B15">
        <f>IFERROR(COUNTIFS(M2_Attrition!C:C,A15,M2_Attrition!L:L,"Exited")/COUNTIF(M2_Attrition!C:C,A15),0)</f>
        <v>0.1</v>
      </c>
      <c r="D15" t="s">
        <v>936</v>
      </c>
      <c r="E15">
        <f>COUNTIF(M2_Attrition!L:L,D15)</f>
        <v>49</v>
      </c>
      <c r="G15" t="str">
        <f>INDEX(M2_Attrition!B:B,MATCH(J15,M2_Attrition!I:I,0))</f>
        <v>Ishita Kumar</v>
      </c>
      <c r="H15" t="str">
        <f>INDEX(M2_Attrition!C:C,MATCH(J15,M2_Attrition!I:I,0))</f>
        <v>R&amp;D</v>
      </c>
      <c r="I15" t="str">
        <f>IF(J15&lt;=2,"High",IF(J15&lt;=3,"Medium","Low"))</f>
        <v>High</v>
      </c>
      <c r="J15">
        <f>SMALL(M2_Attrition!I:I,2)</f>
        <v>1</v>
      </c>
    </row>
    <row r="16" spans="1:10" x14ac:dyDescent="0.35">
      <c r="A16" t="s">
        <v>159</v>
      </c>
      <c r="B16">
        <f>IFERROR(COUNTIFS(M2_Attrition!C:C,A16,M2_Attrition!L:L,"Exited")/COUNTIF(M2_Attrition!C:C,A16),0)</f>
        <v>0.1276595744680851</v>
      </c>
      <c r="G16" t="str">
        <f>INDEX(M2_Attrition!B:B,MATCH(J16,M2_Attrition!I:I,0))</f>
        <v>Ishita Kumar</v>
      </c>
      <c r="H16" t="str">
        <f>INDEX(M2_Attrition!C:C,MATCH(J16,M2_Attrition!I:I,0))</f>
        <v>R&amp;D</v>
      </c>
      <c r="I16" t="str">
        <f>IF(J16&lt;=2,"High",IF(J16&lt;=3,"Medium","Low"))</f>
        <v>High</v>
      </c>
      <c r="J16">
        <f>SMALL(M2_Attrition!I:I,3)</f>
        <v>1</v>
      </c>
    </row>
    <row r="17" spans="1:11" x14ac:dyDescent="0.35">
      <c r="A17" t="s">
        <v>36</v>
      </c>
      <c r="B17">
        <f>IFERROR(COUNTIFS(M2_Attrition!C:C,A17,M2_Attrition!L:L,"Exited")/COUNTIF(M2_Attrition!C:C,A17),0)</f>
        <v>0.04</v>
      </c>
      <c r="G17" t="str">
        <f>INDEX(M2_Attrition!B:B,MATCH(J17,M2_Attrition!I:I,0))</f>
        <v>Ishita Kumar</v>
      </c>
      <c r="H17" t="str">
        <f>INDEX(M2_Attrition!C:C,MATCH(J17,M2_Attrition!I:I,0))</f>
        <v>R&amp;D</v>
      </c>
      <c r="I17" t="str">
        <f>IF(J17&lt;=2,"High",IF(J17&lt;=3,"Medium","Low"))</f>
        <v>High</v>
      </c>
      <c r="J17">
        <f>SMALL(M2_Attrition!I:I,4)</f>
        <v>1</v>
      </c>
    </row>
    <row r="18" spans="1:11" x14ac:dyDescent="0.35">
      <c r="A18" t="s">
        <v>69</v>
      </c>
      <c r="B18">
        <f>IFERROR(COUNTIFS(M2_Attrition!C:C,A18,M2_Attrition!L:L,"Exited")/COUNTIF(M2_Attrition!C:C,A18),0)</f>
        <v>8.6956521739130432E-2</v>
      </c>
      <c r="G18" t="str">
        <f>INDEX(M2_Attrition!B:B,MATCH(J18,M2_Attrition!I:I,0))</f>
        <v>Ishita Kumar</v>
      </c>
      <c r="H18" t="str">
        <f>INDEX(M2_Attrition!C:C,MATCH(J18,M2_Attrition!I:I,0))</f>
        <v>R&amp;D</v>
      </c>
      <c r="I18" t="str">
        <f>IF(J18&lt;=2,"High",IF(J18&lt;=3,"Medium","Low"))</f>
        <v>High</v>
      </c>
      <c r="J18">
        <f>SMALL(M2_Attrition!I:I,5)</f>
        <v>1</v>
      </c>
    </row>
    <row r="19" spans="1:11" x14ac:dyDescent="0.35">
      <c r="A19" t="s">
        <v>40</v>
      </c>
      <c r="B19">
        <f>IFERROR(COUNTIFS(M2_Attrition!C:C,A19,M2_Attrition!L:L,"Exited")/COUNTIF(M2_Attrition!C:C,A19),0)</f>
        <v>0.14285714285714285</v>
      </c>
    </row>
    <row r="20" spans="1:11" x14ac:dyDescent="0.35">
      <c r="A20" t="s">
        <v>27</v>
      </c>
      <c r="B20">
        <f>IFERROR(COUNTIFS(M2_Attrition!C:C,A20,M2_Attrition!L:L,"Exited")/COUNTIF(M2_Attrition!C:C,A20),0)</f>
        <v>6.5573770491803282E-2</v>
      </c>
    </row>
    <row r="21" spans="1:11" x14ac:dyDescent="0.35">
      <c r="A21" t="s">
        <v>108</v>
      </c>
      <c r="B21">
        <f>IFERROR(COUNTIFS(M2_Attrition!C:C,A21,M2_Attrition!L:L,"Exited")/COUNTIF(M2_Attrition!C:C,A21),0)</f>
        <v>0.16981132075471697</v>
      </c>
    </row>
    <row r="22" spans="1:11" x14ac:dyDescent="0.35">
      <c r="A22" t="s">
        <v>45</v>
      </c>
      <c r="B22">
        <f>IFERROR(COUNTIFS(M2_Attrition!C:C,A22,M2_Attrition!L:L,"Exited")/COUNTIF(M2_Attrition!C:C,A22),0)</f>
        <v>6.3829787234042548E-2</v>
      </c>
    </row>
    <row r="23" spans="1:11" x14ac:dyDescent="0.35">
      <c r="A23" t="s">
        <v>56</v>
      </c>
      <c r="B23">
        <f>IFERROR(COUNTIFS(M2_Attrition!C:C,A23,M2_Attrition!L:L,"Exited")/COUNTIF(M2_Attrition!C:C,A23),0)</f>
        <v>6.3829787234042548E-2</v>
      </c>
    </row>
    <row r="24" spans="1:11" x14ac:dyDescent="0.35">
      <c r="A24" s="3" t="s">
        <v>948</v>
      </c>
      <c r="B24" s="3" t="s">
        <v>1990</v>
      </c>
      <c r="D24" s="3" t="s">
        <v>953</v>
      </c>
      <c r="E24" s="3" t="s">
        <v>1991</v>
      </c>
      <c r="G24" s="3" t="s">
        <v>1992</v>
      </c>
      <c r="H24" s="3" t="s">
        <v>1990</v>
      </c>
      <c r="J24" s="3" t="s">
        <v>0</v>
      </c>
      <c r="K24" s="3" t="s">
        <v>3</v>
      </c>
    </row>
    <row r="25" spans="1:11" x14ac:dyDescent="0.35">
      <c r="A25" t="s">
        <v>987</v>
      </c>
      <c r="B25">
        <f>COUNTIFS(M3_Recruitment!F:F,A25,M3_Recruitment!K:K,"Hired")</f>
        <v>7</v>
      </c>
      <c r="D25" t="s">
        <v>965</v>
      </c>
      <c r="E25">
        <f>COUNTIF(M3_Recruitment!K:K,D25)</f>
        <v>136</v>
      </c>
      <c r="G25" s="4">
        <f ca="1">DATE(YEAR(TODAY()),1,1)</f>
        <v>46023</v>
      </c>
      <c r="H25">
        <f ca="1">COUNTIFS(M3_Recruitment!B:B,"&gt;="&amp;G25,M3_Recruitment!B:B,"&lt;"&amp;EDATE(G25,1),M3_Recruitment!K:K,"Hired")</f>
        <v>4</v>
      </c>
      <c r="J25" t="s">
        <v>52</v>
      </c>
      <c r="K25">
        <f>IFERROR(AVERAGEIF(M3_Recruitment!D:D,J25,M3_Recruitment!M:M),0)</f>
        <v>28</v>
      </c>
    </row>
    <row r="26" spans="1:11" x14ac:dyDescent="0.35">
      <c r="A26" t="s">
        <v>1012</v>
      </c>
      <c r="B26">
        <f>COUNTIFS(M3_Recruitment!F:F,A26,M3_Recruitment!K:K,"Hired")</f>
        <v>6</v>
      </c>
      <c r="D26" t="s">
        <v>993</v>
      </c>
      <c r="E26">
        <f>COUNTIF(M3_Recruitment!K:K,D26)</f>
        <v>92</v>
      </c>
      <c r="G26" s="4">
        <f ca="1">DATE(YEAR(TODAY()),2,1)</f>
        <v>46054</v>
      </c>
      <c r="H26">
        <f ca="1">COUNTIFS(M3_Recruitment!B:B,"&gt;="&amp;G26,M3_Recruitment!B:B,"&lt;"&amp;EDATE(G26,1),M3_Recruitment!K:K,"Hired")</f>
        <v>1</v>
      </c>
      <c r="J26" t="s">
        <v>21</v>
      </c>
      <c r="K26">
        <f>IFERROR(AVERAGEIF(M3_Recruitment!D:D,J26,M3_Recruitment!M:M),0)</f>
        <v>31.666666666666668</v>
      </c>
    </row>
    <row r="27" spans="1:11" x14ac:dyDescent="0.35">
      <c r="A27" t="s">
        <v>975</v>
      </c>
      <c r="B27">
        <f>COUNTIFS(M3_Recruitment!F:F,A27,M3_Recruitment!K:K,"Hired")</f>
        <v>6</v>
      </c>
      <c r="D27" t="s">
        <v>1000</v>
      </c>
      <c r="E27">
        <f>COUNTIF(M3_Recruitment!K:K,D27)</f>
        <v>76</v>
      </c>
      <c r="G27" s="4">
        <f ca="1">DATE(YEAR(TODAY()),3,1)</f>
        <v>46082</v>
      </c>
      <c r="H27">
        <f ca="1">COUNTIFS(M3_Recruitment!B:B,"&gt;="&amp;G27,M3_Recruitment!B:B,"&lt;"&amp;EDATE(G27,1),M3_Recruitment!K:K,"Hired")</f>
        <v>3</v>
      </c>
      <c r="J27" t="s">
        <v>159</v>
      </c>
      <c r="K27">
        <f>IFERROR(AVERAGEIF(M3_Recruitment!D:D,J27,M3_Recruitment!M:M),0)</f>
        <v>26.333333333333332</v>
      </c>
    </row>
    <row r="28" spans="1:11" x14ac:dyDescent="0.35">
      <c r="A28" t="s">
        <v>992</v>
      </c>
      <c r="B28">
        <f>COUNTIFS(M3_Recruitment!F:F,A28,M3_Recruitment!K:K,"Hired")</f>
        <v>9</v>
      </c>
      <c r="D28" t="s">
        <v>971</v>
      </c>
      <c r="E28">
        <f>COUNTIF(M3_Recruitment!K:K,D28)</f>
        <v>47</v>
      </c>
      <c r="G28" s="4">
        <f ca="1">DATE(YEAR(TODAY()),4,1)</f>
        <v>46113</v>
      </c>
      <c r="H28">
        <f ca="1">COUNTIFS(M3_Recruitment!B:B,"&gt;="&amp;G28,M3_Recruitment!B:B,"&lt;"&amp;EDATE(G28,1),M3_Recruitment!K:K,"Hired")</f>
        <v>2</v>
      </c>
      <c r="J28" t="s">
        <v>36</v>
      </c>
      <c r="K28">
        <f>IFERROR(AVERAGEIF(M3_Recruitment!D:D,J28,M3_Recruitment!M:M),0)</f>
        <v>34</v>
      </c>
    </row>
    <row r="29" spans="1:11" x14ac:dyDescent="0.35">
      <c r="A29" t="s">
        <v>957</v>
      </c>
      <c r="B29">
        <f>COUNTIFS(M3_Recruitment!F:F,A29,M3_Recruitment!K:K,"Hired")</f>
        <v>3</v>
      </c>
      <c r="D29" t="s">
        <v>959</v>
      </c>
      <c r="E29">
        <f>COUNTIF(M3_Recruitment!K:K,D29)</f>
        <v>42</v>
      </c>
      <c r="G29" s="4">
        <f ca="1">DATE(YEAR(TODAY()),5,1)</f>
        <v>46143</v>
      </c>
      <c r="H29">
        <f ca="1">COUNTIFS(M3_Recruitment!B:B,"&gt;="&amp;G29,M3_Recruitment!B:B,"&lt;"&amp;EDATE(G29,1),M3_Recruitment!K:K,"Hired")</f>
        <v>3</v>
      </c>
      <c r="J29" t="s">
        <v>69</v>
      </c>
      <c r="K29">
        <f>IFERROR(AVERAGEIF(M3_Recruitment!D:D,J29,M3_Recruitment!M:M),0)</f>
        <v>40</v>
      </c>
    </row>
    <row r="30" spans="1:11" x14ac:dyDescent="0.35">
      <c r="A30" t="s">
        <v>963</v>
      </c>
      <c r="B30">
        <f>COUNTIFS(M3_Recruitment!F:F,A30,M3_Recruitment!K:K,"Hired")</f>
        <v>5</v>
      </c>
      <c r="D30" t="s">
        <v>982</v>
      </c>
      <c r="E30">
        <f>COUNTIF(M3_Recruitment!K:K,D30)</f>
        <v>107</v>
      </c>
      <c r="G30" s="4">
        <f ca="1">DATE(YEAR(TODAY()),6,1)</f>
        <v>46174</v>
      </c>
      <c r="H30">
        <f ca="1">COUNTIFS(M3_Recruitment!B:B,"&gt;="&amp;G30,M3_Recruitment!B:B,"&lt;"&amp;EDATE(G30,1),M3_Recruitment!K:K,"Hired")</f>
        <v>3</v>
      </c>
      <c r="J30" t="s">
        <v>40</v>
      </c>
      <c r="K30">
        <f>IFERROR(AVERAGEIF(M3_Recruitment!D:D,J30,M3_Recruitment!M:M),0)</f>
        <v>33.666666666666664</v>
      </c>
    </row>
    <row r="31" spans="1:11" x14ac:dyDescent="0.35">
      <c r="A31" t="s">
        <v>977</v>
      </c>
      <c r="B31">
        <f>COUNTIFS(M3_Recruitment!F:F,A31,M3_Recruitment!K:K,"Hired")</f>
        <v>6</v>
      </c>
      <c r="G31" s="4">
        <f ca="1">DATE(YEAR(TODAY()),7,1)</f>
        <v>46204</v>
      </c>
      <c r="H31">
        <f ca="1">COUNTIFS(M3_Recruitment!B:B,"&gt;="&amp;G31,M3_Recruitment!B:B,"&lt;"&amp;EDATE(G31,1),M3_Recruitment!K:K,"Hired")</f>
        <v>3</v>
      </c>
      <c r="J31" t="s">
        <v>27</v>
      </c>
      <c r="K31">
        <f>IFERROR(AVERAGEIF(M3_Recruitment!D:D,J31,M3_Recruitment!M:M),0)</f>
        <v>41.25</v>
      </c>
    </row>
    <row r="32" spans="1:11" x14ac:dyDescent="0.35">
      <c r="G32" s="4">
        <f ca="1">DATE(YEAR(TODAY()),8,1)</f>
        <v>46235</v>
      </c>
      <c r="H32">
        <f ca="1">COUNTIFS(M3_Recruitment!B:B,"&gt;="&amp;G32,M3_Recruitment!B:B,"&lt;"&amp;EDATE(G32,1),M3_Recruitment!K:K,"Hired")</f>
        <v>1</v>
      </c>
      <c r="J32" t="s">
        <v>108</v>
      </c>
      <c r="K32">
        <f>IFERROR(AVERAGEIF(M3_Recruitment!D:D,J32,M3_Recruitment!M:M),0)</f>
        <v>54</v>
      </c>
    </row>
    <row r="33" spans="1:12" x14ac:dyDescent="0.35">
      <c r="G33" s="4">
        <f ca="1">DATE(YEAR(TODAY()),9,1)</f>
        <v>46266</v>
      </c>
      <c r="H33">
        <f ca="1">COUNTIFS(M3_Recruitment!B:B,"&gt;="&amp;G33,M3_Recruitment!B:B,"&lt;"&amp;EDATE(G33,1),M3_Recruitment!K:K,"Hired")</f>
        <v>1</v>
      </c>
      <c r="J33" t="s">
        <v>45</v>
      </c>
      <c r="K33">
        <f>IFERROR(AVERAGEIF(M3_Recruitment!D:D,J33,M3_Recruitment!M:M),0)</f>
        <v>40</v>
      </c>
    </row>
    <row r="34" spans="1:12" x14ac:dyDescent="0.35">
      <c r="G34" s="4">
        <f ca="1">DATE(YEAR(TODAY()),10,1)</f>
        <v>46296</v>
      </c>
      <c r="H34">
        <f ca="1">COUNTIFS(M3_Recruitment!B:B,"&gt;="&amp;G34,M3_Recruitment!B:B,"&lt;"&amp;EDATE(G34,1),M3_Recruitment!K:K,"Hired")</f>
        <v>0</v>
      </c>
      <c r="J34" t="s">
        <v>56</v>
      </c>
      <c r="K34">
        <f>IFERROR(AVERAGEIF(M3_Recruitment!D:D,J34,M3_Recruitment!M:M),0)</f>
        <v>27.25</v>
      </c>
    </row>
    <row r="35" spans="1:12" x14ac:dyDescent="0.35">
      <c r="G35" s="4">
        <f ca="1">DATE(YEAR(TODAY()),11,1)</f>
        <v>46327</v>
      </c>
      <c r="H35">
        <f ca="1">COUNTIFS(M3_Recruitment!B:B,"&gt;="&amp;G35,M3_Recruitment!B:B,"&lt;"&amp;EDATE(G35,1),M3_Recruitment!K:K,"Hired")</f>
        <v>0</v>
      </c>
    </row>
    <row r="36" spans="1:12" x14ac:dyDescent="0.35">
      <c r="G36" s="4">
        <f ca="1">DATE(YEAR(TODAY()),12,1)</f>
        <v>46357</v>
      </c>
      <c r="H36">
        <f ca="1">COUNTIFS(M3_Recruitment!B:B,"&gt;="&amp;G36,M3_Recruitment!B:B,"&lt;"&amp;EDATE(G36,1),M3_Recruitment!K:K,"Hired")</f>
        <v>0</v>
      </c>
    </row>
    <row r="40" spans="1:12" x14ac:dyDescent="0.35">
      <c r="A40" s="3" t="s">
        <v>1993</v>
      </c>
      <c r="B40" s="3" t="s">
        <v>1985</v>
      </c>
      <c r="D40" s="3" t="s">
        <v>0</v>
      </c>
      <c r="E40" s="3" t="s">
        <v>1994</v>
      </c>
      <c r="G40" s="3" t="s">
        <v>1657</v>
      </c>
      <c r="H40" s="3" t="s">
        <v>1995</v>
      </c>
      <c r="J40" s="3" t="s">
        <v>1996</v>
      </c>
      <c r="K40" s="3" t="s">
        <v>0</v>
      </c>
      <c r="L40" s="3" t="s">
        <v>1647</v>
      </c>
    </row>
    <row r="41" spans="1:12" x14ac:dyDescent="0.35">
      <c r="A41" t="s">
        <v>1997</v>
      </c>
      <c r="B41">
        <f>COUNTIFS(M4_Compensation!F:F,"&gt;=0",M4_Compensation!F:F,"&lt;=29999")</f>
        <v>11</v>
      </c>
      <c r="D41" t="s">
        <v>52</v>
      </c>
      <c r="E41">
        <f>IFERROR(AVERAGEIF(M4_Compensation!C:C,D41,M4_Compensation!J:J),0)</f>
        <v>1033209.625</v>
      </c>
      <c r="G41">
        <v>2022</v>
      </c>
      <c r="H41">
        <f>AVERAGE(M4_Compensation!F:F)*(1+(2022-2021)*0.04)</f>
        <v>78919.22064</v>
      </c>
      <c r="J41" t="str">
        <f>INDEX(M4_Compensation!B:B,MATCH(L41,M4_Compensation!J:J,0))</f>
        <v>Yash Mishra</v>
      </c>
      <c r="K41" t="str">
        <f>INDEX(M4_Compensation!C:C,MATCH(L41,M4_Compensation!J:J,0))</f>
        <v>Sales</v>
      </c>
      <c r="L41">
        <f>LARGE(M4_Compensation!J:J,1)</f>
        <v>1730890</v>
      </c>
    </row>
    <row r="42" spans="1:12" x14ac:dyDescent="0.35">
      <c r="A42" t="s">
        <v>1998</v>
      </c>
      <c r="B42">
        <f>COUNTIFS(M4_Compensation!F:F,"&gt;=30000",M4_Compensation!F:F,"&lt;=49999")</f>
        <v>100</v>
      </c>
      <c r="D42" t="s">
        <v>21</v>
      </c>
      <c r="E42">
        <f>IFERROR(AVERAGEIF(M4_Compensation!C:C,D42,M4_Compensation!J:J),0)</f>
        <v>969716.08333333337</v>
      </c>
      <c r="G42">
        <v>2023</v>
      </c>
      <c r="H42">
        <f>AVERAGE(M4_Compensation!F:F)*(1+(2023-2021)*0.04)</f>
        <v>81954.575280000005</v>
      </c>
      <c r="J42" t="str">
        <f>INDEX(M4_Compensation!B:B,MATCH(L42,M4_Compensation!J:J,0))</f>
        <v>Vihaan Gupta</v>
      </c>
      <c r="K42" t="str">
        <f>INDEX(M4_Compensation!C:C,MATCH(L42,M4_Compensation!J:J,0))</f>
        <v>Administration</v>
      </c>
      <c r="L42">
        <f>LARGE(M4_Compensation!J:J,2)</f>
        <v>1719878</v>
      </c>
    </row>
    <row r="43" spans="1:12" x14ac:dyDescent="0.35">
      <c r="A43" t="s">
        <v>1999</v>
      </c>
      <c r="B43">
        <f>COUNTIFS(M4_Compensation!F:F,"&gt;=50000",M4_Compensation!F:F,"&lt;=79999")</f>
        <v>175</v>
      </c>
      <c r="D43" t="s">
        <v>159</v>
      </c>
      <c r="E43">
        <f>IFERROR(AVERAGEIF(M4_Compensation!C:C,D43,M4_Compensation!J:J),0)</f>
        <v>965477.55319148931</v>
      </c>
      <c r="G43">
        <v>2024</v>
      </c>
      <c r="H43">
        <f>AVERAGE(M4_Compensation!F:F)*(1+(2024-2021)*0.04)</f>
        <v>84989.929919999995</v>
      </c>
      <c r="J43" t="str">
        <f>INDEX(M4_Compensation!B:B,MATCH(L43,M4_Compensation!J:J,0))</f>
        <v>Govind Mishra</v>
      </c>
      <c r="K43" t="str">
        <f>INDEX(M4_Compensation!C:C,MATCH(L43,M4_Compensation!J:J,0))</f>
        <v>Logistics</v>
      </c>
      <c r="L43">
        <f>LARGE(M4_Compensation!J:J,3)</f>
        <v>1708319</v>
      </c>
    </row>
    <row r="44" spans="1:12" x14ac:dyDescent="0.35">
      <c r="A44" t="s">
        <v>2000</v>
      </c>
      <c r="B44">
        <f>COUNTIFS(M4_Compensation!F:F,"&gt;=80000",M4_Compensation!F:F,"&lt;=119999")</f>
        <v>194</v>
      </c>
      <c r="D44" t="s">
        <v>36</v>
      </c>
      <c r="E44">
        <f>IFERROR(AVERAGEIF(M4_Compensation!C:C,D44,M4_Compensation!J:J),0)</f>
        <v>1095747.1399999999</v>
      </c>
      <c r="G44">
        <v>2025</v>
      </c>
      <c r="H44">
        <f>AVERAGE(M4_Compensation!F:F)*(1+(2025-2021)*0.04)</f>
        <v>88025.284559999986</v>
      </c>
      <c r="J44" t="str">
        <f>INDEX(M4_Compensation!B:B,MATCH(L44,M4_Compensation!J:J,0))</f>
        <v>Neha Khan</v>
      </c>
      <c r="K44" t="str">
        <f>INDEX(M4_Compensation!C:C,MATCH(L44,M4_Compensation!J:J,0))</f>
        <v>Sales</v>
      </c>
      <c r="L44">
        <f>LARGE(M4_Compensation!J:J,4)</f>
        <v>1707232</v>
      </c>
    </row>
    <row r="45" spans="1:12" x14ac:dyDescent="0.35">
      <c r="A45" t="s">
        <v>2001</v>
      </c>
      <c r="B45">
        <f>COUNTIFS(M4_Compensation!F:F,"&gt;=120000",M4_Compensation!F:F,"&lt;=9999999")</f>
        <v>20</v>
      </c>
      <c r="D45" t="s">
        <v>69</v>
      </c>
      <c r="E45">
        <f>IFERROR(AVERAGEIF(M4_Compensation!C:C,D45,M4_Compensation!J:J),0)</f>
        <v>989649.36956521741</v>
      </c>
      <c r="G45">
        <v>2026</v>
      </c>
      <c r="H45">
        <f>AVERAGE(M4_Compensation!F:F)*(1+(2026-2021)*0.04)</f>
        <v>91060.639199999991</v>
      </c>
      <c r="J45" t="str">
        <f>INDEX(M4_Compensation!B:B,MATCH(L45,M4_Compensation!J:J,0))</f>
        <v>Sara Sharma</v>
      </c>
      <c r="K45" t="str">
        <f>INDEX(M4_Compensation!C:C,MATCH(L45,M4_Compensation!J:J,0))</f>
        <v>HR</v>
      </c>
      <c r="L45">
        <f>LARGE(M4_Compensation!J:J,5)</f>
        <v>1703253</v>
      </c>
    </row>
    <row r="46" spans="1:12" x14ac:dyDescent="0.35">
      <c r="D46" t="s">
        <v>40</v>
      </c>
      <c r="E46">
        <f>IFERROR(AVERAGEIF(M4_Compensation!C:C,D46,M4_Compensation!J:J),0)</f>
        <v>953506.44897959183</v>
      </c>
    </row>
    <row r="47" spans="1:12" x14ac:dyDescent="0.35">
      <c r="D47" t="s">
        <v>27</v>
      </c>
      <c r="E47">
        <f>IFERROR(AVERAGEIF(M4_Compensation!C:C,D47,M4_Compensation!J:J),0)</f>
        <v>1004316.0491803279</v>
      </c>
    </row>
    <row r="48" spans="1:12" x14ac:dyDescent="0.35">
      <c r="A48" s="3" t="s">
        <v>1657</v>
      </c>
      <c r="B48" s="3" t="s">
        <v>2002</v>
      </c>
      <c r="C48" s="3" t="s">
        <v>2003</v>
      </c>
      <c r="D48" t="s">
        <v>108</v>
      </c>
      <c r="E48" s="3" t="s">
        <v>2004</v>
      </c>
      <c r="F48" s="3" t="s">
        <v>2005</v>
      </c>
      <c r="H48" s="3" t="s">
        <v>0</v>
      </c>
      <c r="I48" s="3" t="s">
        <v>4</v>
      </c>
      <c r="J48" s="3" t="s">
        <v>5</v>
      </c>
      <c r="K48" s="3" t="s">
        <v>6</v>
      </c>
    </row>
    <row r="49" spans="1:11" x14ac:dyDescent="0.35">
      <c r="A49">
        <v>2026</v>
      </c>
      <c r="B49">
        <f>SUMIF(M5_Workforce_Planning!B:B,A49,M5_Workforce_Planning!E:E)</f>
        <v>2726</v>
      </c>
      <c r="C49">
        <f>SUMIF(M5_Workforce_Planning!B:B,A49,M5_Workforce_Planning!F:F)</f>
        <v>3088</v>
      </c>
      <c r="D49" t="s">
        <v>45</v>
      </c>
      <c r="E49" t="s">
        <v>2006</v>
      </c>
      <c r="F49">
        <f>IFERROR(AVERAGEIF(M5_Workforce_Planning!J:J,E49,M5_Workforce_Planning!K:K),0)</f>
        <v>0</v>
      </c>
      <c r="H49" t="s">
        <v>52</v>
      </c>
      <c r="I49">
        <f>SUMIF(M5_Workforce_Planning!C:C,H49,M5_Workforce_Planning!E:E)</f>
        <v>1376</v>
      </c>
      <c r="J49">
        <f>SUMIF(M5_Workforce_Planning!C:C,H49,M5_Workforce_Planning!F:F)</f>
        <v>1573</v>
      </c>
      <c r="K49">
        <f t="shared" ref="K49:K58" si="0">J49-I49</f>
        <v>197</v>
      </c>
    </row>
    <row r="50" spans="1:11" x14ac:dyDescent="0.35">
      <c r="A50">
        <v>2027</v>
      </c>
      <c r="B50">
        <f>SUMIF(M5_Workforce_Planning!B:B,A50,M5_Workforce_Planning!E:E)</f>
        <v>2985</v>
      </c>
      <c r="C50">
        <f>SUMIF(M5_Workforce_Planning!B:B,A50,M5_Workforce_Planning!F:F)</f>
        <v>3383</v>
      </c>
      <c r="D50" t="s">
        <v>56</v>
      </c>
      <c r="E50" t="s">
        <v>1673</v>
      </c>
      <c r="F50">
        <f>IFERROR(AVERAGEIF(M5_Workforce_Planning!J:J,E50,M5_Workforce_Planning!K:K),0)</f>
        <v>24.361111111111111</v>
      </c>
      <c r="H50" t="s">
        <v>21</v>
      </c>
      <c r="I50">
        <f>SUMIF(M5_Workforce_Planning!C:C,H50,M5_Workforce_Planning!E:E)</f>
        <v>1086</v>
      </c>
      <c r="J50">
        <f>SUMIF(M5_Workforce_Planning!C:C,H50,M5_Workforce_Planning!F:F)</f>
        <v>1223</v>
      </c>
      <c r="K50">
        <f t="shared" si="0"/>
        <v>137</v>
      </c>
    </row>
    <row r="51" spans="1:11" x14ac:dyDescent="0.35">
      <c r="A51">
        <v>2028</v>
      </c>
      <c r="B51">
        <f>SUMIF(M5_Workforce_Planning!B:B,A51,M5_Workforce_Planning!E:E)</f>
        <v>1763</v>
      </c>
      <c r="C51">
        <f>SUMIF(M5_Workforce_Planning!B:B,A51,M5_Workforce_Planning!F:F)</f>
        <v>2066</v>
      </c>
      <c r="E51" t="s">
        <v>1685</v>
      </c>
      <c r="F51">
        <f>IFERROR(AVERAGEIF(M5_Workforce_Planning!J:J,E51,M5_Workforce_Planning!K:K),0)</f>
        <v>28.166666666666668</v>
      </c>
      <c r="H51" t="s">
        <v>159</v>
      </c>
      <c r="I51">
        <f>SUMIF(M5_Workforce_Planning!C:C,H51,M5_Workforce_Planning!E:E)</f>
        <v>1713</v>
      </c>
      <c r="J51">
        <f>SUMIF(M5_Workforce_Planning!C:C,H51,M5_Workforce_Planning!F:F)</f>
        <v>1934</v>
      </c>
      <c r="K51">
        <f t="shared" si="0"/>
        <v>221</v>
      </c>
    </row>
    <row r="52" spans="1:11" x14ac:dyDescent="0.35">
      <c r="A52">
        <v>2029</v>
      </c>
      <c r="B52">
        <f>SUMIF(M5_Workforce_Planning!B:B,A52,M5_Workforce_Planning!E:E)</f>
        <v>2545</v>
      </c>
      <c r="C52">
        <f>SUMIF(M5_Workforce_Planning!B:B,A52,M5_Workforce_Planning!F:F)</f>
        <v>2910</v>
      </c>
      <c r="E52" t="s">
        <v>1718</v>
      </c>
      <c r="F52">
        <f>IFERROR(AVERAGEIF(M5_Workforce_Planning!J:J,E52,M5_Workforce_Planning!K:K),0)</f>
        <v>28.944444444444443</v>
      </c>
      <c r="H52" t="s">
        <v>36</v>
      </c>
      <c r="I52">
        <f>SUMIF(M5_Workforce_Planning!C:C,H52,M5_Workforce_Planning!E:E)</f>
        <v>1273</v>
      </c>
      <c r="J52">
        <f>SUMIF(M5_Workforce_Planning!C:C,H52,M5_Workforce_Planning!F:F)</f>
        <v>1545</v>
      </c>
      <c r="K52">
        <f t="shared" si="0"/>
        <v>272</v>
      </c>
    </row>
    <row r="53" spans="1:11" x14ac:dyDescent="0.35">
      <c r="A53">
        <v>2030</v>
      </c>
      <c r="B53">
        <f>SUMIF(M5_Workforce_Planning!B:B,A53,M5_Workforce_Planning!E:E)</f>
        <v>2961</v>
      </c>
      <c r="C53">
        <f>SUMIF(M5_Workforce_Planning!B:B,A53,M5_Workforce_Planning!F:F)</f>
        <v>3399</v>
      </c>
      <c r="E53" t="s">
        <v>1680</v>
      </c>
      <c r="F53">
        <f>IFERROR(AVERAGEIF(M5_Workforce_Planning!J:J,E53,M5_Workforce_Planning!K:K),0)</f>
        <v>25.206896551724139</v>
      </c>
      <c r="H53" t="s">
        <v>69</v>
      </c>
      <c r="I53">
        <f>SUMIF(M5_Workforce_Planning!C:C,H53,M5_Workforce_Planning!E:E)</f>
        <v>1181</v>
      </c>
      <c r="J53">
        <f>SUMIF(M5_Workforce_Planning!C:C,H53,M5_Workforce_Planning!F:F)</f>
        <v>1373</v>
      </c>
      <c r="K53">
        <f t="shared" si="0"/>
        <v>192</v>
      </c>
    </row>
    <row r="54" spans="1:11" x14ac:dyDescent="0.35">
      <c r="H54" t="s">
        <v>40</v>
      </c>
      <c r="I54">
        <f>SUMIF(M5_Workforce_Planning!C:C,H54,M5_Workforce_Planning!E:E)</f>
        <v>1299</v>
      </c>
      <c r="J54">
        <f>SUMIF(M5_Workforce_Planning!C:C,H54,M5_Workforce_Planning!F:F)</f>
        <v>1466</v>
      </c>
      <c r="K54">
        <f t="shared" si="0"/>
        <v>167</v>
      </c>
    </row>
    <row r="55" spans="1:11" x14ac:dyDescent="0.35">
      <c r="H55" t="s">
        <v>27</v>
      </c>
      <c r="I55">
        <f>SUMIF(M5_Workforce_Planning!C:C,H55,M5_Workforce_Planning!E:E)</f>
        <v>1190</v>
      </c>
      <c r="J55">
        <f>SUMIF(M5_Workforce_Planning!C:C,H55,M5_Workforce_Planning!F:F)</f>
        <v>1355</v>
      </c>
      <c r="K55">
        <f t="shared" si="0"/>
        <v>165</v>
      </c>
    </row>
    <row r="56" spans="1:11" x14ac:dyDescent="0.35">
      <c r="H56" t="s">
        <v>108</v>
      </c>
      <c r="I56">
        <f>SUMIF(M5_Workforce_Planning!C:C,H56,M5_Workforce_Planning!E:E)</f>
        <v>1237</v>
      </c>
      <c r="J56">
        <f>SUMIF(M5_Workforce_Planning!C:C,H56,M5_Workforce_Planning!F:F)</f>
        <v>1420</v>
      </c>
      <c r="K56">
        <f t="shared" si="0"/>
        <v>183</v>
      </c>
    </row>
    <row r="57" spans="1:11" x14ac:dyDescent="0.35">
      <c r="H57" t="s">
        <v>45</v>
      </c>
      <c r="I57">
        <f>SUMIF(M5_Workforce_Planning!C:C,H57,M5_Workforce_Planning!E:E)</f>
        <v>1273</v>
      </c>
      <c r="J57">
        <f>SUMIF(M5_Workforce_Planning!C:C,H57,M5_Workforce_Planning!F:F)</f>
        <v>1414</v>
      </c>
      <c r="K57">
        <f t="shared" si="0"/>
        <v>141</v>
      </c>
    </row>
    <row r="58" spans="1:11" x14ac:dyDescent="0.35">
      <c r="H58" t="s">
        <v>56</v>
      </c>
      <c r="I58">
        <f>SUMIF(M5_Workforce_Planning!C:C,H58,M5_Workforce_Planning!E:E)</f>
        <v>1352</v>
      </c>
      <c r="J58">
        <f>SUMIF(M5_Workforce_Planning!C:C,H58,M5_Workforce_Planning!F:F)</f>
        <v>1543</v>
      </c>
      <c r="K58">
        <f t="shared" si="0"/>
        <v>191</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E13"/>
  <sheetViews>
    <sheetView workbookViewId="0">
      <selection activeCell="D13" sqref="D13"/>
    </sheetView>
  </sheetViews>
  <sheetFormatPr defaultRowHeight="14.5" x14ac:dyDescent="0.35"/>
  <cols>
    <col min="4" max="4" width="23.7265625" customWidth="1"/>
    <col min="5" max="5" width="9.81640625" bestFit="1" customWidth="1"/>
  </cols>
  <sheetData>
    <row r="4" spans="4:5" x14ac:dyDescent="0.35">
      <c r="D4" s="31" t="s">
        <v>2023</v>
      </c>
      <c r="E4" s="32"/>
    </row>
    <row r="5" spans="4:5" x14ac:dyDescent="0.35">
      <c r="D5" s="32"/>
      <c r="E5" s="32"/>
    </row>
    <row r="6" spans="4:5" x14ac:dyDescent="0.35">
      <c r="D6" s="9"/>
      <c r="E6" s="9"/>
    </row>
    <row r="7" spans="4:5" x14ac:dyDescent="0.35">
      <c r="D7" s="9" t="s">
        <v>2007</v>
      </c>
      <c r="E7" s="9">
        <f>COUNTA(M1_Performance!B2:B501)</f>
        <v>500</v>
      </c>
    </row>
    <row r="8" spans="4:5" x14ac:dyDescent="0.35">
      <c r="D8" s="9" t="s">
        <v>2013</v>
      </c>
      <c r="E8" s="9">
        <f>COUNTIF(M2_Attrition!L2:L501, "Exited") / COUNTA(M2_Attrition!A2:A501)*100</f>
        <v>9.8000000000000007</v>
      </c>
    </row>
    <row r="9" spans="4:5" x14ac:dyDescent="0.35">
      <c r="D9" s="9" t="s">
        <v>2008</v>
      </c>
      <c r="E9" s="9">
        <f>AVERAGE(M1_Performance!G2:G501)</f>
        <v>3.6055199999999945</v>
      </c>
    </row>
    <row r="10" spans="4:5" x14ac:dyDescent="0.35">
      <c r="D10" s="9" t="s">
        <v>2009</v>
      </c>
      <c r="E10" s="9">
        <f>AVERAGE(M3_Recruitment!M2:M501)</f>
        <v>35.452380952380949</v>
      </c>
    </row>
    <row r="11" spans="4:5" x14ac:dyDescent="0.35">
      <c r="D11" s="9" t="s">
        <v>2010</v>
      </c>
      <c r="E11" s="9">
        <f>AVERAGE(M4_Compensation!G2:G501)</f>
        <v>910606.39199999999</v>
      </c>
    </row>
    <row r="12" spans="4:5" x14ac:dyDescent="0.35">
      <c r="D12" s="9" t="s">
        <v>2011</v>
      </c>
      <c r="E12" s="9">
        <f>SUM(M4_Compensation!J2:J501)</f>
        <v>506209895</v>
      </c>
    </row>
    <row r="13" spans="4:5" x14ac:dyDescent="0.35">
      <c r="D13" s="10" t="s">
        <v>2012</v>
      </c>
      <c r="E13" s="9">
        <f>SUM(M5_Workforce_Planning!F2:F301)-SUM(M5_Workforce_Planning!E2:E301)</f>
        <v>1866</v>
      </c>
    </row>
  </sheetData>
  <mergeCells count="1">
    <mergeCell ref="D4:E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Sheet2</vt:lpstr>
      <vt:lpstr>M1_Performance</vt:lpstr>
      <vt:lpstr>M2_Attrition</vt:lpstr>
      <vt:lpstr>M3_Recruitment</vt:lpstr>
      <vt:lpstr>M4_Compensation</vt:lpstr>
      <vt:lpstr>M5_Workforce_Planning</vt:lpstr>
      <vt:lpstr>Dashboard_Data</vt:lpstr>
      <vt:lpstr>KPI CARD 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 Mishra</dc:creator>
  <cp:lastModifiedBy>USER</cp:lastModifiedBy>
  <dcterms:created xsi:type="dcterms:W3CDTF">2026-10-04T17:54:04Z</dcterms:created>
  <dcterms:modified xsi:type="dcterms:W3CDTF">2026-10-29T17:18:47Z</dcterms:modified>
</cp:coreProperties>
</file>